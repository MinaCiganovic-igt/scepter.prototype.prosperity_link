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wt77758\PycharmProjects\prosperity_link\prosperity_link\"/>
    </mc:Choice>
  </mc:AlternateContent>
  <xr:revisionPtr revIDLastSave="0" documentId="13_ncr:1_{9B505811-73B4-4EFC-BAF1-9D3880690113}" xr6:coauthVersionLast="47" xr6:coauthVersionMax="47" xr10:uidLastSave="{00000000-0000-0000-0000-000000000000}"/>
  <bookViews>
    <workbookView xWindow="10" yWindow="10" windowWidth="25580" windowHeight="15260" activeTab="1" xr2:uid="{00000000-000D-0000-FFFF-FFFF00000000}"/>
  </bookViews>
  <sheets>
    <sheet name="FG_FEATure" sheetId="880" r:id="rId1"/>
    <sheet name="Symbols" sheetId="16" r:id="rId2"/>
    <sheet name="Paytable" sheetId="17" r:id="rId3"/>
    <sheet name="ScepterInput" sheetId="753" r:id="rId4"/>
    <sheet name="Reelstrip_BG" sheetId="867" r:id="rId5"/>
    <sheet name="Reelstrip_FG" sheetId="879" r:id="rId6"/>
    <sheet name="BG_DRAW" sheetId="878" r:id="rId7"/>
    <sheet name="FG_FEAT" sheetId="881" r:id="rId8"/>
    <sheet name="HaS" sheetId="872" r:id="rId9"/>
    <sheet name="Wheel" sheetId="874" r:id="rId10"/>
  </sheets>
  <functionGroups builtInGroupCount="19"/>
  <externalReferences>
    <externalReference r:id="rId11"/>
  </externalReferences>
  <definedNames>
    <definedName name="BG_DG_Sec_Psum_RTP25">#REF!</definedName>
    <definedName name="BG_DG_Sec_Psum_RTP35">#REF!</definedName>
    <definedName name="BG_DG_Sec_Psum_RTP92">#REF!</definedName>
    <definedName name="BG_DG_Sec_Psum_RTP93">#REF!</definedName>
    <definedName name="BG_DG_Sec_Psum_RTP94">#REF!</definedName>
    <definedName name="BG_DG_Sec_Reward_RTP25">#REF!</definedName>
    <definedName name="BG_DG_Sec_Reward_RTP35">#REF!</definedName>
    <definedName name="BG_DG_Sec_Reward_RTP92">#REF!</definedName>
    <definedName name="BG_DG_Sec_Reward_RTP93">#REF!</definedName>
    <definedName name="BG_DG_Sec_Reward_RTP94">#REF!</definedName>
    <definedName name="CTC">#REF!</definedName>
    <definedName name="DataSet">#REF!</definedName>
    <definedName name="GameInfo_AL">#REF!</definedName>
    <definedName name="Lines">#REF!</definedName>
    <definedName name="Psumpack_BG_Reel1_SBase01" localSheetId="5">Reelstrip_FG!$I$5:$I$6</definedName>
    <definedName name="Psumpack_BG_Reel1_SBase01">Reelstrip_BG!$I$5:$I$6</definedName>
    <definedName name="Psumpack_BG_Reel1_SBase02" localSheetId="5">Reelstrip_FG!#REF!</definedName>
    <definedName name="Psumpack_BG_Reel1_SBase02">Reelstrip_BG!#REF!</definedName>
    <definedName name="Psumpack_BG_Reel1_SBase03" localSheetId="5">Reelstrip_FG!#REF!</definedName>
    <definedName name="Psumpack_BG_Reel1_SBase03">Reelstrip_BG!#REF!</definedName>
    <definedName name="Psumpack_BG_Reel1_SBase04" localSheetId="5">Reelstrip_FG!#REF!</definedName>
    <definedName name="Psumpack_BG_Reel1_SBase04">Reelstrip_BG!#REF!</definedName>
    <definedName name="Psumpack_BG_Reel1_SBase05" localSheetId="5">Reelstrip_FG!#REF!</definedName>
    <definedName name="Psumpack_BG_Reel1_SBase05">Reelstrip_BG!#REF!</definedName>
    <definedName name="Psumpack_BG_Reel1_SBase06" localSheetId="5">Reelstrip_FG!#REF!</definedName>
    <definedName name="Psumpack_BG_Reel1_SBase06">Reelstrip_BG!#REF!</definedName>
    <definedName name="Psumpack_BG_Reel2_SBase01" localSheetId="5">Reelstrip_FG!$J$5:$J$6</definedName>
    <definedName name="Psumpack_BG_Reel2_SBase01">Reelstrip_BG!$J$5:$J$6</definedName>
    <definedName name="Psumpack_BG_Reel2_SBase02" localSheetId="5">Reelstrip_FG!#REF!</definedName>
    <definedName name="Psumpack_BG_Reel2_SBase02">Reelstrip_BG!#REF!</definedName>
    <definedName name="Psumpack_BG_Reel2_SBase03" localSheetId="5">Reelstrip_FG!#REF!</definedName>
    <definedName name="Psumpack_BG_Reel2_SBase03">Reelstrip_BG!#REF!</definedName>
    <definedName name="Psumpack_BG_Reel2_SBase04" localSheetId="5">Reelstrip_FG!#REF!</definedName>
    <definedName name="Psumpack_BG_Reel2_SBase04">Reelstrip_BG!#REF!</definedName>
    <definedName name="Psumpack_BG_Reel2_SBase05" localSheetId="5">Reelstrip_FG!#REF!</definedName>
    <definedName name="Psumpack_BG_Reel2_SBase05">Reelstrip_BG!#REF!</definedName>
    <definedName name="Psumpack_BG_Reel2_SBase06" localSheetId="5">Reelstrip_FG!#REF!</definedName>
    <definedName name="Psumpack_BG_Reel2_SBase06">Reelstrip_BG!#REF!</definedName>
    <definedName name="Psumpack_BG_Reel3_SBase01" localSheetId="5">Reelstrip_FG!$K$5:$K$6</definedName>
    <definedName name="Psumpack_BG_Reel3_SBase01">Reelstrip_BG!$K$5:$K$6</definedName>
    <definedName name="Psumpack_BG_Reel3_SBase02" localSheetId="5">Reelstrip_FG!#REF!</definedName>
    <definedName name="Psumpack_BG_Reel3_SBase02">Reelstrip_BG!#REF!</definedName>
    <definedName name="Psumpack_BG_Reel3_SBase03" localSheetId="5">Reelstrip_FG!#REF!</definedName>
    <definedName name="Psumpack_BG_Reel3_SBase03">Reelstrip_BG!#REF!</definedName>
    <definedName name="Psumpack_BG_Reel3_SBase04" localSheetId="5">Reelstrip_FG!#REF!</definedName>
    <definedName name="Psumpack_BG_Reel3_SBase04">Reelstrip_BG!#REF!</definedName>
    <definedName name="Psumpack_BG_Reel3_SBase05" localSheetId="5">Reelstrip_FG!#REF!</definedName>
    <definedName name="Psumpack_BG_Reel3_SBase05">Reelstrip_BG!#REF!</definedName>
    <definedName name="Psumpack_BG_Reel3_SBase06" localSheetId="5">Reelstrip_FG!#REF!</definedName>
    <definedName name="Psumpack_BG_Reel3_SBase06">Reelstrip_BG!#REF!</definedName>
    <definedName name="Psumpack_BG_Reel4_SBase01" localSheetId="5">Reelstrip_FG!$L$5:$L$6</definedName>
    <definedName name="Psumpack_BG_Reel4_SBase01">Reelstrip_BG!$L$5:$L$6</definedName>
    <definedName name="Psumpack_BG_Reel4_SBase02" localSheetId="5">Reelstrip_FG!#REF!</definedName>
    <definedName name="Psumpack_BG_Reel4_SBase02">Reelstrip_BG!#REF!</definedName>
    <definedName name="Psumpack_BG_Reel4_SBase03" localSheetId="5">Reelstrip_FG!#REF!</definedName>
    <definedName name="Psumpack_BG_Reel4_SBase03">Reelstrip_BG!#REF!</definedName>
    <definedName name="Psumpack_BG_Reel4_SBase04" localSheetId="5">Reelstrip_FG!#REF!</definedName>
    <definedName name="Psumpack_BG_Reel4_SBase04">Reelstrip_BG!#REF!</definedName>
    <definedName name="Psumpack_BG_Reel4_SBase05" localSheetId="5">Reelstrip_FG!#REF!</definedName>
    <definedName name="Psumpack_BG_Reel4_SBase05">Reelstrip_BG!#REF!</definedName>
    <definedName name="Psumpack_BG_Reel4_SBase06" localSheetId="5">Reelstrip_FG!#REF!</definedName>
    <definedName name="Psumpack_BG_Reel4_SBase06">Reelstrip_BG!#REF!</definedName>
    <definedName name="Psumpack_BG_Reel5_SBase01" localSheetId="5">Reelstrip_FG!$M$5:$M$6</definedName>
    <definedName name="Psumpack_BG_Reel5_SBase01">Reelstrip_BG!$M$5:$M$6</definedName>
    <definedName name="Psumpack_BG_Reel5_SBase02" localSheetId="5">Reelstrip_FG!#REF!</definedName>
    <definedName name="Psumpack_BG_Reel5_SBase02">Reelstrip_BG!#REF!</definedName>
    <definedName name="Psumpack_BG_Reel5_SBase03" localSheetId="5">Reelstrip_FG!#REF!</definedName>
    <definedName name="Psumpack_BG_Reel5_SBase03">Reelstrip_BG!#REF!</definedName>
    <definedName name="Psumpack_BG_Reel5_SBase04" localSheetId="5">Reelstrip_FG!#REF!</definedName>
    <definedName name="Psumpack_BG_Reel5_SBase04">Reelstrip_BG!#REF!</definedName>
    <definedName name="Psumpack_BG_Reel5_SBase05" localSheetId="5">Reelstrip_FG!#REF!</definedName>
    <definedName name="Psumpack_BG_Reel5_SBase05">Reelstrip_BG!#REF!</definedName>
    <definedName name="Psumpack_BG_Reel5_SBase06" localSheetId="5">Reelstrip_FG!#REF!</definedName>
    <definedName name="Psumpack_BG_Reel5_SBase06">Reelstrip_BG!#REF!</definedName>
    <definedName name="Reelpack_BG_Reel1_Section01" localSheetId="5">Reelstrip_FG!$B$4</definedName>
    <definedName name="Reelpack_BG_Reel1_Section01">Reelstrip_BG!$B$4</definedName>
    <definedName name="Reelpack_BG_Reel1_Section02" localSheetId="5">Reelstrip_FG!#REF!</definedName>
    <definedName name="Reelpack_BG_Reel1_Section02">Reelstrip_BG!#REF!</definedName>
    <definedName name="Reelpack_BG_Reel2_Section01" localSheetId="5">Reelstrip_FG!$C$4</definedName>
    <definedName name="Reelpack_BG_Reel2_Section01">Reelstrip_BG!$C$4</definedName>
    <definedName name="Reelpack_BG_Reel2_Section02" localSheetId="5">Reelstrip_FG!#REF!</definedName>
    <definedName name="Reelpack_BG_Reel2_Section02">Reelstrip_BG!#REF!</definedName>
    <definedName name="Reelpack_BG_Reel3_Section01" localSheetId="5">Reelstrip_FG!$D$4</definedName>
    <definedName name="Reelpack_BG_Reel3_Section01">Reelstrip_BG!$D$4</definedName>
    <definedName name="Reelpack_BG_Reel3_Section02" localSheetId="5">Reelstrip_FG!#REF!</definedName>
    <definedName name="Reelpack_BG_Reel3_Section02">Reelstrip_BG!#REF!</definedName>
    <definedName name="Reelpack_BG_Reel4_Section01" localSheetId="5">Reelstrip_FG!$E$4</definedName>
    <definedName name="Reelpack_BG_Reel4_Section01">Reelstrip_BG!$E$4</definedName>
    <definedName name="Reelpack_BG_Reel4_Section02" localSheetId="5">Reelstrip_FG!#REF!</definedName>
    <definedName name="Reelpack_BG_Reel4_Section02">Reelstrip_BG!#REF!</definedName>
    <definedName name="Reelpack_BG_Reel5_Section01" localSheetId="5">Reelstrip_FG!$F$4</definedName>
    <definedName name="Reelpack_BG_Reel5_Section01">Reelstrip_BG!$F$4</definedName>
    <definedName name="Reelpack_BG_Reel5_Section02" localSheetId="5">Reelstrip_FG!#REF!</definedName>
    <definedName name="Reelpack_BG_Reel5_Section02">Reelstrip_BG!#REF!</definedName>
    <definedName name="Symbols">ScepterInput!$I$5:$I$54</definedName>
  </definedNames>
  <calcPr calcId="191028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88" i="872" l="1"/>
  <c r="AL89" i="872"/>
  <c r="AL90" i="872"/>
  <c r="AL91" i="872"/>
  <c r="AL92" i="872"/>
  <c r="AL93" i="872"/>
  <c r="AL94" i="872"/>
  <c r="AL95" i="872"/>
  <c r="AL96" i="872"/>
  <c r="AL97" i="872"/>
  <c r="AL98" i="872"/>
  <c r="AL99" i="872"/>
  <c r="AL100" i="872"/>
  <c r="AL101" i="872"/>
  <c r="AI89" i="872"/>
  <c r="AI90" i="872"/>
  <c r="AI91" i="872"/>
  <c r="AI92" i="872"/>
  <c r="AI93" i="872"/>
  <c r="AI94" i="872"/>
  <c r="AI95" i="872"/>
  <c r="AI96" i="872"/>
  <c r="AI97" i="872"/>
  <c r="AI98" i="872"/>
  <c r="AI99" i="872"/>
  <c r="AI100" i="872"/>
  <c r="AI101" i="872"/>
  <c r="AI88" i="872"/>
  <c r="AF89" i="872"/>
  <c r="AF90" i="872"/>
  <c r="AF91" i="872"/>
  <c r="AF92" i="872"/>
  <c r="AF93" i="872"/>
  <c r="AF94" i="872"/>
  <c r="AF95" i="872"/>
  <c r="AF96" i="872"/>
  <c r="AF97" i="872"/>
  <c r="AF98" i="872"/>
  <c r="AF99" i="872"/>
  <c r="AF100" i="872"/>
  <c r="AF101" i="872"/>
  <c r="AF88" i="872"/>
  <c r="AC89" i="872"/>
  <c r="AC90" i="872"/>
  <c r="AC91" i="872"/>
  <c r="AC92" i="872"/>
  <c r="AC93" i="872"/>
  <c r="AC94" i="872"/>
  <c r="AC95" i="872"/>
  <c r="AC96" i="872"/>
  <c r="AC97" i="872"/>
  <c r="AC98" i="872"/>
  <c r="AC99" i="872"/>
  <c r="AC100" i="872"/>
  <c r="AC101" i="872"/>
  <c r="AC88" i="872"/>
  <c r="AM89" i="872"/>
  <c r="AM90" i="872"/>
  <c r="AM91" i="872"/>
  <c r="AM92" i="872"/>
  <c r="AM93" i="872"/>
  <c r="AM94" i="872"/>
  <c r="AM95" i="872"/>
  <c r="AM96" i="872"/>
  <c r="AM97" i="872"/>
  <c r="AM98" i="872"/>
  <c r="AM99" i="872"/>
  <c r="AM100" i="872"/>
  <c r="AM101" i="872"/>
  <c r="AM88" i="872"/>
  <c r="AJ89" i="872"/>
  <c r="AJ90" i="872"/>
  <c r="AJ91" i="872"/>
  <c r="AJ92" i="872"/>
  <c r="AJ93" i="872"/>
  <c r="AJ94" i="872"/>
  <c r="AJ95" i="872"/>
  <c r="AJ96" i="872"/>
  <c r="AJ97" i="872"/>
  <c r="AJ98" i="872"/>
  <c r="AJ99" i="872"/>
  <c r="AJ100" i="872"/>
  <c r="AJ101" i="872"/>
  <c r="AJ88" i="872"/>
  <c r="AG89" i="872"/>
  <c r="AG90" i="872"/>
  <c r="AG91" i="872"/>
  <c r="AG92" i="872"/>
  <c r="AG93" i="872"/>
  <c r="AG94" i="872"/>
  <c r="AG95" i="872"/>
  <c r="AG96" i="872"/>
  <c r="AG97" i="872"/>
  <c r="AG98" i="872"/>
  <c r="AG99" i="872"/>
  <c r="AG100" i="872"/>
  <c r="AG101" i="872"/>
  <c r="AG88" i="872"/>
  <c r="AD89" i="872"/>
  <c r="AD90" i="872"/>
  <c r="AD91" i="872"/>
  <c r="AD92" i="872"/>
  <c r="AD93" i="872"/>
  <c r="AD94" i="872"/>
  <c r="AD95" i="872"/>
  <c r="AD96" i="872"/>
  <c r="AD97" i="872"/>
  <c r="AD98" i="872"/>
  <c r="AD99" i="872"/>
  <c r="AD100" i="872"/>
  <c r="AD101" i="872"/>
  <c r="AD88" i="872"/>
  <c r="AA89" i="872"/>
  <c r="AA90" i="872"/>
  <c r="AA91" i="872"/>
  <c r="AA92" i="872"/>
  <c r="AA93" i="872"/>
  <c r="AA94" i="872"/>
  <c r="AA95" i="872"/>
  <c r="AA96" i="872"/>
  <c r="AA97" i="872"/>
  <c r="AA98" i="872"/>
  <c r="AA99" i="872"/>
  <c r="AA100" i="872"/>
  <c r="AA101" i="872"/>
  <c r="AA88" i="872"/>
  <c r="Z89" i="872"/>
  <c r="Z90" i="872"/>
  <c r="Z91" i="872"/>
  <c r="Z92" i="872"/>
  <c r="Z93" i="872"/>
  <c r="Z94" i="872"/>
  <c r="Z95" i="872"/>
  <c r="Z96" i="872"/>
  <c r="Z97" i="872"/>
  <c r="Z98" i="872"/>
  <c r="Z99" i="872"/>
  <c r="Z100" i="872"/>
  <c r="Z101" i="872"/>
  <c r="Z88" i="872"/>
  <c r="W89" i="872"/>
  <c r="W90" i="872"/>
  <c r="W91" i="872"/>
  <c r="W92" i="872"/>
  <c r="W93" i="872"/>
  <c r="W94" i="872"/>
  <c r="W95" i="872"/>
  <c r="W96" i="872"/>
  <c r="W97" i="872"/>
  <c r="W98" i="872"/>
  <c r="W99" i="872"/>
  <c r="W100" i="872"/>
  <c r="W101" i="872"/>
  <c r="T101" i="872"/>
  <c r="T89" i="872"/>
  <c r="T90" i="872"/>
  <c r="T91" i="872"/>
  <c r="T92" i="872"/>
  <c r="T93" i="872"/>
  <c r="T94" i="872"/>
  <c r="T95" i="872"/>
  <c r="T96" i="872"/>
  <c r="T97" i="872"/>
  <c r="T98" i="872"/>
  <c r="T99" i="872"/>
  <c r="T100" i="872"/>
  <c r="T88" i="872"/>
  <c r="W88" i="872"/>
  <c r="X89" i="872"/>
  <c r="X90" i="872"/>
  <c r="X91" i="872"/>
  <c r="X92" i="872"/>
  <c r="X93" i="872"/>
  <c r="X94" i="872"/>
  <c r="X95" i="872"/>
  <c r="X96" i="872"/>
  <c r="X97" i="872"/>
  <c r="X98" i="872"/>
  <c r="X99" i="872"/>
  <c r="X100" i="872"/>
  <c r="X101" i="872"/>
  <c r="X88" i="872"/>
  <c r="U89" i="872"/>
  <c r="U90" i="872"/>
  <c r="U91" i="872"/>
  <c r="U92" i="872"/>
  <c r="U93" i="872"/>
  <c r="U94" i="872"/>
  <c r="U95" i="872"/>
  <c r="U96" i="872"/>
  <c r="U97" i="872"/>
  <c r="U98" i="872"/>
  <c r="U99" i="872"/>
  <c r="U100" i="872"/>
  <c r="U101" i="872"/>
  <c r="U88" i="872"/>
  <c r="Q88" i="872"/>
  <c r="R89" i="872"/>
  <c r="R90" i="872"/>
  <c r="R91" i="872"/>
  <c r="R92" i="872"/>
  <c r="R93" i="872"/>
  <c r="R94" i="872"/>
  <c r="R95" i="872"/>
  <c r="R96" i="872"/>
  <c r="R97" i="872"/>
  <c r="R98" i="872"/>
  <c r="R99" i="872"/>
  <c r="R100" i="872"/>
  <c r="R101" i="872"/>
  <c r="R88" i="872"/>
  <c r="Q101" i="872"/>
  <c r="Q89" i="872"/>
  <c r="Q90" i="872"/>
  <c r="Q91" i="872"/>
  <c r="Q92" i="872"/>
  <c r="Q93" i="872"/>
  <c r="Q94" i="872"/>
  <c r="Q95" i="872"/>
  <c r="Q96" i="872"/>
  <c r="Q97" i="872"/>
  <c r="Q98" i="872"/>
  <c r="Q99" i="872"/>
  <c r="Q100" i="872"/>
  <c r="B5" i="879"/>
  <c r="C36" i="880" a="1"/>
  <c r="C36" i="880" s="1"/>
  <c r="C25" i="880" a="1"/>
  <c r="C22" i="880" a="1"/>
  <c r="C32" i="880" a="1"/>
  <c r="C24" i="880" a="1"/>
  <c r="C23" i="880" a="1"/>
  <c r="C31" i="880" a="1"/>
  <c r="C33" i="880" a="1"/>
  <c r="C21" i="880" a="1"/>
  <c r="C20" i="880" a="1"/>
  <c r="C26" i="880" a="1"/>
  <c r="C27" i="880" a="1"/>
  <c r="C29" i="880" a="1"/>
  <c r="C30" i="880" a="1"/>
  <c r="C28" i="880" a="1"/>
  <c r="C20" i="880" l="1"/>
  <c r="C21" i="880"/>
  <c r="C33" i="880"/>
  <c r="C31" i="880"/>
  <c r="C25" i="880"/>
  <c r="C24" i="880"/>
  <c r="C32" i="880"/>
  <c r="C29" i="880"/>
  <c r="C22" i="880"/>
  <c r="C30" i="880"/>
  <c r="C28" i="880"/>
  <c r="C27" i="880"/>
  <c r="C26" i="880"/>
  <c r="C23" i="880"/>
  <c r="Q68" i="872" l="1"/>
  <c r="Q78" i="872" s="1"/>
  <c r="Q63" i="872"/>
  <c r="Q73" i="872" s="1"/>
  <c r="Q83" i="872" s="1"/>
  <c r="Q72" i="872"/>
  <c r="Q61" i="872"/>
  <c r="Q71" i="872" s="1"/>
  <c r="Q81" i="872" s="1"/>
  <c r="Q60" i="872"/>
  <c r="Q70" i="872" s="1"/>
  <c r="Q80" i="872" s="1"/>
  <c r="Q59" i="872"/>
  <c r="Q69" i="872" s="1"/>
  <c r="Q79" i="872" s="1"/>
  <c r="Q58" i="872"/>
  <c r="V53" i="872"/>
  <c r="AA53" i="872" s="1"/>
  <c r="V52" i="872"/>
  <c r="AA52" i="872" s="1"/>
  <c r="V51" i="872"/>
  <c r="V61" i="872" s="1"/>
  <c r="V71" i="872" s="1"/>
  <c r="V81" i="872" s="1"/>
  <c r="V50" i="872"/>
  <c r="V60" i="872" s="1"/>
  <c r="V70" i="872" s="1"/>
  <c r="V80" i="872" s="1"/>
  <c r="V49" i="872"/>
  <c r="AA49" i="872" s="1"/>
  <c r="V48" i="872"/>
  <c r="AA48" i="872" s="1"/>
  <c r="I60" i="867" a="1"/>
  <c r="I60" i="867" s="1"/>
  <c r="B60" i="867" a="1"/>
  <c r="B60" i="867" s="1"/>
  <c r="B5" i="867" s="1"/>
  <c r="I61" i="879" a="1"/>
  <c r="I61" i="879" s="1"/>
  <c r="I5" i="879" s="1" a="1"/>
  <c r="I5" i="879" s="1"/>
  <c r="B61" i="879" a="1"/>
  <c r="B61" i="879" s="1"/>
  <c r="HD60" i="867" a="1"/>
  <c r="HD60" i="867" s="1"/>
  <c r="HD5" i="867" s="1"/>
  <c r="V59" i="872" l="1"/>
  <c r="V69" i="872" s="1"/>
  <c r="V79" i="872" s="1"/>
  <c r="V63" i="872"/>
  <c r="V73" i="872" s="1"/>
  <c r="V83" i="872" s="1"/>
  <c r="V82" i="872"/>
  <c r="V58" i="872"/>
  <c r="V68" i="872" s="1"/>
  <c r="V78" i="872" s="1"/>
  <c r="AF52" i="872"/>
  <c r="AF82" i="872" s="1"/>
  <c r="AA82" i="872"/>
  <c r="AF53" i="872"/>
  <c r="AF63" i="872" s="1"/>
  <c r="AF73" i="872" s="1"/>
  <c r="AF83" i="872" s="1"/>
  <c r="AA63" i="872"/>
  <c r="AA73" i="872" s="1"/>
  <c r="AA83" i="872" s="1"/>
  <c r="AF48" i="872"/>
  <c r="AF58" i="872" s="1"/>
  <c r="AF68" i="872" s="1"/>
  <c r="AF78" i="872" s="1"/>
  <c r="AA58" i="872"/>
  <c r="AA68" i="872" s="1"/>
  <c r="AA78" i="872" s="1"/>
  <c r="AF49" i="872"/>
  <c r="AF59" i="872" s="1"/>
  <c r="AF69" i="872" s="1"/>
  <c r="AF79" i="872" s="1"/>
  <c r="AA59" i="872"/>
  <c r="AA69" i="872" s="1"/>
  <c r="AA79" i="872" s="1"/>
  <c r="AA50" i="872"/>
  <c r="AA51" i="872"/>
  <c r="C20" i="879"/>
  <c r="HH31" i="867"/>
  <c r="B32" i="879"/>
  <c r="HG28" i="867"/>
  <c r="HE32" i="867"/>
  <c r="HD43" i="867"/>
  <c r="HH29" i="867"/>
  <c r="D31" i="879"/>
  <c r="C43" i="879"/>
  <c r="F30" i="879"/>
  <c r="F16" i="879"/>
  <c r="HD21" i="867"/>
  <c r="HF54" i="867"/>
  <c r="HE54" i="867"/>
  <c r="HF42" i="867"/>
  <c r="HH8" i="867"/>
  <c r="HG30" i="867"/>
  <c r="HE8" i="867"/>
  <c r="HE52" i="867"/>
  <c r="B19" i="879"/>
  <c r="HD51" i="867"/>
  <c r="HH39" i="867"/>
  <c r="HF17" i="867"/>
  <c r="HF28" i="867"/>
  <c r="HG54" i="867"/>
  <c r="HE43" i="867"/>
  <c r="HG53" i="867"/>
  <c r="HD41" i="867"/>
  <c r="B16" i="879"/>
  <c r="HD50" i="867"/>
  <c r="HG27" i="867"/>
  <c r="F42" i="879"/>
  <c r="HF27" i="867"/>
  <c r="F5" i="879"/>
  <c r="C15" i="879"/>
  <c r="HD38" i="867"/>
  <c r="HH26" i="867"/>
  <c r="D5" i="879"/>
  <c r="D41" i="879"/>
  <c r="C27" i="879"/>
  <c r="E40" i="879"/>
  <c r="HF26" i="867"/>
  <c r="HD15" i="867"/>
  <c r="C53" i="879"/>
  <c r="C39" i="879"/>
  <c r="D26" i="879"/>
  <c r="B14" i="879"/>
  <c r="HD48" i="867"/>
  <c r="HH36" i="867"/>
  <c r="HG25" i="867"/>
  <c r="HF14" i="867"/>
  <c r="E52" i="879"/>
  <c r="D38" i="879"/>
  <c r="C26" i="879"/>
  <c r="D13" i="879"/>
  <c r="HD20" i="867"/>
  <c r="B45" i="879"/>
  <c r="F43" i="879"/>
  <c r="D29" i="879"/>
  <c r="HH49" i="867"/>
  <c r="HG38" i="867"/>
  <c r="HE16" i="867"/>
  <c r="E42" i="879"/>
  <c r="C28" i="879"/>
  <c r="D15" i="879"/>
  <c r="HF49" i="867"/>
  <c r="HE38" i="867"/>
  <c r="HH15" i="867"/>
  <c r="E5" i="879"/>
  <c r="B28" i="879"/>
  <c r="HE49" i="867"/>
  <c r="HG15" i="867"/>
  <c r="B15" i="879"/>
  <c r="HD49" i="867"/>
  <c r="HH37" i="867"/>
  <c r="HG26" i="867"/>
  <c r="HF15" i="867"/>
  <c r="C5" i="879"/>
  <c r="B27" i="879"/>
  <c r="F14" i="879"/>
  <c r="HH48" i="867"/>
  <c r="HG37" i="867"/>
  <c r="HE15" i="867"/>
  <c r="F53" i="879"/>
  <c r="D39" i="879"/>
  <c r="E26" i="879"/>
  <c r="E14" i="879"/>
  <c r="HG48" i="867"/>
  <c r="HF37" i="867"/>
  <c r="HE26" i="867"/>
  <c r="HF47" i="867"/>
  <c r="HE36" i="867"/>
  <c r="HD25" i="867"/>
  <c r="HH13" i="867"/>
  <c r="F51" i="879"/>
  <c r="C38" i="879"/>
  <c r="B26" i="879"/>
  <c r="E12" i="879"/>
  <c r="HG46" i="867"/>
  <c r="HF35" i="867"/>
  <c r="HE24" i="867"/>
  <c r="HD13" i="867"/>
  <c r="E50" i="879"/>
  <c r="F37" i="879"/>
  <c r="F25" i="879"/>
  <c r="D11" i="879"/>
  <c r="HF45" i="867"/>
  <c r="HE34" i="867"/>
  <c r="HD23" i="867"/>
  <c r="HH11" i="867"/>
  <c r="D50" i="879"/>
  <c r="E37" i="879"/>
  <c r="C25" i="879"/>
  <c r="C11" i="879"/>
  <c r="D43" i="879"/>
  <c r="HF16" i="867"/>
  <c r="HH16" i="867"/>
  <c r="HE6" i="867"/>
  <c r="C30" i="879"/>
  <c r="HH38" i="867"/>
  <c r="F15" i="879"/>
  <c r="HD27" i="867"/>
  <c r="B42" i="879"/>
  <c r="HE45" i="867"/>
  <c r="HD34" i="867"/>
  <c r="HH22" i="867"/>
  <c r="HG11" i="867"/>
  <c r="E49" i="879"/>
  <c r="D37" i="879"/>
  <c r="E24" i="879"/>
  <c r="D10" i="879"/>
  <c r="HH44" i="867"/>
  <c r="HG33" i="867"/>
  <c r="HF22" i="867"/>
  <c r="HE11" i="867"/>
  <c r="D49" i="879"/>
  <c r="C37" i="879"/>
  <c r="F23" i="879"/>
  <c r="C10" i="879"/>
  <c r="HG44" i="867"/>
  <c r="HF33" i="867"/>
  <c r="HE22" i="867"/>
  <c r="HD11" i="867"/>
  <c r="B49" i="879"/>
  <c r="B37" i="879"/>
  <c r="E22" i="879"/>
  <c r="F9" i="879"/>
  <c r="HH10" i="867"/>
  <c r="F48" i="879"/>
  <c r="D36" i="879"/>
  <c r="D22" i="879"/>
  <c r="E9" i="879"/>
  <c r="HF43" i="867"/>
  <c r="HD32" i="867"/>
  <c r="HH20" i="867"/>
  <c r="HE31" i="867"/>
  <c r="HH41" i="867"/>
  <c r="HF19" i="867"/>
  <c r="HG18" i="867"/>
  <c r="E31" i="879"/>
  <c r="HF50" i="867"/>
  <c r="B43" i="879"/>
  <c r="HH5" i="867"/>
  <c r="HF44" i="867"/>
  <c r="HE33" i="867"/>
  <c r="HD22" i="867"/>
  <c r="HG5" i="867"/>
  <c r="HE44" i="867"/>
  <c r="HD33" i="867"/>
  <c r="HH21" i="867"/>
  <c r="HG10" i="867"/>
  <c r="E48" i="879"/>
  <c r="F35" i="879"/>
  <c r="E21" i="879"/>
  <c r="D9" i="879"/>
  <c r="HD53" i="867"/>
  <c r="F44" i="879"/>
  <c r="C18" i="879"/>
  <c r="HH50" i="867"/>
  <c r="HG39" i="867"/>
  <c r="HE17" i="867"/>
  <c r="HD6" i="867"/>
  <c r="HE10" i="867"/>
  <c r="D48" i="879"/>
  <c r="B35" i="879"/>
  <c r="D21" i="879"/>
  <c r="C9" i="879"/>
  <c r="HG20" i="867"/>
  <c r="C32" i="879"/>
  <c r="E19" i="879"/>
  <c r="HF7" i="867"/>
  <c r="B44" i="879"/>
  <c r="F31" i="879"/>
  <c r="B17" i="879"/>
  <c r="HE39" i="867"/>
  <c r="HD28" i="867"/>
  <c r="HE50" i="867"/>
  <c r="HD39" i="867"/>
  <c r="HH27" i="867"/>
  <c r="HG16" i="867"/>
  <c r="HE5" i="867"/>
  <c r="HH43" i="867"/>
  <c r="HG32" i="867"/>
  <c r="HF21" i="867"/>
  <c r="HH54" i="867"/>
  <c r="HG43" i="867"/>
  <c r="HF32" i="867"/>
  <c r="HE21" i="867"/>
  <c r="HD10" i="867"/>
  <c r="C48" i="879"/>
  <c r="F33" i="879"/>
  <c r="B21" i="879"/>
  <c r="B9" i="879"/>
  <c r="HH9" i="867"/>
  <c r="E47" i="879"/>
  <c r="E33" i="879"/>
  <c r="F20" i="879"/>
  <c r="D8" i="879"/>
  <c r="HG9" i="867"/>
  <c r="B47" i="879"/>
  <c r="F32" i="879"/>
  <c r="E20" i="879"/>
  <c r="F7" i="879"/>
  <c r="HF9" i="867"/>
  <c r="C46" i="879"/>
  <c r="E32" i="879"/>
  <c r="D20" i="879"/>
  <c r="B7" i="879"/>
  <c r="HF5" i="867"/>
  <c r="HG49" i="867"/>
  <c r="HD44" i="867"/>
  <c r="HF38" i="867"/>
  <c r="HH32" i="867"/>
  <c r="HE27" i="867"/>
  <c r="HG21" i="867"/>
  <c r="HD16" i="867"/>
  <c r="HF10" i="867"/>
  <c r="C49" i="879"/>
  <c r="E43" i="879"/>
  <c r="B38" i="879"/>
  <c r="D32" i="879"/>
  <c r="F26" i="879"/>
  <c r="C21" i="879"/>
  <c r="E15" i="879"/>
  <c r="B10" i="879"/>
  <c r="HD54" i="867"/>
  <c r="HF48" i="867"/>
  <c r="HH42" i="867"/>
  <c r="HE37" i="867"/>
  <c r="HG31" i="867"/>
  <c r="HD26" i="867"/>
  <c r="HF20" i="867"/>
  <c r="HH14" i="867"/>
  <c r="HE9" i="867"/>
  <c r="E53" i="879"/>
  <c r="B48" i="879"/>
  <c r="D42" i="879"/>
  <c r="F36" i="879"/>
  <c r="C31" i="879"/>
  <c r="E25" i="879"/>
  <c r="B20" i="879"/>
  <c r="D14" i="879"/>
  <c r="F8" i="879"/>
  <c r="HH53" i="867"/>
  <c r="HE48" i="867"/>
  <c r="HG42" i="867"/>
  <c r="HD37" i="867"/>
  <c r="HF31" i="867"/>
  <c r="HH25" i="867"/>
  <c r="HE20" i="867"/>
  <c r="HG14" i="867"/>
  <c r="HD9" i="867"/>
  <c r="D53" i="879"/>
  <c r="F47" i="879"/>
  <c r="C42" i="879"/>
  <c r="E36" i="879"/>
  <c r="B31" i="879"/>
  <c r="D25" i="879"/>
  <c r="F19" i="879"/>
  <c r="C14" i="879"/>
  <c r="E8" i="879"/>
  <c r="HF53" i="867"/>
  <c r="HH47" i="867"/>
  <c r="HE42" i="867"/>
  <c r="HG36" i="867"/>
  <c r="HD31" i="867"/>
  <c r="HF25" i="867"/>
  <c r="HH19" i="867"/>
  <c r="HE14" i="867"/>
  <c r="HG8" i="867"/>
  <c r="B53" i="879"/>
  <c r="D47" i="879"/>
  <c r="F41" i="879"/>
  <c r="C36" i="879"/>
  <c r="E30" i="879"/>
  <c r="B25" i="879"/>
  <c r="D19" i="879"/>
  <c r="F13" i="879"/>
  <c r="C8" i="879"/>
  <c r="HE53" i="867"/>
  <c r="HG47" i="867"/>
  <c r="HD42" i="867"/>
  <c r="HF36" i="867"/>
  <c r="HH30" i="867"/>
  <c r="HE25" i="867"/>
  <c r="HG19" i="867"/>
  <c r="HD14" i="867"/>
  <c r="HF8" i="867"/>
  <c r="F52" i="879"/>
  <c r="C47" i="879"/>
  <c r="E41" i="879"/>
  <c r="B36" i="879"/>
  <c r="D30" i="879"/>
  <c r="F24" i="879"/>
  <c r="C19" i="879"/>
  <c r="E13" i="879"/>
  <c r="B8" i="879"/>
  <c r="HH52" i="867"/>
  <c r="HE47" i="867"/>
  <c r="HG41" i="867"/>
  <c r="HD36" i="867"/>
  <c r="HF30" i="867"/>
  <c r="HH24" i="867"/>
  <c r="HE19" i="867"/>
  <c r="HG13" i="867"/>
  <c r="HD8" i="867"/>
  <c r="D52" i="879"/>
  <c r="F46" i="879"/>
  <c r="C41" i="879"/>
  <c r="E35" i="879"/>
  <c r="B30" i="879"/>
  <c r="D24" i="879"/>
  <c r="F18" i="879"/>
  <c r="C13" i="879"/>
  <c r="E7" i="879"/>
  <c r="HG52" i="867"/>
  <c r="HD47" i="867"/>
  <c r="HF41" i="867"/>
  <c r="HH35" i="867"/>
  <c r="HE30" i="867"/>
  <c r="HG24" i="867"/>
  <c r="HD19" i="867"/>
  <c r="HF13" i="867"/>
  <c r="HH7" i="867"/>
  <c r="C52" i="879"/>
  <c r="E46" i="879"/>
  <c r="B41" i="879"/>
  <c r="D35" i="879"/>
  <c r="F29" i="879"/>
  <c r="C24" i="879"/>
  <c r="E18" i="879"/>
  <c r="B13" i="879"/>
  <c r="D7" i="879"/>
  <c r="HF52" i="867"/>
  <c r="HH46" i="867"/>
  <c r="HE41" i="867"/>
  <c r="HG35" i="867"/>
  <c r="HD30" i="867"/>
  <c r="HF24" i="867"/>
  <c r="HH18" i="867"/>
  <c r="HE13" i="867"/>
  <c r="HG7" i="867"/>
  <c r="B52" i="879"/>
  <c r="D46" i="879"/>
  <c r="F40" i="879"/>
  <c r="C35" i="879"/>
  <c r="E29" i="879"/>
  <c r="B24" i="879"/>
  <c r="D18" i="879"/>
  <c r="F12" i="879"/>
  <c r="C7" i="879"/>
  <c r="HD52" i="867"/>
  <c r="HF46" i="867"/>
  <c r="HH40" i="867"/>
  <c r="HE35" i="867"/>
  <c r="HG29" i="867"/>
  <c r="HD24" i="867"/>
  <c r="HF18" i="867"/>
  <c r="HH12" i="867"/>
  <c r="HE7" i="867"/>
  <c r="E51" i="879"/>
  <c r="B46" i="879"/>
  <c r="D40" i="879"/>
  <c r="F34" i="879"/>
  <c r="C29" i="879"/>
  <c r="E23" i="879"/>
  <c r="B18" i="879"/>
  <c r="D12" i="879"/>
  <c r="F6" i="879"/>
  <c r="HH51" i="867"/>
  <c r="HE46" i="867"/>
  <c r="HG40" i="867"/>
  <c r="HD35" i="867"/>
  <c r="HF29" i="867"/>
  <c r="HH23" i="867"/>
  <c r="HE18" i="867"/>
  <c r="HG12" i="867"/>
  <c r="HD7" i="867"/>
  <c r="D51" i="879"/>
  <c r="F45" i="879"/>
  <c r="C40" i="879"/>
  <c r="E34" i="879"/>
  <c r="B29" i="879"/>
  <c r="D23" i="879"/>
  <c r="F17" i="879"/>
  <c r="C12" i="879"/>
  <c r="E6" i="879"/>
  <c r="HG51" i="867"/>
  <c r="HD46" i="867"/>
  <c r="HF40" i="867"/>
  <c r="HH34" i="867"/>
  <c r="HE29" i="867"/>
  <c r="HG23" i="867"/>
  <c r="HD18" i="867"/>
  <c r="HF12" i="867"/>
  <c r="HH6" i="867"/>
  <c r="C51" i="879"/>
  <c r="E45" i="879"/>
  <c r="B40" i="879"/>
  <c r="D34" i="879"/>
  <c r="F28" i="879"/>
  <c r="C23" i="879"/>
  <c r="E17" i="879"/>
  <c r="B12" i="879"/>
  <c r="D6" i="879"/>
  <c r="HF51" i="867"/>
  <c r="HH45" i="867"/>
  <c r="HE40" i="867"/>
  <c r="HG34" i="867"/>
  <c r="HD29" i="867"/>
  <c r="HF23" i="867"/>
  <c r="HH17" i="867"/>
  <c r="HE12" i="867"/>
  <c r="HG6" i="867"/>
  <c r="B51" i="879"/>
  <c r="D45" i="879"/>
  <c r="F39" i="879"/>
  <c r="C34" i="879"/>
  <c r="E28" i="879"/>
  <c r="B23" i="879"/>
  <c r="D17" i="879"/>
  <c r="F11" i="879"/>
  <c r="C6" i="879"/>
  <c r="HE51" i="867"/>
  <c r="HG45" i="867"/>
  <c r="HD40" i="867"/>
  <c r="HF34" i="867"/>
  <c r="HH28" i="867"/>
  <c r="HE23" i="867"/>
  <c r="HG17" i="867"/>
  <c r="HD12" i="867"/>
  <c r="HF6" i="867"/>
  <c r="F50" i="879"/>
  <c r="C45" i="879"/>
  <c r="E39" i="879"/>
  <c r="B34" i="879"/>
  <c r="D28" i="879"/>
  <c r="F22" i="879"/>
  <c r="C17" i="879"/>
  <c r="E11" i="879"/>
  <c r="B6" i="879"/>
  <c r="HG50" i="867"/>
  <c r="HD45" i="867"/>
  <c r="HF39" i="867"/>
  <c r="HH33" i="867"/>
  <c r="HE28" i="867"/>
  <c r="HG22" i="867"/>
  <c r="HD17" i="867"/>
  <c r="HF11" i="867"/>
  <c r="C50" i="879"/>
  <c r="E44" i="879"/>
  <c r="B39" i="879"/>
  <c r="D33" i="879"/>
  <c r="F27" i="879"/>
  <c r="C22" i="879"/>
  <c r="E16" i="879"/>
  <c r="B11" i="879"/>
  <c r="B50" i="879"/>
  <c r="D44" i="879"/>
  <c r="F38" i="879"/>
  <c r="C33" i="879"/>
  <c r="E27" i="879"/>
  <c r="B22" i="879"/>
  <c r="D16" i="879"/>
  <c r="F10" i="879"/>
  <c r="F49" i="879"/>
  <c r="C44" i="879"/>
  <c r="E38" i="879"/>
  <c r="B33" i="879"/>
  <c r="D27" i="879"/>
  <c r="F21" i="879"/>
  <c r="C16" i="879"/>
  <c r="E10" i="879"/>
  <c r="R6" i="867"/>
  <c r="S6" i="867"/>
  <c r="T6" i="867"/>
  <c r="Q7" i="867"/>
  <c r="R7" i="867"/>
  <c r="S7" i="867"/>
  <c r="T9" i="867"/>
  <c r="P10" i="867"/>
  <c r="R10" i="867"/>
  <c r="Q11" i="867"/>
  <c r="T11" i="867"/>
  <c r="P12" i="867"/>
  <c r="S12" i="867"/>
  <c r="R13" i="867"/>
  <c r="P14" i="867"/>
  <c r="Q14" i="867"/>
  <c r="R14" i="867"/>
  <c r="Q17" i="867"/>
  <c r="R17" i="867"/>
  <c r="R18" i="867"/>
  <c r="T18" i="867"/>
  <c r="P19" i="867"/>
  <c r="R21" i="867"/>
  <c r="P22" i="867"/>
  <c r="R22" i="867"/>
  <c r="Q24" i="867"/>
  <c r="R24" i="867"/>
  <c r="R25" i="867"/>
  <c r="T26" i="867"/>
  <c r="P27" i="867"/>
  <c r="S28" i="867"/>
  <c r="R29" i="867"/>
  <c r="T29" i="867"/>
  <c r="P34" i="867"/>
  <c r="T36" i="867"/>
  <c r="R38" i="867"/>
  <c r="P46" i="867"/>
  <c r="B6" i="867"/>
  <c r="C6" i="867"/>
  <c r="D6" i="867"/>
  <c r="E6" i="867"/>
  <c r="F6" i="867"/>
  <c r="B7" i="867"/>
  <c r="C7" i="867"/>
  <c r="D7" i="867"/>
  <c r="E7" i="867"/>
  <c r="F7" i="867"/>
  <c r="B8" i="867"/>
  <c r="C8" i="867"/>
  <c r="D8" i="867"/>
  <c r="E8" i="867"/>
  <c r="F8" i="867"/>
  <c r="B9" i="867"/>
  <c r="C9" i="867"/>
  <c r="D9" i="867"/>
  <c r="E9" i="867"/>
  <c r="F9" i="867"/>
  <c r="B10" i="867"/>
  <c r="C10" i="867"/>
  <c r="D10" i="867"/>
  <c r="E10" i="867"/>
  <c r="F10" i="867"/>
  <c r="B11" i="867"/>
  <c r="C11" i="867"/>
  <c r="D11" i="867"/>
  <c r="E11" i="867"/>
  <c r="F11" i="867"/>
  <c r="B12" i="867"/>
  <c r="C12" i="867"/>
  <c r="D12" i="867"/>
  <c r="E12" i="867"/>
  <c r="F12" i="867"/>
  <c r="B13" i="867"/>
  <c r="C13" i="867"/>
  <c r="D13" i="867"/>
  <c r="E13" i="867"/>
  <c r="F13" i="867"/>
  <c r="B14" i="867"/>
  <c r="C14" i="867"/>
  <c r="D14" i="867"/>
  <c r="E14" i="867"/>
  <c r="F14" i="867"/>
  <c r="B15" i="867"/>
  <c r="C15" i="867"/>
  <c r="D15" i="867"/>
  <c r="E15" i="867"/>
  <c r="F15" i="867"/>
  <c r="B16" i="867"/>
  <c r="C16" i="867"/>
  <c r="D16" i="867"/>
  <c r="E16" i="867"/>
  <c r="F16" i="867"/>
  <c r="B17" i="867"/>
  <c r="C17" i="867"/>
  <c r="D17" i="867"/>
  <c r="E17" i="867"/>
  <c r="F17" i="867"/>
  <c r="B18" i="867"/>
  <c r="C18" i="867"/>
  <c r="D18" i="867"/>
  <c r="E18" i="867"/>
  <c r="F18" i="867"/>
  <c r="B19" i="867"/>
  <c r="C19" i="867"/>
  <c r="D19" i="867"/>
  <c r="E19" i="867"/>
  <c r="F19" i="867"/>
  <c r="B20" i="867"/>
  <c r="C20" i="867"/>
  <c r="D20" i="867"/>
  <c r="E20" i="867"/>
  <c r="F20" i="867"/>
  <c r="B21" i="867"/>
  <c r="C21" i="867"/>
  <c r="D21" i="867"/>
  <c r="E21" i="867"/>
  <c r="F21" i="867"/>
  <c r="B22" i="867"/>
  <c r="C22" i="867"/>
  <c r="D22" i="867"/>
  <c r="E22" i="867"/>
  <c r="F22" i="867"/>
  <c r="B23" i="867"/>
  <c r="C23" i="867"/>
  <c r="D23" i="867"/>
  <c r="E23" i="867"/>
  <c r="F23" i="867"/>
  <c r="B24" i="867"/>
  <c r="C24" i="867"/>
  <c r="D24" i="867"/>
  <c r="E24" i="867"/>
  <c r="F24" i="867"/>
  <c r="B25" i="867"/>
  <c r="C25" i="867"/>
  <c r="D25" i="867"/>
  <c r="E25" i="867"/>
  <c r="F25" i="867"/>
  <c r="B26" i="867"/>
  <c r="C26" i="867"/>
  <c r="D26" i="867"/>
  <c r="E26" i="867"/>
  <c r="F26" i="867"/>
  <c r="B27" i="867"/>
  <c r="C27" i="867"/>
  <c r="D27" i="867"/>
  <c r="E27" i="867"/>
  <c r="F27" i="867"/>
  <c r="B28" i="867"/>
  <c r="C28" i="867"/>
  <c r="D28" i="867"/>
  <c r="E28" i="867"/>
  <c r="F28" i="867"/>
  <c r="B29" i="867"/>
  <c r="C29" i="867"/>
  <c r="D29" i="867"/>
  <c r="E29" i="867"/>
  <c r="F29" i="867"/>
  <c r="B30" i="867"/>
  <c r="C30" i="867"/>
  <c r="D30" i="867"/>
  <c r="E30" i="867"/>
  <c r="F30" i="867"/>
  <c r="B31" i="867"/>
  <c r="C31" i="867"/>
  <c r="D31" i="867"/>
  <c r="E31" i="867"/>
  <c r="F31" i="867"/>
  <c r="B32" i="867"/>
  <c r="C32" i="867"/>
  <c r="D32" i="867"/>
  <c r="E32" i="867"/>
  <c r="F32" i="867"/>
  <c r="B33" i="867"/>
  <c r="C33" i="867"/>
  <c r="D33" i="867"/>
  <c r="E33" i="867"/>
  <c r="F33" i="867"/>
  <c r="B34" i="867"/>
  <c r="C34" i="867"/>
  <c r="D34" i="867"/>
  <c r="E34" i="867"/>
  <c r="F34" i="867"/>
  <c r="B35" i="867"/>
  <c r="C35" i="867"/>
  <c r="D35" i="867"/>
  <c r="E35" i="867"/>
  <c r="F35" i="867"/>
  <c r="B36" i="867"/>
  <c r="C36" i="867"/>
  <c r="D36" i="867"/>
  <c r="E36" i="867"/>
  <c r="F36" i="867"/>
  <c r="B37" i="867"/>
  <c r="C37" i="867"/>
  <c r="D37" i="867"/>
  <c r="E37" i="867"/>
  <c r="F37" i="867"/>
  <c r="B38" i="867"/>
  <c r="C38" i="867"/>
  <c r="D38" i="867"/>
  <c r="E38" i="867"/>
  <c r="F38" i="867"/>
  <c r="B39" i="867"/>
  <c r="C39" i="867"/>
  <c r="D39" i="867"/>
  <c r="E39" i="867"/>
  <c r="F39" i="867"/>
  <c r="B40" i="867"/>
  <c r="C40" i="867"/>
  <c r="D40" i="867"/>
  <c r="E40" i="867"/>
  <c r="F40" i="867"/>
  <c r="B41" i="867"/>
  <c r="C41" i="867"/>
  <c r="D41" i="867"/>
  <c r="E41" i="867"/>
  <c r="F41" i="867"/>
  <c r="B42" i="867"/>
  <c r="C42" i="867"/>
  <c r="D42" i="867"/>
  <c r="E42" i="867"/>
  <c r="F42" i="867"/>
  <c r="B43" i="867"/>
  <c r="C43" i="867"/>
  <c r="D43" i="867"/>
  <c r="E43" i="867"/>
  <c r="F43" i="867"/>
  <c r="B44" i="867"/>
  <c r="C44" i="867"/>
  <c r="D44" i="867"/>
  <c r="E44" i="867"/>
  <c r="F44" i="867"/>
  <c r="B45" i="867"/>
  <c r="C45" i="867"/>
  <c r="D45" i="867"/>
  <c r="E45" i="867"/>
  <c r="F45" i="867"/>
  <c r="B46" i="867"/>
  <c r="C46" i="867"/>
  <c r="D46" i="867"/>
  <c r="E46" i="867"/>
  <c r="F46" i="867"/>
  <c r="B47" i="867"/>
  <c r="C47" i="867"/>
  <c r="D47" i="867"/>
  <c r="E47" i="867"/>
  <c r="F47" i="867"/>
  <c r="B48" i="867"/>
  <c r="C48" i="867"/>
  <c r="D48" i="867"/>
  <c r="E48" i="867"/>
  <c r="F48" i="867"/>
  <c r="B49" i="867"/>
  <c r="C49" i="867"/>
  <c r="D49" i="867"/>
  <c r="E49" i="867"/>
  <c r="F49" i="867"/>
  <c r="B50" i="867"/>
  <c r="C50" i="867"/>
  <c r="D50" i="867"/>
  <c r="E50" i="867"/>
  <c r="F50" i="867"/>
  <c r="B51" i="867"/>
  <c r="C51" i="867"/>
  <c r="D51" i="867"/>
  <c r="E51" i="867"/>
  <c r="F51" i="867"/>
  <c r="B52" i="867"/>
  <c r="C52" i="867"/>
  <c r="D52" i="867"/>
  <c r="E52" i="867"/>
  <c r="F52" i="867"/>
  <c r="B53" i="867"/>
  <c r="C53" i="867"/>
  <c r="D53" i="867"/>
  <c r="E53" i="867"/>
  <c r="F53" i="867"/>
  <c r="C5" i="867"/>
  <c r="D5" i="867"/>
  <c r="E5" i="867"/>
  <c r="F5" i="867"/>
  <c r="I5" i="867" a="1"/>
  <c r="I5" i="867" s="1"/>
  <c r="HK60" i="867" a="1"/>
  <c r="HK60" i="867" s="1"/>
  <c r="HK5" i="867" s="1" a="1"/>
  <c r="HK5" i="867" s="1"/>
  <c r="GW60" i="867" a="1"/>
  <c r="GW60" i="867" s="1"/>
  <c r="GW5" i="867" s="1" a="1"/>
  <c r="GW5" i="867" s="1"/>
  <c r="GP60" i="867" a="1"/>
  <c r="GI60" i="867" a="1"/>
  <c r="GI60" i="867" s="1"/>
  <c r="GI5" i="867" s="1" a="1"/>
  <c r="GI5" i="867" s="1"/>
  <c r="GB60" i="867" a="1"/>
  <c r="FU60" i="867" a="1"/>
  <c r="FU60" i="867" s="1"/>
  <c r="FU5" i="867" s="1" a="1"/>
  <c r="FU5" i="867" s="1"/>
  <c r="FN60" i="867" a="1"/>
  <c r="FG60" i="867" a="1"/>
  <c r="FG60" i="867" s="1"/>
  <c r="FG5" i="867" s="1" a="1"/>
  <c r="FG5" i="867" s="1"/>
  <c r="EZ60" i="867" a="1"/>
  <c r="ES60" i="867" a="1"/>
  <c r="ES60" i="867" s="1"/>
  <c r="ES5" i="867" s="1" a="1"/>
  <c r="ES5" i="867" s="1"/>
  <c r="EL60" i="867" a="1"/>
  <c r="EE60" i="867" a="1"/>
  <c r="EE60" i="867" s="1"/>
  <c r="EE5" i="867" s="1" a="1"/>
  <c r="EE5" i="867" s="1"/>
  <c r="DX60" i="867" a="1"/>
  <c r="DQ60" i="867" a="1"/>
  <c r="DQ60" i="867" s="1"/>
  <c r="DQ5" i="867" s="1" a="1"/>
  <c r="DQ5" i="867" s="1"/>
  <c r="DJ60" i="867" a="1"/>
  <c r="DC60" i="867" a="1"/>
  <c r="DC60" i="867" s="1"/>
  <c r="DC5" i="867" s="1" a="1"/>
  <c r="DC5" i="867" s="1"/>
  <c r="CV60" i="867" a="1"/>
  <c r="CH60" i="867" a="1"/>
  <c r="CO60" i="867" a="1"/>
  <c r="CO60" i="867" s="1"/>
  <c r="CO5" i="867" s="1" a="1"/>
  <c r="CO5" i="867" s="1"/>
  <c r="BT60" i="867" a="1"/>
  <c r="CA60" i="867" a="1"/>
  <c r="CA60" i="867" s="1"/>
  <c r="CA5" i="867" s="1" a="1"/>
  <c r="CA5" i="867" s="1"/>
  <c r="BF60" i="867" a="1"/>
  <c r="BM60" i="867" a="1"/>
  <c r="BM60" i="867" s="1"/>
  <c r="BM5" i="867" s="1" a="1"/>
  <c r="BM5" i="867" s="1"/>
  <c r="AY60" i="867" a="1"/>
  <c r="AY60" i="867" s="1"/>
  <c r="AY5" i="867" s="1" a="1"/>
  <c r="AY5" i="867" s="1"/>
  <c r="AR60" i="867" a="1"/>
  <c r="AK60" i="867" a="1"/>
  <c r="AK60" i="867" s="1"/>
  <c r="AK5" i="867" s="1" a="1"/>
  <c r="AK5" i="867" s="1"/>
  <c r="AD60" i="867" a="1"/>
  <c r="AD60" i="867" s="1"/>
  <c r="AD5" i="867" s="1"/>
  <c r="P60" i="867" a="1"/>
  <c r="P60" i="867" s="1"/>
  <c r="P5" i="867" s="1"/>
  <c r="W60" i="867" a="1"/>
  <c r="W60" i="867" s="1"/>
  <c r="W5" i="867" s="1" a="1"/>
  <c r="W5" i="867" s="1"/>
  <c r="P51" i="867" l="1"/>
  <c r="P42" i="867"/>
  <c r="S34" i="867"/>
  <c r="AD38" i="867"/>
  <c r="AG18" i="867"/>
  <c r="S50" i="867"/>
  <c r="T41" i="867"/>
  <c r="R34" i="867"/>
  <c r="AH37" i="867"/>
  <c r="AF18" i="867"/>
  <c r="P50" i="867"/>
  <c r="S41" i="867"/>
  <c r="Q34" i="867"/>
  <c r="S25" i="867"/>
  <c r="S18" i="867"/>
  <c r="R11" i="867"/>
  <c r="AG37" i="867"/>
  <c r="AE18" i="867"/>
  <c r="AE17" i="867"/>
  <c r="S49" i="867"/>
  <c r="Q41" i="867"/>
  <c r="T33" i="867"/>
  <c r="Q25" i="867"/>
  <c r="P18" i="867"/>
  <c r="P11" i="867"/>
  <c r="AH35" i="867"/>
  <c r="R49" i="867"/>
  <c r="P41" i="867"/>
  <c r="S33" i="867"/>
  <c r="P25" i="867"/>
  <c r="T17" i="867"/>
  <c r="T10" i="867"/>
  <c r="AG35" i="867"/>
  <c r="AD17" i="867"/>
  <c r="Q49" i="867"/>
  <c r="T40" i="867"/>
  <c r="Q33" i="867"/>
  <c r="S24" i="867"/>
  <c r="S17" i="867"/>
  <c r="S10" i="867"/>
  <c r="AD32" i="867"/>
  <c r="AH16" i="867"/>
  <c r="AE25" i="867"/>
  <c r="S45" i="867"/>
  <c r="T49" i="867"/>
  <c r="P48" i="867"/>
  <c r="S40" i="867"/>
  <c r="P33" i="867"/>
  <c r="AH31" i="867"/>
  <c r="AG16" i="867"/>
  <c r="AF37" i="867"/>
  <c r="T47" i="867"/>
  <c r="T32" i="867"/>
  <c r="AH13" i="867"/>
  <c r="R41" i="867"/>
  <c r="R47" i="867"/>
  <c r="P40" i="867"/>
  <c r="Q31" i="867"/>
  <c r="T23" i="867"/>
  <c r="S16" i="867"/>
  <c r="T8" i="867"/>
  <c r="AG30" i="867"/>
  <c r="AH12" i="867"/>
  <c r="Q47" i="867"/>
  <c r="T39" i="867"/>
  <c r="P31" i="867"/>
  <c r="S23" i="867"/>
  <c r="R16" i="867"/>
  <c r="S8" i="867"/>
  <c r="AF30" i="867"/>
  <c r="AG12" i="867"/>
  <c r="Q16" i="867"/>
  <c r="R40" i="867"/>
  <c r="S5" i="867"/>
  <c r="T46" i="867"/>
  <c r="Q39" i="867"/>
  <c r="S30" i="867"/>
  <c r="P23" i="867"/>
  <c r="P16" i="867"/>
  <c r="Q8" i="867"/>
  <c r="AF29" i="867"/>
  <c r="AE12" i="867"/>
  <c r="S47" i="867"/>
  <c r="Q40" i="867"/>
  <c r="R32" i="867"/>
  <c r="P24" i="867"/>
  <c r="P17" i="867"/>
  <c r="AH30" i="867"/>
  <c r="AD13" i="867"/>
  <c r="T5" i="867"/>
  <c r="P47" i="867"/>
  <c r="R39" i="867"/>
  <c r="T30" i="867"/>
  <c r="Q23" i="867"/>
  <c r="R8" i="867"/>
  <c r="AG29" i="867"/>
  <c r="AF12" i="867"/>
  <c r="AD12" i="867"/>
  <c r="AD18" i="867"/>
  <c r="AD31" i="867"/>
  <c r="R5" i="867"/>
  <c r="S46" i="867"/>
  <c r="T38" i="867"/>
  <c r="R30" i="867"/>
  <c r="T22" i="867"/>
  <c r="T15" i="867"/>
  <c r="P8" i="867"/>
  <c r="AE29" i="867"/>
  <c r="Q5" i="867"/>
  <c r="Q46" i="867"/>
  <c r="S38" i="867"/>
  <c r="P30" i="867"/>
  <c r="S22" i="867"/>
  <c r="S15" i="867"/>
  <c r="T7" i="867"/>
  <c r="AG26" i="867"/>
  <c r="AE11" i="867"/>
  <c r="AD11" i="867"/>
  <c r="S53" i="867"/>
  <c r="T45" i="867"/>
  <c r="Q38" i="867"/>
  <c r="S29" i="867"/>
  <c r="Q22" i="867"/>
  <c r="AD25" i="867"/>
  <c r="AH10" i="867"/>
  <c r="T54" i="867"/>
  <c r="P53" i="867"/>
  <c r="R45" i="867"/>
  <c r="S36" i="867"/>
  <c r="Q29" i="867"/>
  <c r="T21" i="867"/>
  <c r="T13" i="867"/>
  <c r="P7" i="867"/>
  <c r="AG24" i="867"/>
  <c r="AH7" i="867"/>
  <c r="T52" i="867"/>
  <c r="Q45" i="867"/>
  <c r="R36" i="867"/>
  <c r="P29" i="867"/>
  <c r="S21" i="867"/>
  <c r="S13" i="867"/>
  <c r="AF24" i="867"/>
  <c r="AD7" i="867"/>
  <c r="AH24" i="867"/>
  <c r="T44" i="867"/>
  <c r="AE24" i="867"/>
  <c r="AH6" i="867"/>
  <c r="R52" i="867"/>
  <c r="R28" i="867"/>
  <c r="Q13" i="867"/>
  <c r="AG6" i="867"/>
  <c r="R44" i="867"/>
  <c r="P36" i="867"/>
  <c r="Q21" i="867"/>
  <c r="AF23" i="867"/>
  <c r="Q52" i="867"/>
  <c r="Q44" i="867"/>
  <c r="T35" i="867"/>
  <c r="Q28" i="867"/>
  <c r="P20" i="867"/>
  <c r="P13" i="867"/>
  <c r="Q6" i="867"/>
  <c r="AE23" i="867"/>
  <c r="AF6" i="867"/>
  <c r="P52" i="867"/>
  <c r="P44" i="867"/>
  <c r="R35" i="867"/>
  <c r="P28" i="867"/>
  <c r="T19" i="867"/>
  <c r="T12" i="867"/>
  <c r="P6" i="867"/>
  <c r="AD23" i="867"/>
  <c r="AE6" i="867"/>
  <c r="S51" i="867"/>
  <c r="T43" i="867"/>
  <c r="Q35" i="867"/>
  <c r="S27" i="867"/>
  <c r="S19" i="867"/>
  <c r="AH19" i="867"/>
  <c r="R53" i="867"/>
  <c r="AG10" i="867"/>
  <c r="AD6" i="867"/>
  <c r="R51" i="867"/>
  <c r="S43" i="867"/>
  <c r="P35" i="867"/>
  <c r="R27" i="867"/>
  <c r="R19" i="867"/>
  <c r="R12" i="867"/>
  <c r="AE5" i="867"/>
  <c r="AD19" i="867"/>
  <c r="S52" i="867"/>
  <c r="Q36" i="867"/>
  <c r="Q51" i="867"/>
  <c r="Q42" i="867"/>
  <c r="T34" i="867"/>
  <c r="Q27" i="867"/>
  <c r="Q19" i="867"/>
  <c r="Q12" i="867"/>
  <c r="AE38" i="867"/>
  <c r="AH18" i="867"/>
  <c r="AA60" i="872"/>
  <c r="AA70" i="872" s="1"/>
  <c r="AA80" i="872" s="1"/>
  <c r="AF50" i="872"/>
  <c r="AF60" i="872" s="1"/>
  <c r="AF70" i="872" s="1"/>
  <c r="AF80" i="872" s="1"/>
  <c r="AA61" i="872"/>
  <c r="AA71" i="872" s="1"/>
  <c r="AA81" i="872" s="1"/>
  <c r="AF51" i="872"/>
  <c r="AF61" i="872" s="1"/>
  <c r="AF71" i="872" s="1"/>
  <c r="AF81" i="872" s="1"/>
  <c r="AF51" i="867"/>
  <c r="AE45" i="867"/>
  <c r="AD39" i="867"/>
  <c r="AH32" i="867"/>
  <c r="AE51" i="867"/>
  <c r="AD45" i="867"/>
  <c r="AH38" i="867"/>
  <c r="AG32" i="867"/>
  <c r="AF26" i="867"/>
  <c r="AG19" i="867"/>
  <c r="AG13" i="867"/>
  <c r="AG7" i="867"/>
  <c r="AD51" i="867"/>
  <c r="AH44" i="867"/>
  <c r="AG38" i="867"/>
  <c r="AF32" i="867"/>
  <c r="AE26" i="867"/>
  <c r="AF19" i="867"/>
  <c r="AF13" i="867"/>
  <c r="AF7" i="867"/>
  <c r="AH50" i="867"/>
  <c r="AG44" i="867"/>
  <c r="AF38" i="867"/>
  <c r="AE32" i="867"/>
  <c r="AF25" i="867"/>
  <c r="AE19" i="867"/>
  <c r="AE13" i="867"/>
  <c r="AE7" i="867"/>
  <c r="AE44" i="867"/>
  <c r="AD50" i="867"/>
  <c r="AH43" i="867"/>
  <c r="AG49" i="867"/>
  <c r="AF43" i="867"/>
  <c r="AG36" i="867"/>
  <c r="AH5" i="867"/>
  <c r="AF49" i="867"/>
  <c r="AE43" i="867"/>
  <c r="AF36" i="867"/>
  <c r="AE30" i="867"/>
  <c r="AD24" i="867"/>
  <c r="AH17" i="867"/>
  <c r="AH11" i="867"/>
  <c r="Q53" i="867"/>
  <c r="R46" i="867"/>
  <c r="S39" i="867"/>
  <c r="S32" i="867"/>
  <c r="T24" i="867"/>
  <c r="Q18" i="867"/>
  <c r="S11" i="867"/>
  <c r="AG5" i="867"/>
  <c r="AE49" i="867"/>
  <c r="AD43" i="867"/>
  <c r="AE36" i="867"/>
  <c r="AD30" i="867"/>
  <c r="AH23" i="867"/>
  <c r="AG17" i="867"/>
  <c r="AG11" i="867"/>
  <c r="AF5" i="867"/>
  <c r="AD49" i="867"/>
  <c r="AE42" i="867"/>
  <c r="AD36" i="867"/>
  <c r="AH29" i="867"/>
  <c r="AG23" i="867"/>
  <c r="AF17" i="867"/>
  <c r="AF11" i="867"/>
  <c r="AH41" i="867"/>
  <c r="AD29" i="867"/>
  <c r="AE54" i="867"/>
  <c r="AF47" i="867"/>
  <c r="AE41" i="867"/>
  <c r="AD35" i="867"/>
  <c r="AH28" i="867"/>
  <c r="AG22" i="867"/>
  <c r="AF16" i="867"/>
  <c r="AF10" i="867"/>
  <c r="T51" i="867"/>
  <c r="P45" i="867"/>
  <c r="P38" i="867"/>
  <c r="Q30" i="867"/>
  <c r="R23" i="867"/>
  <c r="T16" i="867"/>
  <c r="Q10" i="867"/>
  <c r="AF53" i="867"/>
  <c r="AE47" i="867"/>
  <c r="AD41" i="867"/>
  <c r="AH34" i="867"/>
  <c r="AG28" i="867"/>
  <c r="AF22" i="867"/>
  <c r="AE16" i="867"/>
  <c r="AE10" i="867"/>
  <c r="AH49" i="867"/>
  <c r="AF35" i="867"/>
  <c r="AG47" i="867"/>
  <c r="AH40" i="867"/>
  <c r="AF28" i="867"/>
  <c r="AD16" i="867"/>
  <c r="AH46" i="867"/>
  <c r="AG40" i="867"/>
  <c r="AF34" i="867"/>
  <c r="AE28" i="867"/>
  <c r="AD22" i="867"/>
  <c r="AH15" i="867"/>
  <c r="AH9" i="867"/>
  <c r="AD47" i="867"/>
  <c r="AH52" i="867"/>
  <c r="AG46" i="867"/>
  <c r="AF40" i="867"/>
  <c r="AE34" i="867"/>
  <c r="AD28" i="867"/>
  <c r="AH21" i="867"/>
  <c r="AG15" i="867"/>
  <c r="AG9" i="867"/>
  <c r="AG52" i="867"/>
  <c r="AF46" i="867"/>
  <c r="AE40" i="867"/>
  <c r="AD34" i="867"/>
  <c r="AH27" i="867"/>
  <c r="AG21" i="867"/>
  <c r="AF15" i="867"/>
  <c r="AF9" i="867"/>
  <c r="T50" i="867"/>
  <c r="AF52" i="867"/>
  <c r="AE46" i="867"/>
  <c r="AD40" i="867"/>
  <c r="AH33" i="867"/>
  <c r="AG27" i="867"/>
  <c r="AF21" i="867"/>
  <c r="AE15" i="867"/>
  <c r="AE9" i="867"/>
  <c r="AG43" i="867"/>
  <c r="AH48" i="867"/>
  <c r="AD53" i="867"/>
  <c r="AG50" i="867"/>
  <c r="AD42" i="867"/>
  <c r="AH54" i="867"/>
  <c r="AG48" i="867"/>
  <c r="AG54" i="867"/>
  <c r="AH47" i="867"/>
  <c r="AG41" i="867"/>
  <c r="AF54" i="867"/>
  <c r="AF41" i="867"/>
  <c r="AE35" i="867"/>
  <c r="AH22" i="867"/>
  <c r="AD10" i="867"/>
  <c r="AE52" i="867"/>
  <c r="AD46" i="867"/>
  <c r="AH39" i="867"/>
  <c r="AG33" i="867"/>
  <c r="AF27" i="867"/>
  <c r="AE21" i="867"/>
  <c r="AD15" i="867"/>
  <c r="AG8" i="867"/>
  <c r="R50" i="867"/>
  <c r="R42" i="867"/>
  <c r="S35" i="867"/>
  <c r="T28" i="867"/>
  <c r="AD52" i="867"/>
  <c r="AH45" i="867"/>
  <c r="AG39" i="867"/>
  <c r="AF33" i="867"/>
  <c r="AE27" i="867"/>
  <c r="AD21" i="867"/>
  <c r="AH14" i="867"/>
  <c r="AF8" i="867"/>
  <c r="AH51" i="867"/>
  <c r="AG45" i="867"/>
  <c r="AF39" i="867"/>
  <c r="AE33" i="867"/>
  <c r="AD27" i="867"/>
  <c r="AH20" i="867"/>
  <c r="AE14" i="867"/>
  <c r="AE8" i="867"/>
  <c r="AF44" i="867"/>
  <c r="AF50" i="867"/>
  <c r="AE50" i="867"/>
  <c r="AD44" i="867"/>
  <c r="AE53" i="867"/>
  <c r="AG34" i="867"/>
  <c r="AE22" i="867"/>
  <c r="AG51" i="867"/>
  <c r="AF45" i="867"/>
  <c r="AE39" i="867"/>
  <c r="AD33" i="867"/>
  <c r="AH26" i="867"/>
  <c r="AG20" i="867"/>
  <c r="AD14" i="867"/>
  <c r="AD8" i="867"/>
  <c r="AR60" i="867"/>
  <c r="AR5" i="867" s="1"/>
  <c r="AV10" i="867"/>
  <c r="AT16" i="867"/>
  <c r="AR22" i="867"/>
  <c r="AU27" i="867"/>
  <c r="AS33" i="867"/>
  <c r="AV38" i="867"/>
  <c r="AT44" i="867"/>
  <c r="AR50" i="867"/>
  <c r="AR11" i="867"/>
  <c r="AU16" i="867"/>
  <c r="AS22" i="867"/>
  <c r="AV27" i="867"/>
  <c r="AT33" i="867"/>
  <c r="AR39" i="867"/>
  <c r="AU44" i="867"/>
  <c r="AS50" i="867"/>
  <c r="AS11" i="867"/>
  <c r="AV16" i="867"/>
  <c r="AT22" i="867"/>
  <c r="AR28" i="867"/>
  <c r="AU33" i="867"/>
  <c r="AS39" i="867"/>
  <c r="AV44" i="867"/>
  <c r="AT50" i="867"/>
  <c r="AT11" i="867"/>
  <c r="AR6" i="867"/>
  <c r="AU11" i="867"/>
  <c r="AS17" i="867"/>
  <c r="AV22" i="867"/>
  <c r="AU6" i="867"/>
  <c r="AS13" i="867"/>
  <c r="AU19" i="867"/>
  <c r="AR26" i="867"/>
  <c r="AS32" i="867"/>
  <c r="AT38" i="867"/>
  <c r="AS45" i="867"/>
  <c r="AT51" i="867"/>
  <c r="AT32" i="867"/>
  <c r="AT45" i="867"/>
  <c r="AU45" i="867"/>
  <c r="AS46" i="867"/>
  <c r="AT46" i="867"/>
  <c r="AR8" i="867"/>
  <c r="AT40" i="867"/>
  <c r="AS21" i="867"/>
  <c r="AR42" i="867"/>
  <c r="AV6" i="867"/>
  <c r="AT13" i="867"/>
  <c r="AV19" i="867"/>
  <c r="AS26" i="867"/>
  <c r="AU38" i="867"/>
  <c r="AU51" i="867"/>
  <c r="AV51" i="867"/>
  <c r="AT52" i="867"/>
  <c r="AV7" i="867"/>
  <c r="AR34" i="867"/>
  <c r="AU46" i="867"/>
  <c r="AT34" i="867"/>
  <c r="AV35" i="867"/>
  <c r="AS42" i="867"/>
  <c r="AR7" i="867"/>
  <c r="AU13" i="867"/>
  <c r="AR20" i="867"/>
  <c r="AT26" i="867"/>
  <c r="AU32" i="867"/>
  <c r="AT39" i="867"/>
  <c r="AS27" i="867"/>
  <c r="AT27" i="867"/>
  <c r="AV14" i="867"/>
  <c r="AR36" i="867"/>
  <c r="AS7" i="867"/>
  <c r="AV13" i="867"/>
  <c r="AS20" i="867"/>
  <c r="AU26" i="867"/>
  <c r="AV32" i="867"/>
  <c r="AU39" i="867"/>
  <c r="AV45" i="867"/>
  <c r="AR52" i="867"/>
  <c r="AR46" i="867"/>
  <c r="AU52" i="867"/>
  <c r="AR21" i="867"/>
  <c r="AV52" i="867"/>
  <c r="AT7" i="867"/>
  <c r="AR14" i="867"/>
  <c r="AT20" i="867"/>
  <c r="AV26" i="867"/>
  <c r="AR33" i="867"/>
  <c r="AV39" i="867"/>
  <c r="AS52" i="867"/>
  <c r="AV20" i="867"/>
  <c r="AU14" i="867"/>
  <c r="AS28" i="867"/>
  <c r="AU7" i="867"/>
  <c r="AS14" i="867"/>
  <c r="AU20" i="867"/>
  <c r="AR27" i="867"/>
  <c r="AV33" i="867"/>
  <c r="AR40" i="867"/>
  <c r="AT14" i="867"/>
  <c r="AS40" i="867"/>
  <c r="AS34" i="867"/>
  <c r="AS8" i="867"/>
  <c r="AR53" i="867"/>
  <c r="AU9" i="867"/>
  <c r="AU29" i="867"/>
  <c r="AS48" i="867"/>
  <c r="AU40" i="867"/>
  <c r="AV29" i="867"/>
  <c r="AV46" i="867"/>
  <c r="AS16" i="867"/>
  <c r="AT8" i="867"/>
  <c r="AR15" i="867"/>
  <c r="AT21" i="867"/>
  <c r="AT28" i="867"/>
  <c r="AU34" i="867"/>
  <c r="AV40" i="867"/>
  <c r="AR47" i="867"/>
  <c r="AS53" i="867"/>
  <c r="AU8" i="867"/>
  <c r="AS15" i="867"/>
  <c r="AU21" i="867"/>
  <c r="AU28" i="867"/>
  <c r="AV34" i="867"/>
  <c r="AR41" i="867"/>
  <c r="AS47" i="867"/>
  <c r="AT53" i="867"/>
  <c r="AT47" i="867"/>
  <c r="AT41" i="867"/>
  <c r="AV8" i="867"/>
  <c r="AT15" i="867"/>
  <c r="AV21" i="867"/>
  <c r="AV28" i="867"/>
  <c r="AR35" i="867"/>
  <c r="AS41" i="867"/>
  <c r="AU53" i="867"/>
  <c r="AU47" i="867"/>
  <c r="AR9" i="867"/>
  <c r="AU15" i="867"/>
  <c r="AU22" i="867"/>
  <c r="AR29" i="867"/>
  <c r="AS35" i="867"/>
  <c r="AV53" i="867"/>
  <c r="AS9" i="867"/>
  <c r="AV15" i="867"/>
  <c r="AR23" i="867"/>
  <c r="AS29" i="867"/>
  <c r="AT35" i="867"/>
  <c r="AU41" i="867"/>
  <c r="AV47" i="867"/>
  <c r="AR54" i="867"/>
  <c r="AT54" i="867"/>
  <c r="AT9" i="867"/>
  <c r="AR16" i="867"/>
  <c r="AS23" i="867"/>
  <c r="AT29" i="867"/>
  <c r="AU35" i="867"/>
  <c r="AV41" i="867"/>
  <c r="AR48" i="867"/>
  <c r="AS54" i="867"/>
  <c r="AT23" i="867"/>
  <c r="AV9" i="867"/>
  <c r="AT10" i="867"/>
  <c r="AR25" i="867"/>
  <c r="AU42" i="867"/>
  <c r="AS25" i="867"/>
  <c r="AV42" i="867"/>
  <c r="AR43" i="867"/>
  <c r="AU43" i="867"/>
  <c r="AR44" i="867"/>
  <c r="AU30" i="867"/>
  <c r="AU48" i="867"/>
  <c r="AT49" i="867"/>
  <c r="AT36" i="867"/>
  <c r="AR19" i="867"/>
  <c r="AS6" i="867"/>
  <c r="AU10" i="867"/>
  <c r="AT12" i="867"/>
  <c r="AV43" i="867"/>
  <c r="AT18" i="867"/>
  <c r="AS24" i="867"/>
  <c r="AT6" i="867"/>
  <c r="AT42" i="867"/>
  <c r="AV11" i="867"/>
  <c r="AT25" i="867"/>
  <c r="AR30" i="867"/>
  <c r="AS49" i="867"/>
  <c r="AV36" i="867"/>
  <c r="AR12" i="867"/>
  <c r="AU25" i="867"/>
  <c r="AS43" i="867"/>
  <c r="AS12" i="867"/>
  <c r="AV25" i="867"/>
  <c r="AT43" i="867"/>
  <c r="AT30" i="867"/>
  <c r="AU17" i="867"/>
  <c r="AV17" i="867"/>
  <c r="AR18" i="867"/>
  <c r="AS36" i="867"/>
  <c r="AU23" i="867"/>
  <c r="AV24" i="867"/>
  <c r="AU12" i="867"/>
  <c r="AV12" i="867"/>
  <c r="AS44" i="867"/>
  <c r="AU50" i="867"/>
  <c r="AR51" i="867"/>
  <c r="AS38" i="867"/>
  <c r="AS30" i="867"/>
  <c r="AR31" i="867"/>
  <c r="AV48" i="867"/>
  <c r="AS19" i="867"/>
  <c r="AS37" i="867"/>
  <c r="AV54" i="867"/>
  <c r="AT24" i="867"/>
  <c r="AR13" i="867"/>
  <c r="AV50" i="867"/>
  <c r="AU37" i="867"/>
  <c r="AU5" i="867"/>
  <c r="AT48" i="867"/>
  <c r="AU31" i="867"/>
  <c r="AR32" i="867"/>
  <c r="AU49" i="867"/>
  <c r="AV49" i="867"/>
  <c r="AV37" i="867"/>
  <c r="AR17" i="867"/>
  <c r="AV30" i="867"/>
  <c r="AR45" i="867"/>
  <c r="AT17" i="867"/>
  <c r="AR49" i="867"/>
  <c r="AV31" i="867"/>
  <c r="AU36" i="867"/>
  <c r="AS51" i="867"/>
  <c r="AU54" i="867"/>
  <c r="AS5" i="867"/>
  <c r="AT5" i="867"/>
  <c r="AU24" i="867"/>
  <c r="AS31" i="867"/>
  <c r="AV18" i="867"/>
  <c r="AR24" i="867"/>
  <c r="AS10" i="867"/>
  <c r="AT31" i="867"/>
  <c r="AS18" i="867"/>
  <c r="AU18" i="867"/>
  <c r="AR37" i="867"/>
  <c r="AT37" i="867"/>
  <c r="AR38" i="867"/>
  <c r="AR10" i="867"/>
  <c r="AT19" i="867"/>
  <c r="AV23" i="867"/>
  <c r="AV5" i="867"/>
  <c r="BT60" i="867"/>
  <c r="BT5" i="867" s="1"/>
  <c r="BV10" i="867"/>
  <c r="BT16" i="867"/>
  <c r="BW21" i="867"/>
  <c r="BU27" i="867"/>
  <c r="BX32" i="867"/>
  <c r="BV38" i="867"/>
  <c r="BT44" i="867"/>
  <c r="BW49" i="867"/>
  <c r="BV5" i="867"/>
  <c r="BW10" i="867"/>
  <c r="BU16" i="867"/>
  <c r="BX21" i="867"/>
  <c r="BV27" i="867"/>
  <c r="BT33" i="867"/>
  <c r="BW38" i="867"/>
  <c r="BU44" i="867"/>
  <c r="BX49" i="867"/>
  <c r="BW5" i="867"/>
  <c r="BX10" i="867"/>
  <c r="BV16" i="867"/>
  <c r="BT22" i="867"/>
  <c r="BW27" i="867"/>
  <c r="BU33" i="867"/>
  <c r="BX38" i="867"/>
  <c r="BV44" i="867"/>
  <c r="BT50" i="867"/>
  <c r="BX5" i="867"/>
  <c r="BT11" i="867"/>
  <c r="BW16" i="867"/>
  <c r="BU22" i="867"/>
  <c r="BX27" i="867"/>
  <c r="BV33" i="867"/>
  <c r="BT39" i="867"/>
  <c r="BW44" i="867"/>
  <c r="BU50" i="867"/>
  <c r="BU11" i="867"/>
  <c r="BX16" i="867"/>
  <c r="BV22" i="867"/>
  <c r="BT28" i="867"/>
  <c r="BW33" i="867"/>
  <c r="BU39" i="867"/>
  <c r="BX44" i="867"/>
  <c r="BV50" i="867"/>
  <c r="BV11" i="867"/>
  <c r="BT17" i="867"/>
  <c r="BW22" i="867"/>
  <c r="BU28" i="867"/>
  <c r="BX33" i="867"/>
  <c r="BV39" i="867"/>
  <c r="BT45" i="867"/>
  <c r="BW50" i="867"/>
  <c r="BU7" i="867"/>
  <c r="BT14" i="867"/>
  <c r="BX20" i="867"/>
  <c r="BX28" i="867"/>
  <c r="BW35" i="867"/>
  <c r="BV42" i="867"/>
  <c r="BU49" i="867"/>
  <c r="BW15" i="867"/>
  <c r="BW53" i="867"/>
  <c r="BV7" i="867"/>
  <c r="BU14" i="867"/>
  <c r="BT21" i="867"/>
  <c r="BT29" i="867"/>
  <c r="BX35" i="867"/>
  <c r="BW42" i="867"/>
  <c r="BV49" i="867"/>
  <c r="BV8" i="867"/>
  <c r="BW43" i="867"/>
  <c r="BT37" i="867"/>
  <c r="BU37" i="867"/>
  <c r="BT32" i="867"/>
  <c r="BW7" i="867"/>
  <c r="BV14" i="867"/>
  <c r="BU21" i="867"/>
  <c r="BU29" i="867"/>
  <c r="BT36" i="867"/>
  <c r="BX42" i="867"/>
  <c r="BX50" i="867"/>
  <c r="BW51" i="867"/>
  <c r="BU45" i="867"/>
  <c r="BV18" i="867"/>
  <c r="BX46" i="867"/>
  <c r="BX7" i="867"/>
  <c r="BW14" i="867"/>
  <c r="BV21" i="867"/>
  <c r="BV29" i="867"/>
  <c r="BU36" i="867"/>
  <c r="BT43" i="867"/>
  <c r="BT51" i="867"/>
  <c r="BV30" i="867"/>
  <c r="BX39" i="867"/>
  <c r="BT8" i="867"/>
  <c r="BX14" i="867"/>
  <c r="BX22" i="867"/>
  <c r="BW29" i="867"/>
  <c r="BV36" i="867"/>
  <c r="BU43" i="867"/>
  <c r="BU51" i="867"/>
  <c r="BT30" i="867"/>
  <c r="BX43" i="867"/>
  <c r="BX8" i="867"/>
  <c r="BT52" i="867"/>
  <c r="BT25" i="867"/>
  <c r="BU8" i="867"/>
  <c r="BT15" i="867"/>
  <c r="BT23" i="867"/>
  <c r="BX29" i="867"/>
  <c r="BW36" i="867"/>
  <c r="BV43" i="867"/>
  <c r="BV51" i="867"/>
  <c r="BU15" i="867"/>
  <c r="BU23" i="867"/>
  <c r="BX36" i="867"/>
  <c r="BU10" i="867"/>
  <c r="BX31" i="867"/>
  <c r="BV53" i="867"/>
  <c r="BW8" i="867"/>
  <c r="BV15" i="867"/>
  <c r="BV23" i="867"/>
  <c r="BU30" i="867"/>
  <c r="BX51" i="867"/>
  <c r="BW23" i="867"/>
  <c r="BU25" i="867"/>
  <c r="BT9" i="867"/>
  <c r="BX15" i="867"/>
  <c r="BX23" i="867"/>
  <c r="BW30" i="867"/>
  <c r="BV37" i="867"/>
  <c r="BV45" i="867"/>
  <c r="BU52" i="867"/>
  <c r="BU9" i="867"/>
  <c r="BU17" i="867"/>
  <c r="BT24" i="867"/>
  <c r="BX30" i="867"/>
  <c r="BW37" i="867"/>
  <c r="BW45" i="867"/>
  <c r="BV52" i="867"/>
  <c r="BU18" i="867"/>
  <c r="BV9" i="867"/>
  <c r="BV17" i="867"/>
  <c r="BU24" i="867"/>
  <c r="BT31" i="867"/>
  <c r="BX37" i="867"/>
  <c r="BX45" i="867"/>
  <c r="BW52" i="867"/>
  <c r="BW9" i="867"/>
  <c r="BW17" i="867"/>
  <c r="BV24" i="867"/>
  <c r="BU31" i="867"/>
  <c r="BT38" i="867"/>
  <c r="BT46" i="867"/>
  <c r="BX52" i="867"/>
  <c r="BX9" i="867"/>
  <c r="BX17" i="867"/>
  <c r="BW24" i="867"/>
  <c r="BV31" i="867"/>
  <c r="BU38" i="867"/>
  <c r="BU46" i="867"/>
  <c r="BT53" i="867"/>
  <c r="BT10" i="867"/>
  <c r="BT18" i="867"/>
  <c r="BX24" i="867"/>
  <c r="BW31" i="867"/>
  <c r="BW39" i="867"/>
  <c r="BV46" i="867"/>
  <c r="BU53" i="867"/>
  <c r="BW46" i="867"/>
  <c r="BW11" i="867"/>
  <c r="BT40" i="867"/>
  <c r="BX19" i="867"/>
  <c r="BV40" i="867"/>
  <c r="BU41" i="867"/>
  <c r="BX41" i="867"/>
  <c r="BT13" i="867"/>
  <c r="BW32" i="867"/>
  <c r="BX53" i="867"/>
  <c r="BX18" i="867"/>
  <c r="BT20" i="867"/>
  <c r="BW40" i="867"/>
  <c r="BV41" i="867"/>
  <c r="BT7" i="867"/>
  <c r="BW28" i="867"/>
  <c r="BV48" i="867"/>
  <c r="BX13" i="867"/>
  <c r="BU35" i="867"/>
  <c r="BU20" i="867"/>
  <c r="BX40" i="867"/>
  <c r="BT42" i="867"/>
  <c r="BT47" i="867"/>
  <c r="BT27" i="867"/>
  <c r="BV28" i="867"/>
  <c r="BW48" i="867"/>
  <c r="BX34" i="867"/>
  <c r="BV20" i="867"/>
  <c r="BT41" i="867"/>
  <c r="BW25" i="867"/>
  <c r="BX25" i="867"/>
  <c r="BT26" i="867"/>
  <c r="BT35" i="867"/>
  <c r="BX54" i="867"/>
  <c r="BW20" i="867"/>
  <c r="BV6" i="867"/>
  <c r="BW47" i="867"/>
  <c r="BV12" i="867"/>
  <c r="BX47" i="867"/>
  <c r="BX12" i="867"/>
  <c r="BT34" i="867"/>
  <c r="BW18" i="867"/>
  <c r="BW19" i="867"/>
  <c r="BT6" i="867"/>
  <c r="BV25" i="867"/>
  <c r="BU6" i="867"/>
  <c r="BW41" i="867"/>
  <c r="BV26" i="867"/>
  <c r="BU48" i="867"/>
  <c r="BV54" i="867"/>
  <c r="BW12" i="867"/>
  <c r="BV13" i="867"/>
  <c r="BW6" i="867"/>
  <c r="BU54" i="867"/>
  <c r="BX6" i="867"/>
  <c r="BU26" i="867"/>
  <c r="BU42" i="867"/>
  <c r="BW34" i="867"/>
  <c r="BU34" i="867"/>
  <c r="BW54" i="867"/>
  <c r="BU40" i="867"/>
  <c r="BX11" i="867"/>
  <c r="BW26" i="867"/>
  <c r="BU47" i="867"/>
  <c r="BT48" i="867"/>
  <c r="BU32" i="867"/>
  <c r="BV32" i="867"/>
  <c r="BT49" i="867"/>
  <c r="BV34" i="867"/>
  <c r="BT12" i="867"/>
  <c r="BX26" i="867"/>
  <c r="BV47" i="867"/>
  <c r="BU12" i="867"/>
  <c r="BU13" i="867"/>
  <c r="BT19" i="867"/>
  <c r="BU5" i="867"/>
  <c r="BX48" i="867"/>
  <c r="BW13" i="867"/>
  <c r="BT54" i="867"/>
  <c r="BV35" i="867"/>
  <c r="BU19" i="867"/>
  <c r="BV19" i="867"/>
  <c r="BF60" i="867"/>
  <c r="BF5" i="867" s="1"/>
  <c r="BI10" i="867"/>
  <c r="BG16" i="867"/>
  <c r="BJ21" i="867"/>
  <c r="BH27" i="867"/>
  <c r="BF33" i="867"/>
  <c r="BI38" i="867"/>
  <c r="BG44" i="867"/>
  <c r="BJ49" i="867"/>
  <c r="BI5" i="867"/>
  <c r="BJ10" i="867"/>
  <c r="BH16" i="867"/>
  <c r="BF22" i="867"/>
  <c r="BI27" i="867"/>
  <c r="BG33" i="867"/>
  <c r="BJ38" i="867"/>
  <c r="BH44" i="867"/>
  <c r="BF50" i="867"/>
  <c r="BJ5" i="867"/>
  <c r="BF11" i="867"/>
  <c r="BI16" i="867"/>
  <c r="BG22" i="867"/>
  <c r="BJ27" i="867"/>
  <c r="BH33" i="867"/>
  <c r="BF39" i="867"/>
  <c r="BI44" i="867"/>
  <c r="BG50" i="867"/>
  <c r="BG11" i="867"/>
  <c r="BJ16" i="867"/>
  <c r="BH22" i="867"/>
  <c r="BF28" i="867"/>
  <c r="BI33" i="867"/>
  <c r="BG39" i="867"/>
  <c r="BJ44" i="867"/>
  <c r="BH50" i="867"/>
  <c r="BH11" i="867"/>
  <c r="BF17" i="867"/>
  <c r="BI22" i="867"/>
  <c r="BG28" i="867"/>
  <c r="BJ33" i="867"/>
  <c r="BH39" i="867"/>
  <c r="BF45" i="867"/>
  <c r="BI50" i="867"/>
  <c r="BF6" i="867"/>
  <c r="BI11" i="867"/>
  <c r="BG17" i="867"/>
  <c r="BJ22" i="867"/>
  <c r="BH28" i="867"/>
  <c r="BF34" i="867"/>
  <c r="BI39" i="867"/>
  <c r="BG45" i="867"/>
  <c r="BJ50" i="867"/>
  <c r="BF7" i="867"/>
  <c r="BJ13" i="867"/>
  <c r="BI20" i="867"/>
  <c r="BI28" i="867"/>
  <c r="BH35" i="867"/>
  <c r="BG42" i="867"/>
  <c r="BF49" i="867"/>
  <c r="BI36" i="867"/>
  <c r="BG15" i="867"/>
  <c r="BH15" i="867"/>
  <c r="BF18" i="867"/>
  <c r="BG7" i="867"/>
  <c r="BF14" i="867"/>
  <c r="BJ20" i="867"/>
  <c r="BJ28" i="867"/>
  <c r="BI35" i="867"/>
  <c r="BH42" i="867"/>
  <c r="BG49" i="867"/>
  <c r="BF23" i="867"/>
  <c r="BI51" i="867"/>
  <c r="BH23" i="867"/>
  <c r="BJ43" i="867"/>
  <c r="BG10" i="867"/>
  <c r="BI46" i="867"/>
  <c r="BH7" i="867"/>
  <c r="BG14" i="867"/>
  <c r="BF21" i="867"/>
  <c r="BF29" i="867"/>
  <c r="BJ35" i="867"/>
  <c r="BI42" i="867"/>
  <c r="BH49" i="867"/>
  <c r="BG23" i="867"/>
  <c r="BG30" i="867"/>
  <c r="BJ39" i="867"/>
  <c r="BI7" i="867"/>
  <c r="BH14" i="867"/>
  <c r="BG21" i="867"/>
  <c r="BG29" i="867"/>
  <c r="BF36" i="867"/>
  <c r="BJ42" i="867"/>
  <c r="BI49" i="867"/>
  <c r="BJ29" i="867"/>
  <c r="BF30" i="867"/>
  <c r="BJ51" i="867"/>
  <c r="BG53" i="867"/>
  <c r="BJ31" i="867"/>
  <c r="BJ7" i="867"/>
  <c r="BI14" i="867"/>
  <c r="BH21" i="867"/>
  <c r="BH29" i="867"/>
  <c r="BG36" i="867"/>
  <c r="BF43" i="867"/>
  <c r="BF51" i="867"/>
  <c r="BF15" i="867"/>
  <c r="BH51" i="867"/>
  <c r="BF37" i="867"/>
  <c r="BH46" i="867"/>
  <c r="BF8" i="867"/>
  <c r="BJ14" i="867"/>
  <c r="BI21" i="867"/>
  <c r="BI29" i="867"/>
  <c r="BH36" i="867"/>
  <c r="BG43" i="867"/>
  <c r="BG51" i="867"/>
  <c r="BG8" i="867"/>
  <c r="BH43" i="867"/>
  <c r="BH8" i="867"/>
  <c r="BI43" i="867"/>
  <c r="BI8" i="867"/>
  <c r="BJ24" i="867"/>
  <c r="BI31" i="867"/>
  <c r="BH38" i="867"/>
  <c r="BF25" i="867"/>
  <c r="BJ36" i="867"/>
  <c r="BF10" i="867"/>
  <c r="BJ8" i="867"/>
  <c r="BI15" i="867"/>
  <c r="BI23" i="867"/>
  <c r="BH30" i="867"/>
  <c r="BG37" i="867"/>
  <c r="BF44" i="867"/>
  <c r="BF52" i="867"/>
  <c r="BF9" i="867"/>
  <c r="BJ15" i="867"/>
  <c r="BJ23" i="867"/>
  <c r="BI30" i="867"/>
  <c r="BH37" i="867"/>
  <c r="BH45" i="867"/>
  <c r="BG52" i="867"/>
  <c r="BG9" i="867"/>
  <c r="BF16" i="867"/>
  <c r="BF24" i="867"/>
  <c r="BJ30" i="867"/>
  <c r="BI37" i="867"/>
  <c r="BI45" i="867"/>
  <c r="BH52" i="867"/>
  <c r="BH9" i="867"/>
  <c r="BH17" i="867"/>
  <c r="BG24" i="867"/>
  <c r="BF31" i="867"/>
  <c r="BJ37" i="867"/>
  <c r="BJ45" i="867"/>
  <c r="BI52" i="867"/>
  <c r="BI9" i="867"/>
  <c r="BI17" i="867"/>
  <c r="BH24" i="867"/>
  <c r="BG31" i="867"/>
  <c r="BF38" i="867"/>
  <c r="BF46" i="867"/>
  <c r="BJ52" i="867"/>
  <c r="BJ9" i="867"/>
  <c r="BJ17" i="867"/>
  <c r="BI24" i="867"/>
  <c r="BH31" i="867"/>
  <c r="BG38" i="867"/>
  <c r="BG46" i="867"/>
  <c r="BF53" i="867"/>
  <c r="BG18" i="867"/>
  <c r="BG6" i="867"/>
  <c r="BI25" i="867"/>
  <c r="BI41" i="867"/>
  <c r="BJ41" i="867"/>
  <c r="BF12" i="867"/>
  <c r="BG32" i="867"/>
  <c r="BI48" i="867"/>
  <c r="BH5" i="867"/>
  <c r="BH6" i="867"/>
  <c r="BJ25" i="867"/>
  <c r="BH26" i="867"/>
  <c r="BJ26" i="867"/>
  <c r="BI47" i="867"/>
  <c r="BJ47" i="867"/>
  <c r="BJ48" i="867"/>
  <c r="BG34" i="867"/>
  <c r="BG35" i="867"/>
  <c r="BJ54" i="867"/>
  <c r="BI6" i="867"/>
  <c r="BF26" i="867"/>
  <c r="BF42" i="867"/>
  <c r="BH10" i="867"/>
  <c r="BI26" i="867"/>
  <c r="BH47" i="867"/>
  <c r="BF27" i="867"/>
  <c r="BI18" i="867"/>
  <c r="BG40" i="867"/>
  <c r="BG25" i="867"/>
  <c r="BJ6" i="867"/>
  <c r="BG26" i="867"/>
  <c r="BJ46" i="867"/>
  <c r="BJ11" i="867"/>
  <c r="BG48" i="867"/>
  <c r="BH53" i="867"/>
  <c r="BI53" i="867"/>
  <c r="BG19" i="867"/>
  <c r="BF40" i="867"/>
  <c r="BF47" i="867"/>
  <c r="BJ12" i="867"/>
  <c r="BG47" i="867"/>
  <c r="BG27" i="867"/>
  <c r="BJ32" i="867"/>
  <c r="BI13" i="867"/>
  <c r="BJ18" i="867"/>
  <c r="BI19" i="867"/>
  <c r="BJ19" i="867"/>
  <c r="BH41" i="867"/>
  <c r="BG12" i="867"/>
  <c r="BH12" i="867"/>
  <c r="BF19" i="867"/>
  <c r="BH19" i="867"/>
  <c r="BH40" i="867"/>
  <c r="BG41" i="867"/>
  <c r="BJ34" i="867"/>
  <c r="BI54" i="867"/>
  <c r="BG5" i="867"/>
  <c r="BI12" i="867"/>
  <c r="BF32" i="867"/>
  <c r="BF48" i="867"/>
  <c r="BF20" i="867"/>
  <c r="BI34" i="867"/>
  <c r="BH54" i="867"/>
  <c r="BJ40" i="867"/>
  <c r="BF13" i="867"/>
  <c r="BH32" i="867"/>
  <c r="BH48" i="867"/>
  <c r="BG13" i="867"/>
  <c r="BI32" i="867"/>
  <c r="BH18" i="867"/>
  <c r="BJ53" i="867"/>
  <c r="BG54" i="867"/>
  <c r="BH13" i="867"/>
  <c r="BH34" i="867"/>
  <c r="BF35" i="867"/>
  <c r="BI40" i="867"/>
  <c r="BF54" i="867"/>
  <c r="BG20" i="867"/>
  <c r="BF41" i="867"/>
  <c r="BH25" i="867"/>
  <c r="BH20" i="867"/>
  <c r="CH60" i="867"/>
  <c r="CH5" i="867" s="1"/>
  <c r="CI10" i="867"/>
  <c r="CL15" i="867"/>
  <c r="CJ21" i="867"/>
  <c r="CH27" i="867"/>
  <c r="CK32" i="867"/>
  <c r="CI38" i="867"/>
  <c r="CL43" i="867"/>
  <c r="CJ49" i="867"/>
  <c r="CI5" i="867"/>
  <c r="CJ10" i="867"/>
  <c r="CH16" i="867"/>
  <c r="CK21" i="867"/>
  <c r="CI27" i="867"/>
  <c r="CL32" i="867"/>
  <c r="CJ38" i="867"/>
  <c r="CH44" i="867"/>
  <c r="CK49" i="867"/>
  <c r="CJ5" i="867"/>
  <c r="CK10" i="867"/>
  <c r="CI16" i="867"/>
  <c r="CL21" i="867"/>
  <c r="CJ27" i="867"/>
  <c r="CH33" i="867"/>
  <c r="CK38" i="867"/>
  <c r="CI44" i="867"/>
  <c r="CL49" i="867"/>
  <c r="CK5" i="867"/>
  <c r="CL10" i="867"/>
  <c r="CJ16" i="867"/>
  <c r="CH22" i="867"/>
  <c r="CK27" i="867"/>
  <c r="CI33" i="867"/>
  <c r="CL38" i="867"/>
  <c r="CJ44" i="867"/>
  <c r="CH50" i="867"/>
  <c r="CL5" i="867"/>
  <c r="CH11" i="867"/>
  <c r="CK16" i="867"/>
  <c r="CI22" i="867"/>
  <c r="CL27" i="867"/>
  <c r="CJ33" i="867"/>
  <c r="CH39" i="867"/>
  <c r="CK44" i="867"/>
  <c r="CI50" i="867"/>
  <c r="CI11" i="867"/>
  <c r="CL16" i="867"/>
  <c r="CJ22" i="867"/>
  <c r="CH28" i="867"/>
  <c r="CK33" i="867"/>
  <c r="CI39" i="867"/>
  <c r="CL44" i="867"/>
  <c r="CJ50" i="867"/>
  <c r="CJ7" i="867"/>
  <c r="CI14" i="867"/>
  <c r="CH21" i="867"/>
  <c r="CH29" i="867"/>
  <c r="CL35" i="867"/>
  <c r="CK42" i="867"/>
  <c r="CK50" i="867"/>
  <c r="CH37" i="867"/>
  <c r="CH9" i="867"/>
  <c r="CH32" i="867"/>
  <c r="CK7" i="867"/>
  <c r="CJ14" i="867"/>
  <c r="CI21" i="867"/>
  <c r="CI29" i="867"/>
  <c r="CH36" i="867"/>
  <c r="CL42" i="867"/>
  <c r="CL50" i="867"/>
  <c r="CJ23" i="867"/>
  <c r="CJ37" i="867"/>
  <c r="CJ25" i="867"/>
  <c r="CL53" i="867"/>
  <c r="CL7" i="867"/>
  <c r="CK14" i="867"/>
  <c r="CK22" i="867"/>
  <c r="CJ29" i="867"/>
  <c r="CI36" i="867"/>
  <c r="CH43" i="867"/>
  <c r="CH51" i="867"/>
  <c r="CL23" i="867"/>
  <c r="CI52" i="867"/>
  <c r="CK11" i="867"/>
  <c r="CK18" i="867"/>
  <c r="CI40" i="867"/>
  <c r="CH8" i="867"/>
  <c r="CL14" i="867"/>
  <c r="CL22" i="867"/>
  <c r="CK29" i="867"/>
  <c r="CJ36" i="867"/>
  <c r="CI43" i="867"/>
  <c r="CI51" i="867"/>
  <c r="CK8" i="867"/>
  <c r="CI25" i="867"/>
  <c r="CI8" i="867"/>
  <c r="CH15" i="867"/>
  <c r="CH23" i="867"/>
  <c r="CL29" i="867"/>
  <c r="CK36" i="867"/>
  <c r="CJ43" i="867"/>
  <c r="CJ51" i="867"/>
  <c r="CI30" i="867"/>
  <c r="CL51" i="867"/>
  <c r="CK30" i="867"/>
  <c r="CJ8" i="867"/>
  <c r="CI15" i="867"/>
  <c r="CI23" i="867"/>
  <c r="CH30" i="867"/>
  <c r="CL36" i="867"/>
  <c r="CK43" i="867"/>
  <c r="CK51" i="867"/>
  <c r="CJ15" i="867"/>
  <c r="CH45" i="867"/>
  <c r="CJ45" i="867"/>
  <c r="CH40" i="867"/>
  <c r="CL46" i="867"/>
  <c r="CH47" i="867"/>
  <c r="CL8" i="867"/>
  <c r="CK15" i="867"/>
  <c r="CK23" i="867"/>
  <c r="CJ30" i="867"/>
  <c r="CI37" i="867"/>
  <c r="CI45" i="867"/>
  <c r="CH52" i="867"/>
  <c r="CH17" i="867"/>
  <c r="CJ18" i="867"/>
  <c r="CI9" i="867"/>
  <c r="CI17" i="867"/>
  <c r="CH24" i="867"/>
  <c r="CL30" i="867"/>
  <c r="CK37" i="867"/>
  <c r="CK45" i="867"/>
  <c r="CJ52" i="867"/>
  <c r="CJ9" i="867"/>
  <c r="CJ17" i="867"/>
  <c r="CI24" i="867"/>
  <c r="CH31" i="867"/>
  <c r="CL37" i="867"/>
  <c r="CL45" i="867"/>
  <c r="CK52" i="867"/>
  <c r="CK9" i="867"/>
  <c r="CK17" i="867"/>
  <c r="CJ24" i="867"/>
  <c r="CI31" i="867"/>
  <c r="CH38" i="867"/>
  <c r="CH46" i="867"/>
  <c r="CL52" i="867"/>
  <c r="CL9" i="867"/>
  <c r="CL17" i="867"/>
  <c r="CK24" i="867"/>
  <c r="CJ31" i="867"/>
  <c r="CJ39" i="867"/>
  <c r="CI46" i="867"/>
  <c r="CH53" i="867"/>
  <c r="CK53" i="867"/>
  <c r="CL11" i="867"/>
  <c r="CH10" i="867"/>
  <c r="CH18" i="867"/>
  <c r="CL24" i="867"/>
  <c r="CK31" i="867"/>
  <c r="CK39" i="867"/>
  <c r="CJ46" i="867"/>
  <c r="CI53" i="867"/>
  <c r="CJ11" i="867"/>
  <c r="CI18" i="867"/>
  <c r="CH25" i="867"/>
  <c r="CL31" i="867"/>
  <c r="CL39" i="867"/>
  <c r="CK46" i="867"/>
  <c r="CJ53" i="867"/>
  <c r="CI32" i="867"/>
  <c r="CH14" i="867"/>
  <c r="CK34" i="867"/>
  <c r="CH54" i="867"/>
  <c r="CK40" i="867"/>
  <c r="CJ42" i="867"/>
  <c r="CL26" i="867"/>
  <c r="CI34" i="867"/>
  <c r="CL18" i="867"/>
  <c r="CL34" i="867"/>
  <c r="CI54" i="867"/>
  <c r="CJ40" i="867"/>
  <c r="CH20" i="867"/>
  <c r="CI20" i="867"/>
  <c r="CI12" i="867"/>
  <c r="CK13" i="867"/>
  <c r="CH19" i="867"/>
  <c r="CH35" i="867"/>
  <c r="CJ54" i="867"/>
  <c r="CK6" i="867"/>
  <c r="CH42" i="867"/>
  <c r="CJ28" i="867"/>
  <c r="CK12" i="867"/>
  <c r="CL33" i="867"/>
  <c r="CI19" i="867"/>
  <c r="CI35" i="867"/>
  <c r="CK54" i="867"/>
  <c r="CK28" i="867"/>
  <c r="CH13" i="867"/>
  <c r="CL13" i="867"/>
  <c r="CJ19" i="867"/>
  <c r="CJ35" i="867"/>
  <c r="CL54" i="867"/>
  <c r="CL19" i="867"/>
  <c r="CL40" i="867"/>
  <c r="CI26" i="867"/>
  <c r="CI13" i="867"/>
  <c r="CK19" i="867"/>
  <c r="CK35" i="867"/>
  <c r="CI42" i="867"/>
  <c r="CI28" i="867"/>
  <c r="CL12" i="867"/>
  <c r="CJ26" i="867"/>
  <c r="CI7" i="867"/>
  <c r="CL47" i="867"/>
  <c r="CJ32" i="867"/>
  <c r="CI41" i="867"/>
  <c r="CI47" i="867"/>
  <c r="CK47" i="867"/>
  <c r="CJ48" i="867"/>
  <c r="CJ34" i="867"/>
  <c r="CH49" i="867"/>
  <c r="CJ20" i="867"/>
  <c r="CH41" i="867"/>
  <c r="CK20" i="867"/>
  <c r="CL6" i="867"/>
  <c r="CH7" i="867"/>
  <c r="CJ47" i="867"/>
  <c r="CH48" i="867"/>
  <c r="CL28" i="867"/>
  <c r="CH6" i="867"/>
  <c r="CL20" i="867"/>
  <c r="CJ41" i="867"/>
  <c r="CI6" i="867"/>
  <c r="CK25" i="867"/>
  <c r="CK41" i="867"/>
  <c r="CH12" i="867"/>
  <c r="CJ6" i="867"/>
  <c r="CL25" i="867"/>
  <c r="CL41" i="867"/>
  <c r="CH26" i="867"/>
  <c r="CK26" i="867"/>
  <c r="CJ12" i="867"/>
  <c r="CI48" i="867"/>
  <c r="CK48" i="867"/>
  <c r="CL48" i="867"/>
  <c r="CI49" i="867"/>
  <c r="CJ13" i="867"/>
  <c r="CH34" i="867"/>
  <c r="CV60" i="867"/>
  <c r="CV5" i="867" s="1"/>
  <c r="CW8" i="867"/>
  <c r="CZ13" i="867"/>
  <c r="CX19" i="867"/>
  <c r="CV25" i="867"/>
  <c r="CW10" i="867"/>
  <c r="CZ15" i="867"/>
  <c r="CX21" i="867"/>
  <c r="CV27" i="867"/>
  <c r="CX10" i="867"/>
  <c r="CV16" i="867"/>
  <c r="CY21" i="867"/>
  <c r="CW27" i="867"/>
  <c r="CY7" i="867"/>
  <c r="CV14" i="867"/>
  <c r="CW20" i="867"/>
  <c r="CX26" i="867"/>
  <c r="CX32" i="867"/>
  <c r="CV38" i="867"/>
  <c r="CY43" i="867"/>
  <c r="CW49" i="867"/>
  <c r="CZ54" i="867"/>
  <c r="CZ7" i="867"/>
  <c r="CW14" i="867"/>
  <c r="CX20" i="867"/>
  <c r="CY26" i="867"/>
  <c r="CY32" i="867"/>
  <c r="CW38" i="867"/>
  <c r="CZ43" i="867"/>
  <c r="CX49" i="867"/>
  <c r="CW5" i="867"/>
  <c r="CV8" i="867"/>
  <c r="CX14" i="867"/>
  <c r="CY20" i="867"/>
  <c r="CZ26" i="867"/>
  <c r="CZ32" i="867"/>
  <c r="CX38" i="867"/>
  <c r="CV44" i="867"/>
  <c r="CY49" i="867"/>
  <c r="CX5" i="867"/>
  <c r="CX8" i="867"/>
  <c r="CY14" i="867"/>
  <c r="CZ20" i="867"/>
  <c r="CX27" i="867"/>
  <c r="CV33" i="867"/>
  <c r="CY38" i="867"/>
  <c r="CW44" i="867"/>
  <c r="CZ49" i="867"/>
  <c r="CY5" i="867"/>
  <c r="CY8" i="867"/>
  <c r="CZ14" i="867"/>
  <c r="CV21" i="867"/>
  <c r="CY27" i="867"/>
  <c r="CW33" i="867"/>
  <c r="CZ38" i="867"/>
  <c r="CX44" i="867"/>
  <c r="CV50" i="867"/>
  <c r="CZ5" i="867"/>
  <c r="CZ8" i="867"/>
  <c r="CV15" i="867"/>
  <c r="CW21" i="867"/>
  <c r="CZ27" i="867"/>
  <c r="CX33" i="867"/>
  <c r="CV39" i="867"/>
  <c r="CY44" i="867"/>
  <c r="CW50" i="867"/>
  <c r="CV9" i="867"/>
  <c r="CV11" i="867"/>
  <c r="CW17" i="867"/>
  <c r="CX12" i="867"/>
  <c r="CZ21" i="867"/>
  <c r="CW29" i="867"/>
  <c r="CV36" i="867"/>
  <c r="CZ42" i="867"/>
  <c r="CZ50" i="867"/>
  <c r="CW6" i="867"/>
  <c r="CX40" i="867"/>
  <c r="CY12" i="867"/>
  <c r="CV22" i="867"/>
  <c r="CX29" i="867"/>
  <c r="CW36" i="867"/>
  <c r="CV43" i="867"/>
  <c r="CV51" i="867"/>
  <c r="CX30" i="867"/>
  <c r="CY37" i="867"/>
  <c r="CZ24" i="867"/>
  <c r="CW25" i="867"/>
  <c r="CZ12" i="867"/>
  <c r="CW22" i="867"/>
  <c r="CY29" i="867"/>
  <c r="CX36" i="867"/>
  <c r="CW43" i="867"/>
  <c r="CW51" i="867"/>
  <c r="CV52" i="867"/>
  <c r="CY45" i="867"/>
  <c r="CX9" i="867"/>
  <c r="CY33" i="867"/>
  <c r="CV13" i="867"/>
  <c r="CX22" i="867"/>
  <c r="CZ29" i="867"/>
  <c r="CY36" i="867"/>
  <c r="CX43" i="867"/>
  <c r="CX51" i="867"/>
  <c r="CZ30" i="867"/>
  <c r="CX17" i="867"/>
  <c r="CW13" i="867"/>
  <c r="CY22" i="867"/>
  <c r="CV30" i="867"/>
  <c r="CZ36" i="867"/>
  <c r="CZ44" i="867"/>
  <c r="CY51" i="867"/>
  <c r="CV23" i="867"/>
  <c r="CW45" i="867"/>
  <c r="CX15" i="867"/>
  <c r="CX52" i="867"/>
  <c r="CW40" i="867"/>
  <c r="CX13" i="867"/>
  <c r="CZ22" i="867"/>
  <c r="CW30" i="867"/>
  <c r="CV37" i="867"/>
  <c r="CV45" i="867"/>
  <c r="CZ51" i="867"/>
  <c r="CY13" i="867"/>
  <c r="CW37" i="867"/>
  <c r="CX23" i="867"/>
  <c r="CW32" i="867"/>
  <c r="CZ53" i="867"/>
  <c r="CV6" i="867"/>
  <c r="CW15" i="867"/>
  <c r="CW23" i="867"/>
  <c r="CY30" i="867"/>
  <c r="CX37" i="867"/>
  <c r="CX45" i="867"/>
  <c r="CW52" i="867"/>
  <c r="CW9" i="867"/>
  <c r="CY17" i="867"/>
  <c r="CX6" i="867"/>
  <c r="CY15" i="867"/>
  <c r="CY23" i="867"/>
  <c r="CV31" i="867"/>
  <c r="CZ37" i="867"/>
  <c r="CZ45" i="867"/>
  <c r="CY52" i="867"/>
  <c r="CY6" i="867"/>
  <c r="CW16" i="867"/>
  <c r="CZ23" i="867"/>
  <c r="CW31" i="867"/>
  <c r="CW39" i="867"/>
  <c r="CV46" i="867"/>
  <c r="CZ52" i="867"/>
  <c r="CV54" i="867"/>
  <c r="CZ6" i="867"/>
  <c r="CX16" i="867"/>
  <c r="CV24" i="867"/>
  <c r="CX31" i="867"/>
  <c r="CX39" i="867"/>
  <c r="CW46" i="867"/>
  <c r="CV53" i="867"/>
  <c r="CV7" i="867"/>
  <c r="CY16" i="867"/>
  <c r="CW24" i="867"/>
  <c r="CY31" i="867"/>
  <c r="CY39" i="867"/>
  <c r="CX46" i="867"/>
  <c r="CW53" i="867"/>
  <c r="CW7" i="867"/>
  <c r="CZ16" i="867"/>
  <c r="CX24" i="867"/>
  <c r="CZ31" i="867"/>
  <c r="CZ39" i="867"/>
  <c r="CY46" i="867"/>
  <c r="CX53" i="867"/>
  <c r="CX7" i="867"/>
  <c r="CV17" i="867"/>
  <c r="CY24" i="867"/>
  <c r="CV32" i="867"/>
  <c r="CV40" i="867"/>
  <c r="CZ46" i="867"/>
  <c r="CY53" i="867"/>
  <c r="CV47" i="867"/>
  <c r="CW47" i="867"/>
  <c r="CY10" i="867"/>
  <c r="CZ28" i="867"/>
  <c r="CW48" i="867"/>
  <c r="CY50" i="867"/>
  <c r="CX54" i="867"/>
  <c r="CV41" i="867"/>
  <c r="CV26" i="867"/>
  <c r="CY28" i="867"/>
  <c r="CZ10" i="867"/>
  <c r="CV29" i="867"/>
  <c r="CX48" i="867"/>
  <c r="CV12" i="867"/>
  <c r="CW41" i="867"/>
  <c r="CZ19" i="867"/>
  <c r="CW42" i="867"/>
  <c r="CX47" i="867"/>
  <c r="CW11" i="867"/>
  <c r="CZ33" i="867"/>
  <c r="CY48" i="867"/>
  <c r="CW54" i="867"/>
  <c r="CZ17" i="867"/>
  <c r="CZ47" i="867"/>
  <c r="CX11" i="867"/>
  <c r="CV34" i="867"/>
  <c r="CZ48" i="867"/>
  <c r="CZ34" i="867"/>
  <c r="CW19" i="867"/>
  <c r="CZ41" i="867"/>
  <c r="CY11" i="867"/>
  <c r="CW34" i="867"/>
  <c r="CV49" i="867"/>
  <c r="CW12" i="867"/>
  <c r="CZ40" i="867"/>
  <c r="CV42" i="867"/>
  <c r="CZ25" i="867"/>
  <c r="CZ11" i="867"/>
  <c r="CX34" i="867"/>
  <c r="CX50" i="867"/>
  <c r="CY34" i="867"/>
  <c r="CW26" i="867"/>
  <c r="CX25" i="867"/>
  <c r="CX28" i="867"/>
  <c r="CV35" i="867"/>
  <c r="CY42" i="867"/>
  <c r="CV18" i="867"/>
  <c r="CW35" i="867"/>
  <c r="CY54" i="867"/>
  <c r="CY25" i="867"/>
  <c r="CW18" i="867"/>
  <c r="CX35" i="867"/>
  <c r="CY41" i="867"/>
  <c r="CX18" i="867"/>
  <c r="CY35" i="867"/>
  <c r="CX41" i="867"/>
  <c r="CY18" i="867"/>
  <c r="CZ35" i="867"/>
  <c r="CV19" i="867"/>
  <c r="CZ18" i="867"/>
  <c r="CY40" i="867"/>
  <c r="CV20" i="867"/>
  <c r="CV10" i="867"/>
  <c r="CY19" i="867"/>
  <c r="CX42" i="867"/>
  <c r="CV28" i="867"/>
  <c r="CV48" i="867"/>
  <c r="CY9" i="867"/>
  <c r="CW28" i="867"/>
  <c r="CY47" i="867"/>
  <c r="CZ9" i="867"/>
  <c r="EL60" i="867"/>
  <c r="EL5" i="867" s="1"/>
  <c r="EL7" i="867"/>
  <c r="EO12" i="867"/>
  <c r="EM18" i="867"/>
  <c r="EP23" i="867"/>
  <c r="EN29" i="867"/>
  <c r="EL35" i="867"/>
  <c r="EO40" i="867"/>
  <c r="EM46" i="867"/>
  <c r="EP51" i="867"/>
  <c r="EO7" i="867"/>
  <c r="EM13" i="867"/>
  <c r="EP18" i="867"/>
  <c r="EN24" i="867"/>
  <c r="EL30" i="867"/>
  <c r="EO35" i="867"/>
  <c r="EM41" i="867"/>
  <c r="EP46" i="867"/>
  <c r="EN52" i="867"/>
  <c r="EL8" i="867"/>
  <c r="EO13" i="867"/>
  <c r="EM19" i="867"/>
  <c r="EP24" i="867"/>
  <c r="EN30" i="867"/>
  <c r="EL36" i="867"/>
  <c r="EO41" i="867"/>
  <c r="EM47" i="867"/>
  <c r="EP52" i="867"/>
  <c r="EM8" i="867"/>
  <c r="EP13" i="867"/>
  <c r="EN19" i="867"/>
  <c r="EL25" i="867"/>
  <c r="EO30" i="867"/>
  <c r="EM36" i="867"/>
  <c r="EP41" i="867"/>
  <c r="EN47" i="867"/>
  <c r="EL53" i="867"/>
  <c r="EL9" i="867"/>
  <c r="EO14" i="867"/>
  <c r="EM20" i="867"/>
  <c r="EP25" i="867"/>
  <c r="EN31" i="867"/>
  <c r="EL37" i="867"/>
  <c r="EO42" i="867"/>
  <c r="EM48" i="867"/>
  <c r="EP53" i="867"/>
  <c r="EO9" i="867"/>
  <c r="EM15" i="867"/>
  <c r="EP20" i="867"/>
  <c r="EN26" i="867"/>
  <c r="EL32" i="867"/>
  <c r="EO37" i="867"/>
  <c r="EM43" i="867"/>
  <c r="EP48" i="867"/>
  <c r="EN54" i="867"/>
  <c r="EP9" i="867"/>
  <c r="EN15" i="867"/>
  <c r="EL21" i="867"/>
  <c r="EO26" i="867"/>
  <c r="EM32" i="867"/>
  <c r="EP37" i="867"/>
  <c r="EN43" i="867"/>
  <c r="EL49" i="867"/>
  <c r="EO54" i="867"/>
  <c r="EL6" i="867"/>
  <c r="EO11" i="867"/>
  <c r="EM17" i="867"/>
  <c r="EP22" i="867"/>
  <c r="EN28" i="867"/>
  <c r="EP7" i="867"/>
  <c r="EL16" i="867"/>
  <c r="EN23" i="867"/>
  <c r="EO31" i="867"/>
  <c r="EL39" i="867"/>
  <c r="EL46" i="867"/>
  <c r="EL54" i="867"/>
  <c r="EN8" i="867"/>
  <c r="EM16" i="867"/>
  <c r="EO23" i="867"/>
  <c r="EP31" i="867"/>
  <c r="EM39" i="867"/>
  <c r="EN46" i="867"/>
  <c r="EM54" i="867"/>
  <c r="EO8" i="867"/>
  <c r="EN16" i="867"/>
  <c r="EL24" i="867"/>
  <c r="EN32" i="867"/>
  <c r="EN39" i="867"/>
  <c r="EO46" i="867"/>
  <c r="EP54" i="867"/>
  <c r="EP8" i="867"/>
  <c r="EO16" i="867"/>
  <c r="EM24" i="867"/>
  <c r="EO32" i="867"/>
  <c r="EO39" i="867"/>
  <c r="EL47" i="867"/>
  <c r="EM5" i="867"/>
  <c r="EM9" i="867"/>
  <c r="EP16" i="867"/>
  <c r="EO24" i="867"/>
  <c r="EP32" i="867"/>
  <c r="EP39" i="867"/>
  <c r="EO47" i="867"/>
  <c r="EN5" i="867"/>
  <c r="EN9" i="867"/>
  <c r="EL17" i="867"/>
  <c r="EM25" i="867"/>
  <c r="EL33" i="867"/>
  <c r="EL40" i="867"/>
  <c r="EP47" i="867"/>
  <c r="EO5" i="867"/>
  <c r="EL10" i="867"/>
  <c r="EN17" i="867"/>
  <c r="EN25" i="867"/>
  <c r="EM33" i="867"/>
  <c r="EM40" i="867"/>
  <c r="EL48" i="867"/>
  <c r="EP5" i="867"/>
  <c r="EM10" i="867"/>
  <c r="EO17" i="867"/>
  <c r="EO25" i="867"/>
  <c r="EN33" i="867"/>
  <c r="EN40" i="867"/>
  <c r="EN48" i="867"/>
  <c r="EO10" i="867"/>
  <c r="EL18" i="867"/>
  <c r="EM26" i="867"/>
  <c r="EP33" i="867"/>
  <c r="EL41" i="867"/>
  <c r="EM49" i="867"/>
  <c r="EP10" i="867"/>
  <c r="EN18" i="867"/>
  <c r="EP26" i="867"/>
  <c r="EL34" i="867"/>
  <c r="EN41" i="867"/>
  <c r="EN49" i="867"/>
  <c r="EM11" i="867"/>
  <c r="EL19" i="867"/>
  <c r="EM27" i="867"/>
  <c r="EN34" i="867"/>
  <c r="EM42" i="867"/>
  <c r="EP49" i="867"/>
  <c r="EP11" i="867"/>
  <c r="EP19" i="867"/>
  <c r="EO27" i="867"/>
  <c r="EP34" i="867"/>
  <c r="EP42" i="867"/>
  <c r="EM50" i="867"/>
  <c r="EP15" i="867"/>
  <c r="EP29" i="867"/>
  <c r="EM44" i="867"/>
  <c r="EN21" i="867"/>
  <c r="EN37" i="867"/>
  <c r="EM23" i="867"/>
  <c r="EP17" i="867"/>
  <c r="EM30" i="867"/>
  <c r="EN44" i="867"/>
  <c r="EP45" i="867"/>
  <c r="EL12" i="867"/>
  <c r="EO18" i="867"/>
  <c r="EP30" i="867"/>
  <c r="EO44" i="867"/>
  <c r="EM34" i="867"/>
  <c r="EM51" i="867"/>
  <c r="EO19" i="867"/>
  <c r="EL31" i="867"/>
  <c r="EP44" i="867"/>
  <c r="EO20" i="867"/>
  <c r="EL20" i="867"/>
  <c r="EM31" i="867"/>
  <c r="EL45" i="867"/>
  <c r="EL23" i="867"/>
  <c r="EN20" i="867"/>
  <c r="EO33" i="867"/>
  <c r="EM45" i="867"/>
  <c r="EM35" i="867"/>
  <c r="EN11" i="867"/>
  <c r="EL51" i="867"/>
  <c r="EN45" i="867"/>
  <c r="EM6" i="867"/>
  <c r="EM21" i="867"/>
  <c r="EO34" i="867"/>
  <c r="EO45" i="867"/>
  <c r="EL38" i="867"/>
  <c r="EN6" i="867"/>
  <c r="EO6" i="867"/>
  <c r="EO21" i="867"/>
  <c r="EN35" i="867"/>
  <c r="EO48" i="867"/>
  <c r="EP6" i="867"/>
  <c r="EP21" i="867"/>
  <c r="EP35" i="867"/>
  <c r="EO49" i="867"/>
  <c r="EM7" i="867"/>
  <c r="EL22" i="867"/>
  <c r="EN36" i="867"/>
  <c r="EL50" i="867"/>
  <c r="EN7" i="867"/>
  <c r="EM22" i="867"/>
  <c r="EO36" i="867"/>
  <c r="EN50" i="867"/>
  <c r="EN10" i="867"/>
  <c r="EN22" i="867"/>
  <c r="EP36" i="867"/>
  <c r="EO50" i="867"/>
  <c r="EL11" i="867"/>
  <c r="EO22" i="867"/>
  <c r="EM37" i="867"/>
  <c r="EP50" i="867"/>
  <c r="EM14" i="867"/>
  <c r="EO51" i="867"/>
  <c r="EO53" i="867"/>
  <c r="EO38" i="867"/>
  <c r="EN14" i="867"/>
  <c r="EL52" i="867"/>
  <c r="EP27" i="867"/>
  <c r="EN12" i="867"/>
  <c r="EP14" i="867"/>
  <c r="EM52" i="867"/>
  <c r="EL15" i="867"/>
  <c r="EO52" i="867"/>
  <c r="EM29" i="867"/>
  <c r="EL42" i="867"/>
  <c r="EO15" i="867"/>
  <c r="EM53" i="867"/>
  <c r="EL27" i="867"/>
  <c r="EL26" i="867"/>
  <c r="EN53" i="867"/>
  <c r="EP38" i="867"/>
  <c r="EL44" i="867"/>
  <c r="EN27" i="867"/>
  <c r="EL14" i="867"/>
  <c r="EL43" i="867"/>
  <c r="EL28" i="867"/>
  <c r="EO43" i="867"/>
  <c r="EM28" i="867"/>
  <c r="EO28" i="867"/>
  <c r="EO29" i="867"/>
  <c r="EN38" i="867"/>
  <c r="EN13" i="867"/>
  <c r="EP28" i="867"/>
  <c r="EL29" i="867"/>
  <c r="EM38" i="867"/>
  <c r="EP40" i="867"/>
  <c r="EM12" i="867"/>
  <c r="EN42" i="867"/>
  <c r="EP12" i="867"/>
  <c r="EN51" i="867"/>
  <c r="EL13" i="867"/>
  <c r="EP43" i="867"/>
  <c r="EZ60" i="867"/>
  <c r="EZ5" i="867" s="1"/>
  <c r="FD6" i="867"/>
  <c r="FB12" i="867"/>
  <c r="EZ18" i="867"/>
  <c r="FC23" i="867"/>
  <c r="FA29" i="867"/>
  <c r="FD34" i="867"/>
  <c r="FB40" i="867"/>
  <c r="EZ46" i="867"/>
  <c r="FC51" i="867"/>
  <c r="FB7" i="867"/>
  <c r="EZ13" i="867"/>
  <c r="FC18" i="867"/>
  <c r="FA24" i="867"/>
  <c r="FD29" i="867"/>
  <c r="FB35" i="867"/>
  <c r="EZ41" i="867"/>
  <c r="FC46" i="867"/>
  <c r="FA52" i="867"/>
  <c r="FC7" i="867"/>
  <c r="FA13" i="867"/>
  <c r="FD7" i="867"/>
  <c r="FB13" i="867"/>
  <c r="EZ19" i="867"/>
  <c r="FC24" i="867"/>
  <c r="FA30" i="867"/>
  <c r="FD35" i="867"/>
  <c r="FB41" i="867"/>
  <c r="EZ47" i="867"/>
  <c r="FC52" i="867"/>
  <c r="EZ8" i="867"/>
  <c r="FC13" i="867"/>
  <c r="FA19" i="867"/>
  <c r="FD24" i="867"/>
  <c r="FB30" i="867"/>
  <c r="EZ36" i="867"/>
  <c r="FC41" i="867"/>
  <c r="FA47" i="867"/>
  <c r="FD52" i="867"/>
  <c r="FD8" i="867"/>
  <c r="FB14" i="867"/>
  <c r="EZ20" i="867"/>
  <c r="FC25" i="867"/>
  <c r="FA31" i="867"/>
  <c r="FD36" i="867"/>
  <c r="FB42" i="867"/>
  <c r="EZ48" i="867"/>
  <c r="FC53" i="867"/>
  <c r="FB9" i="867"/>
  <c r="EZ15" i="867"/>
  <c r="FC20" i="867"/>
  <c r="FA26" i="867"/>
  <c r="FD31" i="867"/>
  <c r="FB37" i="867"/>
  <c r="EZ43" i="867"/>
  <c r="FC48" i="867"/>
  <c r="FA54" i="867"/>
  <c r="FC9" i="867"/>
  <c r="FA15" i="867"/>
  <c r="FD20" i="867"/>
  <c r="FB26" i="867"/>
  <c r="EZ32" i="867"/>
  <c r="FC37" i="867"/>
  <c r="FA43" i="867"/>
  <c r="FD48" i="867"/>
  <c r="FB54" i="867"/>
  <c r="EZ10" i="867"/>
  <c r="FB11" i="867"/>
  <c r="EZ17" i="867"/>
  <c r="FC22" i="867"/>
  <c r="FA28" i="867"/>
  <c r="FD33" i="867"/>
  <c r="FB39" i="867"/>
  <c r="EZ45" i="867"/>
  <c r="FC50" i="867"/>
  <c r="FD10" i="867"/>
  <c r="FD18" i="867"/>
  <c r="EZ27" i="867"/>
  <c r="FB34" i="867"/>
  <c r="FC42" i="867"/>
  <c r="FA50" i="867"/>
  <c r="EZ11" i="867"/>
  <c r="FB19" i="867"/>
  <c r="FA27" i="867"/>
  <c r="FC34" i="867"/>
  <c r="FD42" i="867"/>
  <c r="FB50" i="867"/>
  <c r="FA11" i="867"/>
  <c r="FC19" i="867"/>
  <c r="FB27" i="867"/>
  <c r="EZ35" i="867"/>
  <c r="FB43" i="867"/>
  <c r="FD50" i="867"/>
  <c r="FC11" i="867"/>
  <c r="FD19" i="867"/>
  <c r="FC27" i="867"/>
  <c r="FA35" i="867"/>
  <c r="FC43" i="867"/>
  <c r="EZ51" i="867"/>
  <c r="FD11" i="867"/>
  <c r="FA20" i="867"/>
  <c r="FD27" i="867"/>
  <c r="FC35" i="867"/>
  <c r="FD43" i="867"/>
  <c r="FA51" i="867"/>
  <c r="EZ12" i="867"/>
  <c r="FB20" i="867"/>
  <c r="EZ28" i="867"/>
  <c r="FA36" i="867"/>
  <c r="EZ44" i="867"/>
  <c r="FB51" i="867"/>
  <c r="FA12" i="867"/>
  <c r="EZ21" i="867"/>
  <c r="FB28" i="867"/>
  <c r="FB36" i="867"/>
  <c r="FA44" i="867"/>
  <c r="FD51" i="867"/>
  <c r="FC12" i="867"/>
  <c r="FA21" i="867"/>
  <c r="FC28" i="867"/>
  <c r="FC36" i="867"/>
  <c r="FB44" i="867"/>
  <c r="EZ52" i="867"/>
  <c r="FD13" i="867"/>
  <c r="FC21" i="867"/>
  <c r="EZ29" i="867"/>
  <c r="FA37" i="867"/>
  <c r="FD44" i="867"/>
  <c r="EZ53" i="867"/>
  <c r="EZ14" i="867"/>
  <c r="FD21" i="867"/>
  <c r="FB29" i="867"/>
  <c r="FD37" i="867"/>
  <c r="FA45" i="867"/>
  <c r="FA53" i="867"/>
  <c r="FC14" i="867"/>
  <c r="FA22" i="867"/>
  <c r="EZ30" i="867"/>
  <c r="FA38" i="867"/>
  <c r="FC45" i="867"/>
  <c r="FD53" i="867"/>
  <c r="EZ6" i="867"/>
  <c r="FD14" i="867"/>
  <c r="FA6" i="867"/>
  <c r="FB15" i="867"/>
  <c r="FD22" i="867"/>
  <c r="FD30" i="867"/>
  <c r="FC38" i="867"/>
  <c r="FA46" i="867"/>
  <c r="FC54" i="867"/>
  <c r="FB10" i="867"/>
  <c r="FB25" i="867"/>
  <c r="FD39" i="867"/>
  <c r="FD54" i="867"/>
  <c r="FC10" i="867"/>
  <c r="FD25" i="867"/>
  <c r="EZ40" i="867"/>
  <c r="FA5" i="867"/>
  <c r="FD12" i="867"/>
  <c r="EZ26" i="867"/>
  <c r="FA40" i="867"/>
  <c r="FB5" i="867"/>
  <c r="FD47" i="867"/>
  <c r="FA14" i="867"/>
  <c r="FC26" i="867"/>
  <c r="FC40" i="867"/>
  <c r="FC5" i="867"/>
  <c r="FA42" i="867"/>
  <c r="EZ33" i="867"/>
  <c r="FC15" i="867"/>
  <c r="FD26" i="867"/>
  <c r="FD40" i="867"/>
  <c r="FD5" i="867"/>
  <c r="FD15" i="867"/>
  <c r="FD28" i="867"/>
  <c r="FA41" i="867"/>
  <c r="FA18" i="867"/>
  <c r="FC47" i="867"/>
  <c r="EZ16" i="867"/>
  <c r="FC29" i="867"/>
  <c r="FD41" i="867"/>
  <c r="FA16" i="867"/>
  <c r="FC30" i="867"/>
  <c r="EZ42" i="867"/>
  <c r="FB16" i="867"/>
  <c r="EZ31" i="867"/>
  <c r="FC16" i="867"/>
  <c r="FB31" i="867"/>
  <c r="FC44" i="867"/>
  <c r="FB18" i="867"/>
  <c r="FD16" i="867"/>
  <c r="FC31" i="867"/>
  <c r="FB45" i="867"/>
  <c r="FA17" i="867"/>
  <c r="FA32" i="867"/>
  <c r="FD45" i="867"/>
  <c r="FB17" i="867"/>
  <c r="FB32" i="867"/>
  <c r="FB46" i="867"/>
  <c r="FC17" i="867"/>
  <c r="FC32" i="867"/>
  <c r="FD46" i="867"/>
  <c r="FD17" i="867"/>
  <c r="FD32" i="867"/>
  <c r="FB47" i="867"/>
  <c r="FA33" i="867"/>
  <c r="FB33" i="867"/>
  <c r="EZ39" i="867"/>
  <c r="FA49" i="867"/>
  <c r="EZ25" i="867"/>
  <c r="FC33" i="867"/>
  <c r="FB52" i="867"/>
  <c r="EZ24" i="867"/>
  <c r="EZ34" i="867"/>
  <c r="FB6" i="867"/>
  <c r="EZ7" i="867"/>
  <c r="EZ22" i="867"/>
  <c r="FA34" i="867"/>
  <c r="FB38" i="867"/>
  <c r="EZ37" i="867"/>
  <c r="FA25" i="867"/>
  <c r="EZ38" i="867"/>
  <c r="FA23" i="867"/>
  <c r="FA9" i="867"/>
  <c r="FD49" i="867"/>
  <c r="FC6" i="867"/>
  <c r="FD38" i="867"/>
  <c r="FB22" i="867"/>
  <c r="FB23" i="867"/>
  <c r="FD23" i="867"/>
  <c r="FA7" i="867"/>
  <c r="FA39" i="867"/>
  <c r="FA8" i="867"/>
  <c r="FC39" i="867"/>
  <c r="FB49" i="867"/>
  <c r="FA10" i="867"/>
  <c r="FB8" i="867"/>
  <c r="FA48" i="867"/>
  <c r="FD9" i="867"/>
  <c r="EZ54" i="867"/>
  <c r="FC8" i="867"/>
  <c r="FB48" i="867"/>
  <c r="FC49" i="867"/>
  <c r="EZ50" i="867"/>
  <c r="EZ9" i="867"/>
  <c r="EZ49" i="867"/>
  <c r="FB21" i="867"/>
  <c r="EZ23" i="867"/>
  <c r="FB53" i="867"/>
  <c r="FB24" i="867"/>
  <c r="Q50" i="867"/>
  <c r="S44" i="867"/>
  <c r="P39" i="867"/>
  <c r="R33" i="867"/>
  <c r="T27" i="867"/>
  <c r="FN60" i="867"/>
  <c r="FN5" i="867" s="1"/>
  <c r="FQ6" i="867"/>
  <c r="FO12" i="867"/>
  <c r="FR17" i="867"/>
  <c r="FP23" i="867"/>
  <c r="FN29" i="867"/>
  <c r="FQ34" i="867"/>
  <c r="FO40" i="867"/>
  <c r="FR45" i="867"/>
  <c r="FP51" i="867"/>
  <c r="FO7" i="867"/>
  <c r="FR12" i="867"/>
  <c r="FP18" i="867"/>
  <c r="FN24" i="867"/>
  <c r="FQ29" i="867"/>
  <c r="FO35" i="867"/>
  <c r="FR40" i="867"/>
  <c r="FP46" i="867"/>
  <c r="FN52" i="867"/>
  <c r="FP7" i="867"/>
  <c r="FN13" i="867"/>
  <c r="FQ18" i="867"/>
  <c r="FO24" i="867"/>
  <c r="FR29" i="867"/>
  <c r="FP35" i="867"/>
  <c r="FN41" i="867"/>
  <c r="FQ46" i="867"/>
  <c r="FO52" i="867"/>
  <c r="FQ7" i="867"/>
  <c r="FO13" i="867"/>
  <c r="FR18" i="867"/>
  <c r="FP24" i="867"/>
  <c r="FN30" i="867"/>
  <c r="FQ35" i="867"/>
  <c r="FO41" i="867"/>
  <c r="FR46" i="867"/>
  <c r="FP52" i="867"/>
  <c r="FR7" i="867"/>
  <c r="FP13" i="867"/>
  <c r="FN19" i="867"/>
  <c r="FQ24" i="867"/>
  <c r="FO30" i="867"/>
  <c r="FR35" i="867"/>
  <c r="FP41" i="867"/>
  <c r="FN47" i="867"/>
  <c r="FQ52" i="867"/>
  <c r="FN8" i="867"/>
  <c r="FQ13" i="867"/>
  <c r="FO19" i="867"/>
  <c r="FR24" i="867"/>
  <c r="FP8" i="867"/>
  <c r="FN14" i="867"/>
  <c r="FQ19" i="867"/>
  <c r="FO25" i="867"/>
  <c r="FR30" i="867"/>
  <c r="FQ8" i="867"/>
  <c r="FO14" i="867"/>
  <c r="FR19" i="867"/>
  <c r="FP25" i="867"/>
  <c r="FN31" i="867"/>
  <c r="FQ36" i="867"/>
  <c r="FO42" i="867"/>
  <c r="FR47" i="867"/>
  <c r="FP53" i="867"/>
  <c r="FR8" i="867"/>
  <c r="FP14" i="867"/>
  <c r="FO9" i="867"/>
  <c r="FR14" i="867"/>
  <c r="FP20" i="867"/>
  <c r="FN26" i="867"/>
  <c r="FQ31" i="867"/>
  <c r="FO37" i="867"/>
  <c r="FR42" i="867"/>
  <c r="FP48" i="867"/>
  <c r="FN54" i="867"/>
  <c r="FP9" i="867"/>
  <c r="FN15" i="867"/>
  <c r="FQ20" i="867"/>
  <c r="FO26" i="867"/>
  <c r="FR31" i="867"/>
  <c r="FP37" i="867"/>
  <c r="FN43" i="867"/>
  <c r="FQ48" i="867"/>
  <c r="FO54" i="867"/>
  <c r="FR9" i="867"/>
  <c r="FP15" i="867"/>
  <c r="FN21" i="867"/>
  <c r="FQ26" i="867"/>
  <c r="FO32" i="867"/>
  <c r="FR37" i="867"/>
  <c r="FP43" i="867"/>
  <c r="FN49" i="867"/>
  <c r="FQ54" i="867"/>
  <c r="FN10" i="867"/>
  <c r="FQ15" i="867"/>
  <c r="FO21" i="867"/>
  <c r="FR26" i="867"/>
  <c r="FP32" i="867"/>
  <c r="FN38" i="867"/>
  <c r="FQ43" i="867"/>
  <c r="FO49" i="867"/>
  <c r="FR54" i="867"/>
  <c r="FO11" i="867"/>
  <c r="FR16" i="867"/>
  <c r="FP22" i="867"/>
  <c r="FN28" i="867"/>
  <c r="FQ33" i="867"/>
  <c r="FO39" i="867"/>
  <c r="FR44" i="867"/>
  <c r="FP50" i="867"/>
  <c r="FN12" i="867"/>
  <c r="FN23" i="867"/>
  <c r="FP33" i="867"/>
  <c r="FQ42" i="867"/>
  <c r="FQ51" i="867"/>
  <c r="FP12" i="867"/>
  <c r="FO23" i="867"/>
  <c r="FR33" i="867"/>
  <c r="FO43" i="867"/>
  <c r="FR51" i="867"/>
  <c r="FQ12" i="867"/>
  <c r="FQ23" i="867"/>
  <c r="FN34" i="867"/>
  <c r="FR43" i="867"/>
  <c r="FR52" i="867"/>
  <c r="FR13" i="867"/>
  <c r="FR23" i="867"/>
  <c r="FO34" i="867"/>
  <c r="FN44" i="867"/>
  <c r="FN53" i="867"/>
  <c r="FQ14" i="867"/>
  <c r="FN25" i="867"/>
  <c r="FP34" i="867"/>
  <c r="FO44" i="867"/>
  <c r="FO53" i="867"/>
  <c r="FO15" i="867"/>
  <c r="FQ25" i="867"/>
  <c r="FR34" i="867"/>
  <c r="FP44" i="867"/>
  <c r="FQ53" i="867"/>
  <c r="FR15" i="867"/>
  <c r="FR25" i="867"/>
  <c r="FN35" i="867"/>
  <c r="FQ44" i="867"/>
  <c r="FR53" i="867"/>
  <c r="FN16" i="867"/>
  <c r="FP26" i="867"/>
  <c r="FN36" i="867"/>
  <c r="FN45" i="867"/>
  <c r="FP54" i="867"/>
  <c r="FP16" i="867"/>
  <c r="FO27" i="867"/>
  <c r="FP36" i="867"/>
  <c r="FP45" i="867"/>
  <c r="FP5" i="867"/>
  <c r="FQ16" i="867"/>
  <c r="FP27" i="867"/>
  <c r="FR36" i="867"/>
  <c r="FQ45" i="867"/>
  <c r="FQ5" i="867"/>
  <c r="FN17" i="867"/>
  <c r="FN6" i="867"/>
  <c r="FO17" i="867"/>
  <c r="FR27" i="867"/>
  <c r="FQ37" i="867"/>
  <c r="FO46" i="867"/>
  <c r="FO6" i="867"/>
  <c r="FP17" i="867"/>
  <c r="FO28" i="867"/>
  <c r="FO38" i="867"/>
  <c r="FO47" i="867"/>
  <c r="FP6" i="867"/>
  <c r="FQ17" i="867"/>
  <c r="FP28" i="867"/>
  <c r="FP38" i="867"/>
  <c r="FP47" i="867"/>
  <c r="FN7" i="867"/>
  <c r="FQ28" i="867"/>
  <c r="FO45" i="867"/>
  <c r="FO8" i="867"/>
  <c r="FR28" i="867"/>
  <c r="FN46" i="867"/>
  <c r="FN20" i="867"/>
  <c r="FN9" i="867"/>
  <c r="FO29" i="867"/>
  <c r="FQ47" i="867"/>
  <c r="FR38" i="867"/>
  <c r="FQ9" i="867"/>
  <c r="FP29" i="867"/>
  <c r="FN48" i="867"/>
  <c r="FO10" i="867"/>
  <c r="FP30" i="867"/>
  <c r="FO48" i="867"/>
  <c r="FP10" i="867"/>
  <c r="FQ30" i="867"/>
  <c r="FR48" i="867"/>
  <c r="FO5" i="867"/>
  <c r="FQ10" i="867"/>
  <c r="FO31" i="867"/>
  <c r="FP49" i="867"/>
  <c r="FP19" i="867"/>
  <c r="FR10" i="867"/>
  <c r="FP31" i="867"/>
  <c r="FQ49" i="867"/>
  <c r="FN11" i="867"/>
  <c r="FN32" i="867"/>
  <c r="FR49" i="867"/>
  <c r="FP11" i="867"/>
  <c r="FQ32" i="867"/>
  <c r="FN50" i="867"/>
  <c r="FQ11" i="867"/>
  <c r="FR32" i="867"/>
  <c r="FO50" i="867"/>
  <c r="FR11" i="867"/>
  <c r="FN33" i="867"/>
  <c r="FQ50" i="867"/>
  <c r="FR5" i="867"/>
  <c r="FO16" i="867"/>
  <c r="FO33" i="867"/>
  <c r="FR50" i="867"/>
  <c r="FN18" i="867"/>
  <c r="FO36" i="867"/>
  <c r="FN51" i="867"/>
  <c r="FO18" i="867"/>
  <c r="FN37" i="867"/>
  <c r="FO51" i="867"/>
  <c r="FQ38" i="867"/>
  <c r="FP40" i="867"/>
  <c r="FQ40" i="867"/>
  <c r="FN27" i="867"/>
  <c r="FQ41" i="867"/>
  <c r="FR41" i="867"/>
  <c r="FO22" i="867"/>
  <c r="FN42" i="867"/>
  <c r="FP42" i="867"/>
  <c r="FQ22" i="867"/>
  <c r="FQ21" i="867"/>
  <c r="FN39" i="867"/>
  <c r="FR21" i="867"/>
  <c r="FN22" i="867"/>
  <c r="FQ27" i="867"/>
  <c r="FR22" i="867"/>
  <c r="FR6" i="867"/>
  <c r="FP21" i="867"/>
  <c r="FO20" i="867"/>
  <c r="FR20" i="867"/>
  <c r="FN40" i="867"/>
  <c r="FP39" i="867"/>
  <c r="FQ39" i="867"/>
  <c r="FR39" i="867"/>
  <c r="DX60" i="867"/>
  <c r="DX5" i="867" s="1"/>
  <c r="DY7" i="867"/>
  <c r="EB12" i="867"/>
  <c r="DZ18" i="867"/>
  <c r="DX24" i="867"/>
  <c r="EA29" i="867"/>
  <c r="EB7" i="867"/>
  <c r="DZ13" i="867"/>
  <c r="DX19" i="867"/>
  <c r="EA24" i="867"/>
  <c r="DY30" i="867"/>
  <c r="EB35" i="867"/>
  <c r="DZ41" i="867"/>
  <c r="DX47" i="867"/>
  <c r="EA52" i="867"/>
  <c r="DY8" i="867"/>
  <c r="EB13" i="867"/>
  <c r="DZ19" i="867"/>
  <c r="DX25" i="867"/>
  <c r="EA30" i="867"/>
  <c r="DY36" i="867"/>
  <c r="EB41" i="867"/>
  <c r="DZ47" i="867"/>
  <c r="DX53" i="867"/>
  <c r="DZ8" i="867"/>
  <c r="DX14" i="867"/>
  <c r="EA19" i="867"/>
  <c r="DY25" i="867"/>
  <c r="EB30" i="867"/>
  <c r="DZ36" i="867"/>
  <c r="DX42" i="867"/>
  <c r="EA47" i="867"/>
  <c r="DY9" i="867"/>
  <c r="EB14" i="867"/>
  <c r="DZ20" i="867"/>
  <c r="DX26" i="867"/>
  <c r="EA31" i="867"/>
  <c r="DY37" i="867"/>
  <c r="EB42" i="867"/>
  <c r="DZ48" i="867"/>
  <c r="DX54" i="867"/>
  <c r="EB9" i="867"/>
  <c r="DZ15" i="867"/>
  <c r="DX21" i="867"/>
  <c r="EA26" i="867"/>
  <c r="DY32" i="867"/>
  <c r="EB37" i="867"/>
  <c r="DZ43" i="867"/>
  <c r="DX49" i="867"/>
  <c r="EA54" i="867"/>
  <c r="DX10" i="867"/>
  <c r="EA15" i="867"/>
  <c r="DY21" i="867"/>
  <c r="EB26" i="867"/>
  <c r="DZ32" i="867"/>
  <c r="DX38" i="867"/>
  <c r="EA43" i="867"/>
  <c r="DY49" i="867"/>
  <c r="EB54" i="867"/>
  <c r="DY11" i="867"/>
  <c r="DY18" i="867"/>
  <c r="DY26" i="867"/>
  <c r="EA33" i="867"/>
  <c r="DZ40" i="867"/>
  <c r="EB47" i="867"/>
  <c r="DY5" i="867"/>
  <c r="DZ11" i="867"/>
  <c r="EA18" i="867"/>
  <c r="DZ26" i="867"/>
  <c r="EB33" i="867"/>
  <c r="EA40" i="867"/>
  <c r="DX48" i="867"/>
  <c r="DZ5" i="867"/>
  <c r="EA11" i="867"/>
  <c r="EB18" i="867"/>
  <c r="DX27" i="867"/>
  <c r="DX34" i="867"/>
  <c r="EB40" i="867"/>
  <c r="DY48" i="867"/>
  <c r="EA5" i="867"/>
  <c r="EB11" i="867"/>
  <c r="DY19" i="867"/>
  <c r="DY27" i="867"/>
  <c r="DY34" i="867"/>
  <c r="DX41" i="867"/>
  <c r="EA48" i="867"/>
  <c r="EB5" i="867"/>
  <c r="DX12" i="867"/>
  <c r="EB19" i="867"/>
  <c r="DZ27" i="867"/>
  <c r="DZ34" i="867"/>
  <c r="DY41" i="867"/>
  <c r="EB48" i="867"/>
  <c r="DY12" i="867"/>
  <c r="DX20" i="867"/>
  <c r="EA27" i="867"/>
  <c r="EA34" i="867"/>
  <c r="EA41" i="867"/>
  <c r="DZ49" i="867"/>
  <c r="DZ12" i="867"/>
  <c r="DY20" i="867"/>
  <c r="EB27" i="867"/>
  <c r="EB34" i="867"/>
  <c r="DY42" i="867"/>
  <c r="EA49" i="867"/>
  <c r="EA12" i="867"/>
  <c r="EA20" i="867"/>
  <c r="DX28" i="867"/>
  <c r="DX35" i="867"/>
  <c r="DZ42" i="867"/>
  <c r="EB49" i="867"/>
  <c r="DX6" i="867"/>
  <c r="DY13" i="867"/>
  <c r="DZ21" i="867"/>
  <c r="DZ28" i="867"/>
  <c r="DZ35" i="867"/>
  <c r="DX43" i="867"/>
  <c r="DY50" i="867"/>
  <c r="DY6" i="867"/>
  <c r="EA13" i="867"/>
  <c r="EA21" i="867"/>
  <c r="EA28" i="867"/>
  <c r="EA35" i="867"/>
  <c r="DY43" i="867"/>
  <c r="DZ50" i="867"/>
  <c r="EA6" i="867"/>
  <c r="DZ14" i="867"/>
  <c r="DX7" i="867"/>
  <c r="DX15" i="867"/>
  <c r="DZ22" i="867"/>
  <c r="DZ29" i="867"/>
  <c r="DX37" i="867"/>
  <c r="DZ44" i="867"/>
  <c r="DY51" i="867"/>
  <c r="DZ7" i="867"/>
  <c r="DX18" i="867"/>
  <c r="EB31" i="867"/>
  <c r="EA44" i="867"/>
  <c r="DY54" i="867"/>
  <c r="DZ9" i="867"/>
  <c r="EA7" i="867"/>
  <c r="EB20" i="867"/>
  <c r="DX32" i="867"/>
  <c r="EB44" i="867"/>
  <c r="DZ54" i="867"/>
  <c r="EB22" i="867"/>
  <c r="DX8" i="867"/>
  <c r="EB21" i="867"/>
  <c r="EA32" i="867"/>
  <c r="DX45" i="867"/>
  <c r="DY10" i="867"/>
  <c r="EA8" i="867"/>
  <c r="DX22" i="867"/>
  <c r="EB32" i="867"/>
  <c r="DY45" i="867"/>
  <c r="EA14" i="867"/>
  <c r="EB38" i="867"/>
  <c r="EB8" i="867"/>
  <c r="DY22" i="867"/>
  <c r="DX33" i="867"/>
  <c r="DZ45" i="867"/>
  <c r="DZ33" i="867"/>
  <c r="DY23" i="867"/>
  <c r="DX9" i="867"/>
  <c r="EA22" i="867"/>
  <c r="DY33" i="867"/>
  <c r="EA45" i="867"/>
  <c r="EB45" i="867"/>
  <c r="EA38" i="867"/>
  <c r="EB50" i="867"/>
  <c r="DX51" i="867"/>
  <c r="EA9" i="867"/>
  <c r="DX23" i="867"/>
  <c r="DY35" i="867"/>
  <c r="DX46" i="867"/>
  <c r="DY46" i="867"/>
  <c r="DX36" i="867"/>
  <c r="DZ10" i="867"/>
  <c r="DZ23" i="867"/>
  <c r="EA36" i="867"/>
  <c r="DZ46" i="867"/>
  <c r="EA10" i="867"/>
  <c r="EA23" i="867"/>
  <c r="EB36" i="867"/>
  <c r="EA46" i="867"/>
  <c r="EB10" i="867"/>
  <c r="EB23" i="867"/>
  <c r="DZ37" i="867"/>
  <c r="EB46" i="867"/>
  <c r="DX11" i="867"/>
  <c r="DY24" i="867"/>
  <c r="EA37" i="867"/>
  <c r="DY47" i="867"/>
  <c r="DX13" i="867"/>
  <c r="DZ24" i="867"/>
  <c r="DY38" i="867"/>
  <c r="DX50" i="867"/>
  <c r="DY15" i="867"/>
  <c r="DY14" i="867"/>
  <c r="EB24" i="867"/>
  <c r="DZ38" i="867"/>
  <c r="EA50" i="867"/>
  <c r="DZ25" i="867"/>
  <c r="EA25" i="867"/>
  <c r="DZ30" i="867"/>
  <c r="EB28" i="867"/>
  <c r="DX31" i="867"/>
  <c r="DZ39" i="867"/>
  <c r="EA39" i="867"/>
  <c r="EA16" i="867"/>
  <c r="DZ51" i="867"/>
  <c r="DY52" i="867"/>
  <c r="DY31" i="867"/>
  <c r="EB52" i="867"/>
  <c r="DZ31" i="867"/>
  <c r="DZ6" i="867"/>
  <c r="EA17" i="867"/>
  <c r="DX39" i="867"/>
  <c r="EB39" i="867"/>
  <c r="DX17" i="867"/>
  <c r="DY53" i="867"/>
  <c r="DZ53" i="867"/>
  <c r="DY39" i="867"/>
  <c r="DY44" i="867"/>
  <c r="EA51" i="867"/>
  <c r="DX29" i="867"/>
  <c r="DX30" i="867"/>
  <c r="EB16" i="867"/>
  <c r="DY17" i="867"/>
  <c r="EB51" i="867"/>
  <c r="EB6" i="867"/>
  <c r="DX40" i="867"/>
  <c r="DX52" i="867"/>
  <c r="EB15" i="867"/>
  <c r="DY40" i="867"/>
  <c r="DX16" i="867"/>
  <c r="EA42" i="867"/>
  <c r="DY16" i="867"/>
  <c r="EB43" i="867"/>
  <c r="DZ16" i="867"/>
  <c r="DX44" i="867"/>
  <c r="EA53" i="867"/>
  <c r="DZ17" i="867"/>
  <c r="EB17" i="867"/>
  <c r="DZ52" i="867"/>
  <c r="EB25" i="867"/>
  <c r="DY28" i="867"/>
  <c r="DY29" i="867"/>
  <c r="EB53" i="867"/>
  <c r="EB29" i="867"/>
  <c r="DJ60" i="867"/>
  <c r="DJ5" i="867" s="1"/>
  <c r="DJ8" i="867"/>
  <c r="DM13" i="867"/>
  <c r="DK19" i="867"/>
  <c r="DN24" i="867"/>
  <c r="DL30" i="867"/>
  <c r="DJ36" i="867"/>
  <c r="DM41" i="867"/>
  <c r="DK47" i="867"/>
  <c r="DN52" i="867"/>
  <c r="DL8" i="867"/>
  <c r="DJ14" i="867"/>
  <c r="DM19" i="867"/>
  <c r="DK25" i="867"/>
  <c r="DN30" i="867"/>
  <c r="DL36" i="867"/>
  <c r="DJ42" i="867"/>
  <c r="DL9" i="867"/>
  <c r="DJ15" i="867"/>
  <c r="DM20" i="867"/>
  <c r="DK26" i="867"/>
  <c r="DN31" i="867"/>
  <c r="DL37" i="867"/>
  <c r="DJ43" i="867"/>
  <c r="DJ10" i="867"/>
  <c r="DM15" i="867"/>
  <c r="DK21" i="867"/>
  <c r="DN26" i="867"/>
  <c r="DL32" i="867"/>
  <c r="DJ38" i="867"/>
  <c r="DM43" i="867"/>
  <c r="DK49" i="867"/>
  <c r="DN54" i="867"/>
  <c r="DK10" i="867"/>
  <c r="DN15" i="867"/>
  <c r="DL21" i="867"/>
  <c r="DJ27" i="867"/>
  <c r="DM32" i="867"/>
  <c r="DK38" i="867"/>
  <c r="DN43" i="867"/>
  <c r="DL49" i="867"/>
  <c r="DK5" i="867"/>
  <c r="DL11" i="867"/>
  <c r="DJ18" i="867"/>
  <c r="DM24" i="867"/>
  <c r="DM31" i="867"/>
  <c r="DN38" i="867"/>
  <c r="DL45" i="867"/>
  <c r="DM51" i="867"/>
  <c r="DM11" i="867"/>
  <c r="DK18" i="867"/>
  <c r="DJ25" i="867"/>
  <c r="DJ32" i="867"/>
  <c r="DJ39" i="867"/>
  <c r="DM45" i="867"/>
  <c r="DN51" i="867"/>
  <c r="DN11" i="867"/>
  <c r="DL18" i="867"/>
  <c r="DL25" i="867"/>
  <c r="DK32" i="867"/>
  <c r="DK39" i="867"/>
  <c r="DN45" i="867"/>
  <c r="DJ52" i="867"/>
  <c r="DJ12" i="867"/>
  <c r="DM18" i="867"/>
  <c r="DM25" i="867"/>
  <c r="DN32" i="867"/>
  <c r="DL39" i="867"/>
  <c r="DJ46" i="867"/>
  <c r="DK52" i="867"/>
  <c r="DK12" i="867"/>
  <c r="DN18" i="867"/>
  <c r="DN25" i="867"/>
  <c r="DJ33" i="867"/>
  <c r="DM39" i="867"/>
  <c r="DK46" i="867"/>
  <c r="DL52" i="867"/>
  <c r="DL12" i="867"/>
  <c r="DJ19" i="867"/>
  <c r="DJ26" i="867"/>
  <c r="DK33" i="867"/>
  <c r="DN39" i="867"/>
  <c r="DL46" i="867"/>
  <c r="DM52" i="867"/>
  <c r="DJ6" i="867"/>
  <c r="DM12" i="867"/>
  <c r="DL19" i="867"/>
  <c r="DL26" i="867"/>
  <c r="DL33" i="867"/>
  <c r="DJ40" i="867"/>
  <c r="DM46" i="867"/>
  <c r="DJ53" i="867"/>
  <c r="DK6" i="867"/>
  <c r="DN12" i="867"/>
  <c r="DN19" i="867"/>
  <c r="DM26" i="867"/>
  <c r="DM6" i="867"/>
  <c r="DN6" i="867"/>
  <c r="DL13" i="867"/>
  <c r="DM7" i="867"/>
  <c r="DM14" i="867"/>
  <c r="DN21" i="867"/>
  <c r="DL28" i="867"/>
  <c r="DJ35" i="867"/>
  <c r="DN41" i="867"/>
  <c r="DL48" i="867"/>
  <c r="DM54" i="867"/>
  <c r="DK16" i="867"/>
  <c r="DK27" i="867"/>
  <c r="DM35" i="867"/>
  <c r="DN44" i="867"/>
  <c r="DK54" i="867"/>
  <c r="DJ41" i="867"/>
  <c r="DL16" i="867"/>
  <c r="DL27" i="867"/>
  <c r="DN35" i="867"/>
  <c r="DJ45" i="867"/>
  <c r="DL54" i="867"/>
  <c r="DJ29" i="867"/>
  <c r="DN10" i="867"/>
  <c r="DL6" i="867"/>
  <c r="DM16" i="867"/>
  <c r="DM27" i="867"/>
  <c r="DK36" i="867"/>
  <c r="DK45" i="867"/>
  <c r="DL5" i="867"/>
  <c r="DN17" i="867"/>
  <c r="DJ48" i="867"/>
  <c r="DJ31" i="867"/>
  <c r="DJ7" i="867"/>
  <c r="DN16" i="867"/>
  <c r="DN27" i="867"/>
  <c r="DM36" i="867"/>
  <c r="DN46" i="867"/>
  <c r="DM5" i="867"/>
  <c r="DJ22" i="867"/>
  <c r="DK7" i="867"/>
  <c r="DJ17" i="867"/>
  <c r="DJ28" i="867"/>
  <c r="DN36" i="867"/>
  <c r="DJ47" i="867"/>
  <c r="DN5" i="867"/>
  <c r="DN37" i="867"/>
  <c r="DM10" i="867"/>
  <c r="DK22" i="867"/>
  <c r="DL7" i="867"/>
  <c r="DK17" i="867"/>
  <c r="DK28" i="867"/>
  <c r="DJ37" i="867"/>
  <c r="DL47" i="867"/>
  <c r="DM30" i="867"/>
  <c r="DJ50" i="867"/>
  <c r="DN7" i="867"/>
  <c r="DL17" i="867"/>
  <c r="DM28" i="867"/>
  <c r="DK37" i="867"/>
  <c r="DM47" i="867"/>
  <c r="DM8" i="867"/>
  <c r="DK41" i="867"/>
  <c r="DK8" i="867"/>
  <c r="DM17" i="867"/>
  <c r="DN28" i="867"/>
  <c r="DM37" i="867"/>
  <c r="DN47" i="867"/>
  <c r="DN8" i="867"/>
  <c r="DJ20" i="867"/>
  <c r="DK29" i="867"/>
  <c r="DL38" i="867"/>
  <c r="DK48" i="867"/>
  <c r="DJ9" i="867"/>
  <c r="DK20" i="867"/>
  <c r="DL29" i="867"/>
  <c r="DM38" i="867"/>
  <c r="DM48" i="867"/>
  <c r="DK9" i="867"/>
  <c r="DL20" i="867"/>
  <c r="DM29" i="867"/>
  <c r="DK40" i="867"/>
  <c r="DN48" i="867"/>
  <c r="DM9" i="867"/>
  <c r="DN20" i="867"/>
  <c r="DN29" i="867"/>
  <c r="DL40" i="867"/>
  <c r="DJ49" i="867"/>
  <c r="DN9" i="867"/>
  <c r="DJ21" i="867"/>
  <c r="DJ30" i="867"/>
  <c r="DM40" i="867"/>
  <c r="DM49" i="867"/>
  <c r="DL10" i="867"/>
  <c r="DM21" i="867"/>
  <c r="DK30" i="867"/>
  <c r="DN40" i="867"/>
  <c r="DN49" i="867"/>
  <c r="DK50" i="867"/>
  <c r="DJ13" i="867"/>
  <c r="DN34" i="867"/>
  <c r="DN42" i="867"/>
  <c r="DJ51" i="867"/>
  <c r="DK51" i="867"/>
  <c r="DK13" i="867"/>
  <c r="DK35" i="867"/>
  <c r="DK43" i="867"/>
  <c r="DK24" i="867"/>
  <c r="DK31" i="867"/>
  <c r="DL31" i="867"/>
  <c r="DM34" i="867"/>
  <c r="DN13" i="867"/>
  <c r="DL35" i="867"/>
  <c r="DM50" i="867"/>
  <c r="DN23" i="867"/>
  <c r="DL51" i="867"/>
  <c r="DJ11" i="867"/>
  <c r="DK14" i="867"/>
  <c r="DL41" i="867"/>
  <c r="DN50" i="867"/>
  <c r="DL14" i="867"/>
  <c r="DK42" i="867"/>
  <c r="DN14" i="867"/>
  <c r="DL42" i="867"/>
  <c r="DM42" i="867"/>
  <c r="DJ16" i="867"/>
  <c r="DL24" i="867"/>
  <c r="DK15" i="867"/>
  <c r="DL53" i="867"/>
  <c r="DL15" i="867"/>
  <c r="DL50" i="867"/>
  <c r="DM53" i="867"/>
  <c r="DJ54" i="867"/>
  <c r="DL22" i="867"/>
  <c r="DL43" i="867"/>
  <c r="DL23" i="867"/>
  <c r="DM22" i="867"/>
  <c r="DJ44" i="867"/>
  <c r="DL34" i="867"/>
  <c r="DN22" i="867"/>
  <c r="DK44" i="867"/>
  <c r="DM23" i="867"/>
  <c r="DN33" i="867"/>
  <c r="DJ23" i="867"/>
  <c r="DL44" i="867"/>
  <c r="DK23" i="867"/>
  <c r="DM44" i="867"/>
  <c r="DJ24" i="867"/>
  <c r="DK53" i="867"/>
  <c r="DM33" i="867"/>
  <c r="DN53" i="867"/>
  <c r="DJ34" i="867"/>
  <c r="DK11" i="867"/>
  <c r="DK34" i="867"/>
  <c r="GB60" i="867"/>
  <c r="GB5" i="867" s="1"/>
  <c r="GD53" i="867"/>
  <c r="GB10" i="867"/>
  <c r="GE15" i="867"/>
  <c r="GC21" i="867"/>
  <c r="GF26" i="867"/>
  <c r="GD32" i="867"/>
  <c r="GB38" i="867"/>
  <c r="GE43" i="867"/>
  <c r="GC49" i="867"/>
  <c r="GB54" i="867"/>
  <c r="GE10" i="867"/>
  <c r="GC16" i="867"/>
  <c r="GF21" i="867"/>
  <c r="GD27" i="867"/>
  <c r="GB33" i="867"/>
  <c r="GE38" i="867"/>
  <c r="GC44" i="867"/>
  <c r="GF49" i="867"/>
  <c r="GC54" i="867"/>
  <c r="GF10" i="867"/>
  <c r="GD16" i="867"/>
  <c r="GB22" i="867"/>
  <c r="GE27" i="867"/>
  <c r="GC33" i="867"/>
  <c r="GF38" i="867"/>
  <c r="GD44" i="867"/>
  <c r="GB50" i="867"/>
  <c r="GD54" i="867"/>
  <c r="GB11" i="867"/>
  <c r="GE16" i="867"/>
  <c r="GC22" i="867"/>
  <c r="GF27" i="867"/>
  <c r="GD33" i="867"/>
  <c r="GB39" i="867"/>
  <c r="GE44" i="867"/>
  <c r="GC50" i="867"/>
  <c r="GE54" i="867"/>
  <c r="GC11" i="867"/>
  <c r="GF16" i="867"/>
  <c r="GD22" i="867"/>
  <c r="GB28" i="867"/>
  <c r="GE33" i="867"/>
  <c r="GC39" i="867"/>
  <c r="GF44" i="867"/>
  <c r="GD50" i="867"/>
  <c r="GF54" i="867"/>
  <c r="GD11" i="867"/>
  <c r="GB17" i="867"/>
  <c r="GE22" i="867"/>
  <c r="GC28" i="867"/>
  <c r="GF33" i="867"/>
  <c r="GD39" i="867"/>
  <c r="GB45" i="867"/>
  <c r="GE50" i="867"/>
  <c r="GC6" i="867"/>
  <c r="GF11" i="867"/>
  <c r="GD17" i="867"/>
  <c r="GB23" i="867"/>
  <c r="GE28" i="867"/>
  <c r="GC34" i="867"/>
  <c r="GF39" i="867"/>
  <c r="GD45" i="867"/>
  <c r="GB51" i="867"/>
  <c r="GD6" i="867"/>
  <c r="GB12" i="867"/>
  <c r="GE17" i="867"/>
  <c r="GC23" i="867"/>
  <c r="GF28" i="867"/>
  <c r="GD34" i="867"/>
  <c r="GB40" i="867"/>
  <c r="GE45" i="867"/>
  <c r="GC51" i="867"/>
  <c r="GE6" i="867"/>
  <c r="GC12" i="867"/>
  <c r="GF17" i="867"/>
  <c r="GD23" i="867"/>
  <c r="GB29" i="867"/>
  <c r="GE34" i="867"/>
  <c r="GC40" i="867"/>
  <c r="GF45" i="867"/>
  <c r="GD51" i="867"/>
  <c r="GB7" i="867"/>
  <c r="GE12" i="867"/>
  <c r="GC18" i="867"/>
  <c r="GF23" i="867"/>
  <c r="GD29" i="867"/>
  <c r="GB35" i="867"/>
  <c r="GE40" i="867"/>
  <c r="GC46" i="867"/>
  <c r="GF51" i="867"/>
  <c r="GC7" i="867"/>
  <c r="GF12" i="867"/>
  <c r="GD18" i="867"/>
  <c r="GB24" i="867"/>
  <c r="GE29" i="867"/>
  <c r="GC35" i="867"/>
  <c r="GF40" i="867"/>
  <c r="GD46" i="867"/>
  <c r="GB52" i="867"/>
  <c r="GE7" i="867"/>
  <c r="GC13" i="867"/>
  <c r="GF18" i="867"/>
  <c r="GD24" i="867"/>
  <c r="GB30" i="867"/>
  <c r="GE35" i="867"/>
  <c r="GC41" i="867"/>
  <c r="GF46" i="867"/>
  <c r="GD52" i="867"/>
  <c r="GF7" i="867"/>
  <c r="GD13" i="867"/>
  <c r="GB19" i="867"/>
  <c r="GE24" i="867"/>
  <c r="GC30" i="867"/>
  <c r="GF35" i="867"/>
  <c r="GD41" i="867"/>
  <c r="GB47" i="867"/>
  <c r="GE52" i="867"/>
  <c r="GB9" i="867"/>
  <c r="GE14" i="867"/>
  <c r="GC20" i="867"/>
  <c r="GF25" i="867"/>
  <c r="GD31" i="867"/>
  <c r="GB37" i="867"/>
  <c r="GE42" i="867"/>
  <c r="GC48" i="867"/>
  <c r="GC53" i="867"/>
  <c r="GD15" i="867"/>
  <c r="GE26" i="867"/>
  <c r="GF37" i="867"/>
  <c r="GB49" i="867"/>
  <c r="GE53" i="867"/>
  <c r="GF15" i="867"/>
  <c r="GB27" i="867"/>
  <c r="GC38" i="867"/>
  <c r="GD49" i="867"/>
  <c r="GF53" i="867"/>
  <c r="GB16" i="867"/>
  <c r="GC27" i="867"/>
  <c r="GD38" i="867"/>
  <c r="GE49" i="867"/>
  <c r="GB6" i="867"/>
  <c r="GC17" i="867"/>
  <c r="GD28" i="867"/>
  <c r="GE39" i="867"/>
  <c r="GF50" i="867"/>
  <c r="GF6" i="867"/>
  <c r="GB18" i="867"/>
  <c r="GC29" i="867"/>
  <c r="GD40" i="867"/>
  <c r="GE51" i="867"/>
  <c r="GD7" i="867"/>
  <c r="GE18" i="867"/>
  <c r="GF29" i="867"/>
  <c r="GB41" i="867"/>
  <c r="GC52" i="867"/>
  <c r="GB8" i="867"/>
  <c r="GC19" i="867"/>
  <c r="GD30" i="867"/>
  <c r="GE41" i="867"/>
  <c r="GF52" i="867"/>
  <c r="GC8" i="867"/>
  <c r="GD19" i="867"/>
  <c r="GE30" i="867"/>
  <c r="GF41" i="867"/>
  <c r="GC5" i="867"/>
  <c r="GE8" i="867"/>
  <c r="GF19" i="867"/>
  <c r="GB31" i="867"/>
  <c r="GC42" i="867"/>
  <c r="GE5" i="867"/>
  <c r="GF8" i="867"/>
  <c r="GB20" i="867"/>
  <c r="GC31" i="867"/>
  <c r="GD42" i="867"/>
  <c r="GF5" i="867"/>
  <c r="GC9" i="867"/>
  <c r="GD20" i="867"/>
  <c r="GE31" i="867"/>
  <c r="GF42" i="867"/>
  <c r="GD9" i="867"/>
  <c r="GE20" i="867"/>
  <c r="GF31" i="867"/>
  <c r="GB43" i="867"/>
  <c r="GE9" i="867"/>
  <c r="GF20" i="867"/>
  <c r="GB32" i="867"/>
  <c r="GC43" i="867"/>
  <c r="GF9" i="867"/>
  <c r="GB21" i="867"/>
  <c r="GC32" i="867"/>
  <c r="GD43" i="867"/>
  <c r="GD10" i="867"/>
  <c r="GF32" i="867"/>
  <c r="GE11" i="867"/>
  <c r="GB34" i="867"/>
  <c r="GD12" i="867"/>
  <c r="GF34" i="867"/>
  <c r="GB13" i="867"/>
  <c r="GD35" i="867"/>
  <c r="GE13" i="867"/>
  <c r="GB36" i="867"/>
  <c r="GF13" i="867"/>
  <c r="GC36" i="867"/>
  <c r="GF22" i="867"/>
  <c r="GB14" i="867"/>
  <c r="GD36" i="867"/>
  <c r="GC14" i="867"/>
  <c r="GE36" i="867"/>
  <c r="GC45" i="867"/>
  <c r="GD14" i="867"/>
  <c r="GF36" i="867"/>
  <c r="GF14" i="867"/>
  <c r="GC37" i="867"/>
  <c r="GB15" i="867"/>
  <c r="GD37" i="867"/>
  <c r="GE23" i="867"/>
  <c r="GC15" i="867"/>
  <c r="GE37" i="867"/>
  <c r="GE19" i="867"/>
  <c r="GB42" i="867"/>
  <c r="GD21" i="867"/>
  <c r="GF43" i="867"/>
  <c r="GE21" i="867"/>
  <c r="GB44" i="867"/>
  <c r="GB46" i="867"/>
  <c r="GE32" i="867"/>
  <c r="GB53" i="867"/>
  <c r="GC25" i="867"/>
  <c r="GE46" i="867"/>
  <c r="GE48" i="867"/>
  <c r="GC10" i="867"/>
  <c r="GF24" i="867"/>
  <c r="GC47" i="867"/>
  <c r="GD8" i="867"/>
  <c r="GE25" i="867"/>
  <c r="GD26" i="867"/>
  <c r="GD47" i="867"/>
  <c r="GF30" i="867"/>
  <c r="GE47" i="867"/>
  <c r="GF47" i="867"/>
  <c r="GB48" i="867"/>
  <c r="GD48" i="867"/>
  <c r="GB25" i="867"/>
  <c r="GF48" i="867"/>
  <c r="GD5" i="867"/>
  <c r="GC24" i="867"/>
  <c r="GD25" i="867"/>
  <c r="GB26" i="867"/>
  <c r="GC26" i="867"/>
  <c r="S9" i="867"/>
  <c r="R54" i="867"/>
  <c r="Q43" i="867"/>
  <c r="P32" i="867"/>
  <c r="T20" i="867"/>
  <c r="P54" i="867"/>
  <c r="R48" i="867"/>
  <c r="T42" i="867"/>
  <c r="Q37" i="867"/>
  <c r="S31" i="867"/>
  <c r="P26" i="867"/>
  <c r="R20" i="867"/>
  <c r="T14" i="867"/>
  <c r="Q9" i="867"/>
  <c r="AH53" i="867"/>
  <c r="AE48" i="867"/>
  <c r="AG42" i="867"/>
  <c r="AD37" i="867"/>
  <c r="AF31" i="867"/>
  <c r="AH25" i="867"/>
  <c r="AE20" i="867"/>
  <c r="AG14" i="867"/>
  <c r="AD9" i="867"/>
  <c r="GP60" i="867"/>
  <c r="GP5" i="867" s="1"/>
  <c r="GQ6" i="867"/>
  <c r="GT11" i="867"/>
  <c r="GR17" i="867"/>
  <c r="GP23" i="867"/>
  <c r="GS28" i="867"/>
  <c r="GQ34" i="867"/>
  <c r="GT39" i="867"/>
  <c r="GR45" i="867"/>
  <c r="GP51" i="867"/>
  <c r="GT6" i="867"/>
  <c r="GR12" i="867"/>
  <c r="GP18" i="867"/>
  <c r="GS23" i="867"/>
  <c r="GQ29" i="867"/>
  <c r="GT34" i="867"/>
  <c r="GR40" i="867"/>
  <c r="GP46" i="867"/>
  <c r="GS51" i="867"/>
  <c r="GP7" i="867"/>
  <c r="GS12" i="867"/>
  <c r="GQ18" i="867"/>
  <c r="GT23" i="867"/>
  <c r="GR29" i="867"/>
  <c r="GP35" i="867"/>
  <c r="GS40" i="867"/>
  <c r="GQ46" i="867"/>
  <c r="GT51" i="867"/>
  <c r="GQ7" i="867"/>
  <c r="GT12" i="867"/>
  <c r="GR18" i="867"/>
  <c r="GP24" i="867"/>
  <c r="GS29" i="867"/>
  <c r="GQ35" i="867"/>
  <c r="GT40" i="867"/>
  <c r="GR46" i="867"/>
  <c r="GP52" i="867"/>
  <c r="GR7" i="867"/>
  <c r="GP13" i="867"/>
  <c r="GS18" i="867"/>
  <c r="GQ24" i="867"/>
  <c r="GT29" i="867"/>
  <c r="GR35" i="867"/>
  <c r="GP41" i="867"/>
  <c r="GS46" i="867"/>
  <c r="GQ52" i="867"/>
  <c r="GS7" i="867"/>
  <c r="GQ13" i="867"/>
  <c r="GT18" i="867"/>
  <c r="GR24" i="867"/>
  <c r="GP30" i="867"/>
  <c r="GS35" i="867"/>
  <c r="GQ41" i="867"/>
  <c r="GT46" i="867"/>
  <c r="GR52" i="867"/>
  <c r="GP8" i="867"/>
  <c r="GS13" i="867"/>
  <c r="GQ19" i="867"/>
  <c r="GT24" i="867"/>
  <c r="GR30" i="867"/>
  <c r="GP36" i="867"/>
  <c r="GS41" i="867"/>
  <c r="GQ47" i="867"/>
  <c r="GT52" i="867"/>
  <c r="GQ8" i="867"/>
  <c r="GT13" i="867"/>
  <c r="GR19" i="867"/>
  <c r="GP25" i="867"/>
  <c r="GS30" i="867"/>
  <c r="GQ36" i="867"/>
  <c r="GT41" i="867"/>
  <c r="GR47" i="867"/>
  <c r="GP53" i="867"/>
  <c r="GR8" i="867"/>
  <c r="GP14" i="867"/>
  <c r="GS19" i="867"/>
  <c r="GQ25" i="867"/>
  <c r="GT30" i="867"/>
  <c r="GR36" i="867"/>
  <c r="GP42" i="867"/>
  <c r="GS47" i="867"/>
  <c r="GQ53" i="867"/>
  <c r="GT8" i="867"/>
  <c r="GR14" i="867"/>
  <c r="GP20" i="867"/>
  <c r="GS25" i="867"/>
  <c r="GQ31" i="867"/>
  <c r="GT36" i="867"/>
  <c r="GR42" i="867"/>
  <c r="GP48" i="867"/>
  <c r="GS53" i="867"/>
  <c r="GP9" i="867"/>
  <c r="GS14" i="867"/>
  <c r="GQ20" i="867"/>
  <c r="GT25" i="867"/>
  <c r="GR31" i="867"/>
  <c r="GP37" i="867"/>
  <c r="GS42" i="867"/>
  <c r="GQ48" i="867"/>
  <c r="GT53" i="867"/>
  <c r="GR9" i="867"/>
  <c r="GP15" i="867"/>
  <c r="GS20" i="867"/>
  <c r="GQ26" i="867"/>
  <c r="GT31" i="867"/>
  <c r="GR37" i="867"/>
  <c r="GP43" i="867"/>
  <c r="GS48" i="867"/>
  <c r="GQ54" i="867"/>
  <c r="GS9" i="867"/>
  <c r="GQ15" i="867"/>
  <c r="GT20" i="867"/>
  <c r="GR26" i="867"/>
  <c r="GP32" i="867"/>
  <c r="GS37" i="867"/>
  <c r="GQ43" i="867"/>
  <c r="GT48" i="867"/>
  <c r="GR54" i="867"/>
  <c r="GT10" i="867"/>
  <c r="GR16" i="867"/>
  <c r="GP22" i="867"/>
  <c r="GS27" i="867"/>
  <c r="GQ33" i="867"/>
  <c r="GT38" i="867"/>
  <c r="GR44" i="867"/>
  <c r="GP50" i="867"/>
  <c r="GT5" i="867"/>
  <c r="GS11" i="867"/>
  <c r="GT22" i="867"/>
  <c r="GP34" i="867"/>
  <c r="GQ45" i="867"/>
  <c r="GP12" i="867"/>
  <c r="GQ23" i="867"/>
  <c r="GR34" i="867"/>
  <c r="GS45" i="867"/>
  <c r="GQ12" i="867"/>
  <c r="GR23" i="867"/>
  <c r="GS34" i="867"/>
  <c r="GT45" i="867"/>
  <c r="GR13" i="867"/>
  <c r="GS24" i="867"/>
  <c r="GT35" i="867"/>
  <c r="GP47" i="867"/>
  <c r="GQ14" i="867"/>
  <c r="GR25" i="867"/>
  <c r="GS36" i="867"/>
  <c r="GT47" i="867"/>
  <c r="GT14" i="867"/>
  <c r="GP26" i="867"/>
  <c r="GQ37" i="867"/>
  <c r="GR48" i="867"/>
  <c r="GR15" i="867"/>
  <c r="GS26" i="867"/>
  <c r="GT37" i="867"/>
  <c r="GP49" i="867"/>
  <c r="GS15" i="867"/>
  <c r="GT26" i="867"/>
  <c r="GP38" i="867"/>
  <c r="GQ49" i="867"/>
  <c r="GP16" i="867"/>
  <c r="GQ27" i="867"/>
  <c r="GR38" i="867"/>
  <c r="GS49" i="867"/>
  <c r="GQ16" i="867"/>
  <c r="GR27" i="867"/>
  <c r="GS38" i="867"/>
  <c r="GT49" i="867"/>
  <c r="GS16" i="867"/>
  <c r="GT27" i="867"/>
  <c r="GP39" i="867"/>
  <c r="GQ50" i="867"/>
  <c r="GT16" i="867"/>
  <c r="GP28" i="867"/>
  <c r="GQ39" i="867"/>
  <c r="GR50" i="867"/>
  <c r="GP17" i="867"/>
  <c r="GQ28" i="867"/>
  <c r="GR39" i="867"/>
  <c r="GS50" i="867"/>
  <c r="GP6" i="867"/>
  <c r="GQ17" i="867"/>
  <c r="GR28" i="867"/>
  <c r="GS39" i="867"/>
  <c r="GT50" i="867"/>
  <c r="GT17" i="867"/>
  <c r="GQ40" i="867"/>
  <c r="GQ30" i="867"/>
  <c r="GP19" i="867"/>
  <c r="GR41" i="867"/>
  <c r="GT19" i="867"/>
  <c r="GQ42" i="867"/>
  <c r="GR20" i="867"/>
  <c r="GT42" i="867"/>
  <c r="GS52" i="867"/>
  <c r="GP21" i="867"/>
  <c r="GR43" i="867"/>
  <c r="GT7" i="867"/>
  <c r="GQ21" i="867"/>
  <c r="GS43" i="867"/>
  <c r="GR21" i="867"/>
  <c r="GT43" i="867"/>
  <c r="GP31" i="867"/>
  <c r="GS21" i="867"/>
  <c r="GP44" i="867"/>
  <c r="GS8" i="867"/>
  <c r="GT21" i="867"/>
  <c r="GQ44" i="867"/>
  <c r="GQ22" i="867"/>
  <c r="GS44" i="867"/>
  <c r="GR22" i="867"/>
  <c r="GT44" i="867"/>
  <c r="GS22" i="867"/>
  <c r="GP45" i="867"/>
  <c r="GP27" i="867"/>
  <c r="GR49" i="867"/>
  <c r="GR53" i="867"/>
  <c r="GR6" i="867"/>
  <c r="GT28" i="867"/>
  <c r="GQ51" i="867"/>
  <c r="GS6" i="867"/>
  <c r="GP29" i="867"/>
  <c r="GR51" i="867"/>
  <c r="GT32" i="867"/>
  <c r="GR10" i="867"/>
  <c r="GP33" i="867"/>
  <c r="GP10" i="867"/>
  <c r="GR33" i="867"/>
  <c r="GS33" i="867"/>
  <c r="GP11" i="867"/>
  <c r="GT33" i="867"/>
  <c r="GS54" i="867"/>
  <c r="GS10" i="867"/>
  <c r="GQ38" i="867"/>
  <c r="GP40" i="867"/>
  <c r="GR11" i="867"/>
  <c r="GP54" i="867"/>
  <c r="GS31" i="867"/>
  <c r="GS17" i="867"/>
  <c r="GT54" i="867"/>
  <c r="GQ10" i="867"/>
  <c r="GQ5" i="867"/>
  <c r="GR32" i="867"/>
  <c r="GR5" i="867"/>
  <c r="GS5" i="867"/>
  <c r="GQ9" i="867"/>
  <c r="GT9" i="867"/>
  <c r="GQ11" i="867"/>
  <c r="GT15" i="867"/>
  <c r="GS32" i="867"/>
  <c r="GQ32" i="867"/>
  <c r="S54" i="867"/>
  <c r="P49" i="867"/>
  <c r="R43" i="867"/>
  <c r="T37" i="867"/>
  <c r="Q32" i="867"/>
  <c r="S26" i="867"/>
  <c r="P21" i="867"/>
  <c r="R15" i="867"/>
  <c r="T48" i="867"/>
  <c r="S37" i="867"/>
  <c r="R26" i="867"/>
  <c r="Q15" i="867"/>
  <c r="Q54" i="867"/>
  <c r="S48" i="867"/>
  <c r="P43" i="867"/>
  <c r="R37" i="867"/>
  <c r="T31" i="867"/>
  <c r="Q26" i="867"/>
  <c r="S20" i="867"/>
  <c r="P15" i="867"/>
  <c r="R9" i="867"/>
  <c r="AD54" i="867"/>
  <c r="AF48" i="867"/>
  <c r="AH42" i="867"/>
  <c r="AE37" i="867"/>
  <c r="AG31" i="867"/>
  <c r="AD26" i="867"/>
  <c r="AF20" i="867"/>
  <c r="T53" i="867"/>
  <c r="Q48" i="867"/>
  <c r="S42" i="867"/>
  <c r="P37" i="867"/>
  <c r="R31" i="867"/>
  <c r="T25" i="867"/>
  <c r="Q20" i="867"/>
  <c r="S14" i="867"/>
  <c r="P9" i="867"/>
  <c r="AG53" i="867"/>
  <c r="AD48" i="867"/>
  <c r="AF42" i="867"/>
  <c r="AH36" i="867"/>
  <c r="AE31" i="867"/>
  <c r="AG25" i="867"/>
  <c r="AD20" i="867"/>
  <c r="AF14" i="867"/>
  <c r="AH8" i="867"/>
  <c r="M55" i="879"/>
  <c r="L55" i="879"/>
  <c r="K55" i="879"/>
  <c r="J55" i="879"/>
  <c r="I55" i="879"/>
  <c r="F55" i="879"/>
  <c r="F57" i="879" s="1"/>
  <c r="E55" i="879"/>
  <c r="D55" i="879"/>
  <c r="C55" i="879"/>
  <c r="B55" i="879"/>
  <c r="A1" i="879"/>
  <c r="B4" i="878"/>
  <c r="B5" i="878" s="1"/>
  <c r="B6" i="878" s="1"/>
  <c r="B7" i="878" s="1"/>
  <c r="B8" i="878" s="1"/>
  <c r="B9" i="878" s="1"/>
  <c r="B10" i="878" s="1"/>
  <c r="B11" i="878" s="1"/>
  <c r="B12" i="878" s="1"/>
  <c r="B13" i="878" s="1"/>
  <c r="B14" i="878" s="1"/>
  <c r="B15" i="878" s="1"/>
  <c r="B16" i="878" s="1"/>
  <c r="B17" i="878" s="1"/>
  <c r="B18" i="878" s="1"/>
  <c r="B57" i="879" l="1"/>
  <c r="C57" i="879"/>
  <c r="D57" i="879"/>
  <c r="E57" i="879"/>
  <c r="F55" i="867" l="1"/>
  <c r="E55" i="867"/>
  <c r="D55" i="867"/>
  <c r="C55" i="867"/>
  <c r="B55" i="867"/>
  <c r="O16" i="872"/>
  <c r="N16" i="872"/>
  <c r="M16" i="872"/>
  <c r="L16" i="872"/>
  <c r="K16" i="872"/>
  <c r="J16" i="872"/>
  <c r="I16" i="872"/>
  <c r="H16" i="872"/>
  <c r="G16" i="872"/>
  <c r="O15" i="872"/>
  <c r="N15" i="872"/>
  <c r="M15" i="872"/>
  <c r="L15" i="872"/>
  <c r="K15" i="872"/>
  <c r="J15" i="872"/>
  <c r="I15" i="872"/>
  <c r="H15" i="872"/>
  <c r="G15" i="872"/>
  <c r="O14" i="872"/>
  <c r="N14" i="872"/>
  <c r="M14" i="872"/>
  <c r="L14" i="872"/>
  <c r="K14" i="872"/>
  <c r="J14" i="872"/>
  <c r="I14" i="872"/>
  <c r="H14" i="872"/>
  <c r="G14" i="872"/>
  <c r="O13" i="872"/>
  <c r="N13" i="872"/>
  <c r="M13" i="872"/>
  <c r="L13" i="872"/>
  <c r="K13" i="872"/>
  <c r="J13" i="872"/>
  <c r="I13" i="872"/>
  <c r="H13" i="872"/>
  <c r="G13" i="872"/>
  <c r="O12" i="872"/>
  <c r="N12" i="872"/>
  <c r="M12" i="872"/>
  <c r="L12" i="872"/>
  <c r="K12" i="872"/>
  <c r="J12" i="872"/>
  <c r="I12" i="872"/>
  <c r="G12" i="872"/>
  <c r="O11" i="872"/>
  <c r="N11" i="872"/>
  <c r="M11" i="872"/>
  <c r="L11" i="872"/>
  <c r="K11" i="872"/>
  <c r="J11" i="872"/>
  <c r="I11" i="872"/>
  <c r="H11" i="872"/>
  <c r="G11" i="872"/>
  <c r="H12" i="872"/>
  <c r="G18" i="872" l="1"/>
  <c r="M18" i="872"/>
  <c r="O18" i="872"/>
  <c r="N18" i="872"/>
  <c r="H18" i="872"/>
  <c r="I18" i="872"/>
  <c r="J18" i="872"/>
  <c r="L18" i="872"/>
  <c r="K18" i="872"/>
  <c r="A1" i="867" l="1"/>
  <c r="I55" i="867" l="1"/>
  <c r="J55" i="867"/>
  <c r="K55" i="867"/>
  <c r="L55" i="867"/>
  <c r="C18" i="16" l="1"/>
  <c r="C10" i="16" l="1"/>
  <c r="C17" i="16" l="1"/>
  <c r="C16" i="16"/>
  <c r="C15" i="16"/>
  <c r="C14" i="16"/>
  <c r="C13" i="16"/>
  <c r="C12" i="16"/>
  <c r="C11" i="16"/>
  <c r="C9" i="16"/>
  <c r="C8" i="16"/>
  <c r="C7" i="16"/>
  <c r="C6" i="16"/>
  <c r="M55" i="86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5" authorId="0" shapeId="0" xr:uid="{430BF14E-11E8-4141-97F0-42A28AE4D068}">
      <text>
        <r>
          <rPr>
            <b/>
            <sz val="8"/>
            <color indexed="81"/>
            <rFont val="Tahoma"/>
            <family val="2"/>
          </rPr>
          <t>Choose either Mod. Pay (1), Symbols(2) or Enum(3);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<sst xmlns="http://schemas.openxmlformats.org/spreadsheetml/2006/main" count="734" uniqueCount="246">
  <si>
    <t>Sec1</t>
  </si>
  <si>
    <t>Sheet</t>
  </si>
  <si>
    <t>Line Credits</t>
  </si>
  <si>
    <t>Bet Multiplier</t>
  </si>
  <si>
    <t>Symbol Set number</t>
  </si>
  <si>
    <t>Selection:</t>
  </si>
  <si>
    <t>Symbols:</t>
  </si>
  <si>
    <t>Mod.Pay</t>
  </si>
  <si>
    <t>Enum</t>
  </si>
  <si>
    <t>Desc</t>
  </si>
  <si>
    <t>_HIG_1_</t>
  </si>
  <si>
    <t>_HIG_2_</t>
  </si>
  <si>
    <t>_low_1_</t>
  </si>
  <si>
    <t>_low_2_</t>
  </si>
  <si>
    <t>_low_3_</t>
  </si>
  <si>
    <t>_low_4_</t>
  </si>
  <si>
    <t>_low_5_</t>
  </si>
  <si>
    <t>Paytable</t>
  </si>
  <si>
    <t>Value</t>
  </si>
  <si>
    <t>ReelStrip:</t>
  </si>
  <si>
    <t>Reel 1</t>
  </si>
  <si>
    <t>Reel 2</t>
  </si>
  <si>
    <t>Reel 3</t>
  </si>
  <si>
    <t>Reel 4</t>
  </si>
  <si>
    <t>Reel 5</t>
  </si>
  <si>
    <t>_JOK_1_</t>
  </si>
  <si>
    <t>Weights</t>
  </si>
  <si>
    <t>_HIG_3_</t>
  </si>
  <si>
    <t>_SCA_1_</t>
  </si>
  <si>
    <t>_TOP_1_</t>
  </si>
  <si>
    <t>Base Game</t>
  </si>
  <si>
    <t>Reelstrip coords</t>
  </si>
  <si>
    <t>Weightstrip  coords</t>
  </si>
  <si>
    <t>Pay Distribution Values</t>
  </si>
  <si>
    <t>Scepter symbols</t>
  </si>
  <si>
    <t>_COI_1_</t>
  </si>
  <si>
    <t/>
  </si>
  <si>
    <t>Free Game</t>
  </si>
  <si>
    <t>_COI_1_gray</t>
  </si>
  <si>
    <t>_COI_</t>
  </si>
  <si>
    <t>CoinSymbols</t>
  </si>
  <si>
    <t>AllScatterSymbols</t>
  </si>
  <si>
    <t>Reelstrip_BG</t>
  </si>
  <si>
    <t>B5</t>
  </si>
  <si>
    <t>I5</t>
  </si>
  <si>
    <t>Ante</t>
  </si>
  <si>
    <t>weights</t>
  </si>
  <si>
    <t>coins on screen</t>
  </si>
  <si>
    <t>average</t>
  </si>
  <si>
    <t>spin_to_draw</t>
  </si>
  <si>
    <t>_BN_</t>
  </si>
  <si>
    <t>Description</t>
  </si>
  <si>
    <t>Index</t>
  </si>
  <si>
    <t>Weight</t>
  </si>
  <si>
    <t>Yes</t>
  </si>
  <si>
    <t>No</t>
  </si>
  <si>
    <t>MEGA</t>
  </si>
  <si>
    <t>MINI x 3</t>
  </si>
  <si>
    <t>SUPER NESTED</t>
  </si>
  <si>
    <t>LONGEVITY</t>
  </si>
  <si>
    <t>MINOR</t>
  </si>
  <si>
    <t>NESTED</t>
  </si>
  <si>
    <t>MAJOR</t>
  </si>
  <si>
    <t>MINI x 2</t>
  </si>
  <si>
    <t>Reel Set</t>
  </si>
  <si>
    <t>Bet 1 Weights</t>
  </si>
  <si>
    <t>Set</t>
  </si>
  <si>
    <t>F9</t>
  </si>
  <si>
    <t>F8</t>
  </si>
  <si>
    <t>M4</t>
  </si>
  <si>
    <t>F7</t>
  </si>
  <si>
    <t>F5</t>
  </si>
  <si>
    <t>F6</t>
  </si>
  <si>
    <t>M2</t>
  </si>
  <si>
    <t>MB</t>
  </si>
  <si>
    <t>M1</t>
  </si>
  <si>
    <t>WW</t>
  </si>
  <si>
    <t>BN</t>
  </si>
  <si>
    <t>M3</t>
  </si>
  <si>
    <t>Reelset 1</t>
  </si>
  <si>
    <t>Weightset1</t>
  </si>
  <si>
    <t>Reelset 2</t>
  </si>
  <si>
    <t>Weightset2</t>
  </si>
  <si>
    <t>Reelset 3</t>
  </si>
  <si>
    <t>Weightset3</t>
  </si>
  <si>
    <t>Reelset 4</t>
  </si>
  <si>
    <t>Weightset4</t>
  </si>
  <si>
    <t>Reelset 5</t>
  </si>
  <si>
    <t>Weightset5</t>
  </si>
  <si>
    <t>Reelset 6</t>
  </si>
  <si>
    <t>Weightset6</t>
  </si>
  <si>
    <t>Reelset 7</t>
  </si>
  <si>
    <t>Weightset7</t>
  </si>
  <si>
    <t>Reelset 8</t>
  </si>
  <si>
    <t>Weightset8</t>
  </si>
  <si>
    <t>Reelset 9</t>
  </si>
  <si>
    <t>Weightset9</t>
  </si>
  <si>
    <t>Reelset 10</t>
  </si>
  <si>
    <t>Weightset10</t>
  </si>
  <si>
    <t>Reelset 11</t>
  </si>
  <si>
    <t>Weightset11</t>
  </si>
  <si>
    <t>Reelset 12</t>
  </si>
  <si>
    <t>Weightset12</t>
  </si>
  <si>
    <t>Reelset 13</t>
  </si>
  <si>
    <t>Weightset13</t>
  </si>
  <si>
    <t>Reelset 14</t>
  </si>
  <si>
    <t>Weightset14</t>
  </si>
  <si>
    <t>Reelset 15</t>
  </si>
  <si>
    <t>Weightset15</t>
  </si>
  <si>
    <t>Reelset 16</t>
  </si>
  <si>
    <t>Weightset16</t>
  </si>
  <si>
    <t>conversion</t>
  </si>
  <si>
    <t>_HIG_4_</t>
  </si>
  <si>
    <t>SC</t>
  </si>
  <si>
    <t>P5</t>
  </si>
  <si>
    <t>W5</t>
  </si>
  <si>
    <t>AD5</t>
  </si>
  <si>
    <t>AK5</t>
  </si>
  <si>
    <t>AR5</t>
  </si>
  <si>
    <t>AY5</t>
  </si>
  <si>
    <t>BF5</t>
  </si>
  <si>
    <t>BM5</t>
  </si>
  <si>
    <t>BT5</t>
  </si>
  <si>
    <t>CA5</t>
  </si>
  <si>
    <t>CH5</t>
  </si>
  <si>
    <t>CO5</t>
  </si>
  <si>
    <t>CV5</t>
  </si>
  <si>
    <t>DC5</t>
  </si>
  <si>
    <t>DJ5</t>
  </si>
  <si>
    <t>DQ5</t>
  </si>
  <si>
    <t>DX5</t>
  </si>
  <si>
    <t>EE5</t>
  </si>
  <si>
    <t>EL5</t>
  </si>
  <si>
    <t>ES5</t>
  </si>
  <si>
    <t>EZ5</t>
  </si>
  <si>
    <t>FG5</t>
  </si>
  <si>
    <t>FN5</t>
  </si>
  <si>
    <t>FU5</t>
  </si>
  <si>
    <t>GB5</t>
  </si>
  <si>
    <t>GI5</t>
  </si>
  <si>
    <t>GP5</t>
  </si>
  <si>
    <t>GW5</t>
  </si>
  <si>
    <t>HD5</t>
  </si>
  <si>
    <t>HK5</t>
  </si>
  <si>
    <t>PP Trigger BG</t>
  </si>
  <si>
    <t>PP Trigger FG</t>
  </si>
  <si>
    <t>Base/Free Games MB Tables</t>
  </si>
  <si>
    <t>Base_Reel_MB_1</t>
  </si>
  <si>
    <t>Name</t>
  </si>
  <si>
    <t>P2</t>
  </si>
  <si>
    <t>P3</t>
  </si>
  <si>
    <t>P4</t>
  </si>
  <si>
    <t>POT_MB_1</t>
  </si>
  <si>
    <t>Feat_M3 Tables - Used for feature mode 4 bonuses</t>
  </si>
  <si>
    <t>Interface 1 Weight</t>
  </si>
  <si>
    <t>Interface 2 Weight</t>
  </si>
  <si>
    <t>Interface 3 Weight</t>
  </si>
  <si>
    <t>Interface 4 Weight</t>
  </si>
  <si>
    <t>Lock and Respin Bonus MB Tables</t>
  </si>
  <si>
    <t>Feat_MB Tables - Used for feature mode 1, 2 and 3 bonuses</t>
  </si>
  <si>
    <t>Feat_Mode_Selector</t>
  </si>
  <si>
    <t>Feat_ModeX_Y_Z where x is the mode number, Y is the interface number and Z is the groupd ID</t>
  </si>
  <si>
    <t>Z = 1 when locked MB is &lt;= 5, Z = 2 when locked MB is  &lt; 9, Z = 3 when locked MB is &gt;=9</t>
  </si>
  <si>
    <t>Mode 1</t>
  </si>
  <si>
    <t>Interface 1</t>
  </si>
  <si>
    <t>&lt;= 5</t>
  </si>
  <si>
    <t>&lt; 9</t>
  </si>
  <si>
    <t>&gt;= 9</t>
  </si>
  <si>
    <t>Interface 2</t>
  </si>
  <si>
    <t>Interface 3</t>
  </si>
  <si>
    <t>Interface 4</t>
  </si>
  <si>
    <t>MB Type</t>
  </si>
  <si>
    <t>Weight Set 0</t>
  </si>
  <si>
    <t>Weight Set 1</t>
  </si>
  <si>
    <t>Weight Set 2</t>
  </si>
  <si>
    <t>Feat_RS1_Strip</t>
  </si>
  <si>
    <t>Feat_RS2_Strip</t>
  </si>
  <si>
    <t>Feat_RS3_Strip</t>
  </si>
  <si>
    <t>Feat_RS4_Strip</t>
  </si>
  <si>
    <t>Feat_RS7_Strip</t>
  </si>
  <si>
    <t>Feat_RS8_Strip</t>
  </si>
  <si>
    <t>Mode 2</t>
  </si>
  <si>
    <t>Mode 3</t>
  </si>
  <si>
    <t>Mode 4</t>
  </si>
  <si>
    <t>Feat_RS5_Strip</t>
  </si>
  <si>
    <t>Feat_RS6_Strip</t>
  </si>
  <si>
    <t>Symbol</t>
  </si>
  <si>
    <t>_000000000000000</t>
  </si>
  <si>
    <t>_000000000002000</t>
  </si>
  <si>
    <t>_000000400000000</t>
  </si>
  <si>
    <t>_000000500000000</t>
  </si>
  <si>
    <t>_000000030000000</t>
  </si>
  <si>
    <t>_000000020000000</t>
  </si>
  <si>
    <t>_005000000000000</t>
  </si>
  <si>
    <t>_000000003000000</t>
  </si>
  <si>
    <t>_000000000500000</t>
  </si>
  <si>
    <t>_000400000000000</t>
  </si>
  <si>
    <t>_000000002000000</t>
  </si>
  <si>
    <t>_020000300000000</t>
  </si>
  <si>
    <t>_004000200000000</t>
  </si>
  <si>
    <t>_000200005000000</t>
  </si>
  <si>
    <t>_000000304000000</t>
  </si>
  <si>
    <t>_000020030000000</t>
  </si>
  <si>
    <t>_002000004000000</t>
  </si>
  <si>
    <t>_000000300005000</t>
  </si>
  <si>
    <t>_020000000005000</t>
  </si>
  <si>
    <t>_000000022000000</t>
  </si>
  <si>
    <t>_000300400000000</t>
  </si>
  <si>
    <t>_000200200000030</t>
  </si>
  <si>
    <t>_000400300500000</t>
  </si>
  <si>
    <t>_002000030002000</t>
  </si>
  <si>
    <t>_002000300000500</t>
  </si>
  <si>
    <t>_002000430000000</t>
  </si>
  <si>
    <t>_000200500000030</t>
  </si>
  <si>
    <t>_002000030200000</t>
  </si>
  <si>
    <t>_020000030500000</t>
  </si>
  <si>
    <t>_004000030500000</t>
  </si>
  <si>
    <t>_002000030500000</t>
  </si>
  <si>
    <t>Random wild feature</t>
  </si>
  <si>
    <t>no wild</t>
  </si>
  <si>
    <t>1 wild</t>
  </si>
  <si>
    <t>2 wild</t>
  </si>
  <si>
    <t>3 wild</t>
  </si>
  <si>
    <t>2x</t>
  </si>
  <si>
    <t>4x</t>
  </si>
  <si>
    <t>5x</t>
  </si>
  <si>
    <t>3x</t>
  </si>
  <si>
    <t>2x,3x</t>
  </si>
  <si>
    <t>4x,2x</t>
  </si>
  <si>
    <t>2x,5x</t>
  </si>
  <si>
    <t>3x,4x</t>
  </si>
  <si>
    <t>multipliers</t>
  </si>
  <si>
    <t>2x,4x</t>
  </si>
  <si>
    <t>P1_Stopper_Selector</t>
  </si>
  <si>
    <t>intf2</t>
  </si>
  <si>
    <t>RS5</t>
  </si>
  <si>
    <t>RS6</t>
  </si>
  <si>
    <t>RS3</t>
  </si>
  <si>
    <t>first spin</t>
  </si>
  <si>
    <t>RS8</t>
  </si>
  <si>
    <t>mode1</t>
  </si>
  <si>
    <t>_JOK_2_</t>
  </si>
  <si>
    <t>_JOK_3_</t>
  </si>
  <si>
    <t>_JOK_4_</t>
  </si>
  <si>
    <t>_JOK_5_</t>
  </si>
  <si>
    <t>u $ je: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</si>
</sst>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* #,##0.00_-;\-* #,##0.00_-;_-* &quot;-&quot;??_-;_-@_-"/>
  </numFmts>
  <fonts count="3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sz val="12"/>
      <color theme="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1"/>
      <name val="Segoe UI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E0A3FF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99FF66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67">
    <xf numFmtId="0" fontId="0" fillId="0" borderId="0"/>
    <xf numFmtId="0" fontId="1" fillId="0" borderId="0"/>
    <xf numFmtId="0" fontId="3" fillId="0" borderId="0"/>
    <xf numFmtId="0" fontId="13" fillId="0" borderId="0"/>
    <xf numFmtId="0" fontId="3" fillId="0" borderId="0"/>
    <xf numFmtId="0" fontId="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" fillId="0" borderId="0"/>
    <xf numFmtId="0" fontId="17" fillId="0" borderId="0" applyNumberFormat="0" applyFill="0" applyBorder="0" applyAlignment="0" applyProtection="0"/>
    <xf numFmtId="0" fontId="18" fillId="0" borderId="24" applyNumberFormat="0" applyFill="0" applyAlignment="0" applyProtection="0"/>
    <xf numFmtId="0" fontId="19" fillId="0" borderId="25" applyNumberFormat="0" applyFill="0" applyAlignment="0" applyProtection="0"/>
    <xf numFmtId="0" fontId="20" fillId="0" borderId="26" applyNumberFormat="0" applyFill="0" applyAlignment="0" applyProtection="0"/>
    <xf numFmtId="0" fontId="20" fillId="0" borderId="0" applyNumberFormat="0" applyFill="0" applyBorder="0" applyAlignment="0" applyProtection="0"/>
    <xf numFmtId="0" fontId="21" fillId="5" borderId="0" applyNumberFormat="0" applyBorder="0" applyAlignment="0" applyProtection="0"/>
    <xf numFmtId="0" fontId="22" fillId="6" borderId="0" applyNumberFormat="0" applyBorder="0" applyAlignment="0" applyProtection="0"/>
    <xf numFmtId="0" fontId="23" fillId="7" borderId="0" applyNumberFormat="0" applyBorder="0" applyAlignment="0" applyProtection="0"/>
    <xf numFmtId="0" fontId="24" fillId="8" borderId="27" applyNumberFormat="0" applyAlignment="0" applyProtection="0"/>
    <xf numFmtId="0" fontId="25" fillId="9" borderId="28" applyNumberFormat="0" applyAlignment="0" applyProtection="0"/>
    <xf numFmtId="0" fontId="26" fillId="9" borderId="27" applyNumberFormat="0" applyAlignment="0" applyProtection="0"/>
    <xf numFmtId="0" fontId="27" fillId="0" borderId="29" applyNumberFormat="0" applyFill="0" applyAlignment="0" applyProtection="0"/>
    <xf numFmtId="0" fontId="28" fillId="10" borderId="30" applyNumberFormat="0" applyAlignment="0" applyProtection="0"/>
    <xf numFmtId="0" fontId="29" fillId="0" borderId="0" applyNumberFormat="0" applyFill="0" applyBorder="0" applyAlignment="0" applyProtection="0"/>
    <xf numFmtId="0" fontId="13" fillId="11" borderId="31" applyNumberFormat="0" applyFont="0" applyAlignment="0" applyProtection="0"/>
    <xf numFmtId="0" fontId="30" fillId="0" borderId="0" applyNumberFormat="0" applyFill="0" applyBorder="0" applyAlignment="0" applyProtection="0"/>
    <xf numFmtId="0" fontId="14" fillId="0" borderId="32" applyNumberFormat="0" applyFill="0" applyAlignment="0" applyProtection="0"/>
    <xf numFmtId="0" fontId="12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2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2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2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3" fillId="0" borderId="0"/>
    <xf numFmtId="0" fontId="1" fillId="0" borderId="0"/>
    <xf numFmtId="0" fontId="16" fillId="0" borderId="0"/>
    <xf numFmtId="0" fontId="13" fillId="0" borderId="0"/>
    <xf numFmtId="0" fontId="13" fillId="0" borderId="0"/>
    <xf numFmtId="0" fontId="32" fillId="9" borderId="27" applyNumberFormat="0" applyAlignment="0" applyProtection="0"/>
    <xf numFmtId="164" fontId="13" fillId="0" borderId="0" applyFont="0" applyFill="0" applyBorder="0" applyAlignment="0" applyProtection="0"/>
    <xf numFmtId="0" fontId="31" fillId="0" borderId="0"/>
    <xf numFmtId="164" fontId="13" fillId="0" borderId="0" applyFont="0" applyFill="0" applyBorder="0" applyAlignment="0" applyProtection="0"/>
    <xf numFmtId="0" fontId="31" fillId="0" borderId="0"/>
    <xf numFmtId="0" fontId="13" fillId="0" borderId="0"/>
    <xf numFmtId="0" fontId="1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69">
    <xf numFmtId="0" fontId="0" fillId="0" borderId="0" xfId="0"/>
    <xf numFmtId="0" fontId="1" fillId="0" borderId="0" xfId="1"/>
    <xf numFmtId="0" fontId="2" fillId="0" borderId="0" xfId="1" applyFont="1" applyAlignment="1">
      <alignment vertical="center"/>
    </xf>
    <xf numFmtId="0" fontId="3" fillId="2" borderId="4" xfId="2" applyFill="1" applyBorder="1" applyAlignment="1">
      <alignment horizontal="center"/>
    </xf>
    <xf numFmtId="0" fontId="3" fillId="2" borderId="8" xfId="2" applyFill="1" applyBorder="1" applyAlignment="1">
      <alignment horizontal="center"/>
    </xf>
    <xf numFmtId="0" fontId="4" fillId="2" borderId="8" xfId="2" applyFont="1" applyFill="1" applyBorder="1" applyAlignment="1">
      <alignment horizontal="center"/>
    </xf>
    <xf numFmtId="0" fontId="4" fillId="2" borderId="9" xfId="2" applyFont="1" applyFill="1" applyBorder="1" applyAlignment="1">
      <alignment horizontal="center"/>
    </xf>
    <xf numFmtId="0" fontId="4" fillId="0" borderId="5" xfId="2" applyFont="1" applyBorder="1" applyAlignment="1">
      <alignment horizontal="center"/>
    </xf>
    <xf numFmtId="0" fontId="4" fillId="2" borderId="10" xfId="2" applyFont="1" applyFill="1" applyBorder="1" applyAlignment="1">
      <alignment horizontal="center"/>
    </xf>
    <xf numFmtId="0" fontId="1" fillId="0" borderId="0" xfId="1" applyAlignment="1">
      <alignment horizontal="center"/>
    </xf>
    <xf numFmtId="0" fontId="1" fillId="0" borderId="8" xfId="1" applyBorder="1" applyAlignment="1">
      <alignment horizontal="center"/>
    </xf>
    <xf numFmtId="0" fontId="5" fillId="0" borderId="0" xfId="1" applyFont="1"/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right" vertical="center" wrapText="1"/>
    </xf>
    <xf numFmtId="2" fontId="6" fillId="0" borderId="0" xfId="1" applyNumberFormat="1" applyFont="1" applyAlignment="1">
      <alignment horizontal="right" vertical="center" wrapText="1"/>
    </xf>
    <xf numFmtId="0" fontId="1" fillId="0" borderId="13" xfId="1" applyBorder="1"/>
    <xf numFmtId="0" fontId="9" fillId="0" borderId="0" xfId="1" applyFont="1"/>
    <xf numFmtId="0" fontId="10" fillId="0" borderId="0" xfId="1" applyFont="1"/>
    <xf numFmtId="0" fontId="11" fillId="0" borderId="0" xfId="1" applyFont="1" applyAlignment="1">
      <alignment vertical="center" wrapText="1"/>
    </xf>
    <xf numFmtId="0" fontId="11" fillId="0" borderId="0" xfId="1" applyFont="1" applyAlignment="1">
      <alignment horizontal="right" vertical="center" wrapText="1"/>
    </xf>
    <xf numFmtId="0" fontId="1" fillId="0" borderId="9" xfId="1" applyBorder="1" applyAlignment="1">
      <alignment horizontal="center"/>
    </xf>
    <xf numFmtId="0" fontId="0" fillId="0" borderId="10" xfId="0" applyBorder="1"/>
    <xf numFmtId="0" fontId="3" fillId="0" borderId="0" xfId="2" applyAlignment="1">
      <alignment horizontal="center"/>
    </xf>
    <xf numFmtId="0" fontId="0" fillId="0" borderId="9" xfId="0" applyBorder="1"/>
    <xf numFmtId="0" fontId="1" fillId="0" borderId="12" xfId="1" applyBorder="1"/>
    <xf numFmtId="0" fontId="3" fillId="2" borderId="0" xfId="2" applyFill="1" applyAlignment="1">
      <alignment horizontal="center"/>
    </xf>
    <xf numFmtId="0" fontId="4" fillId="2" borderId="0" xfId="2" applyFont="1" applyFill="1" applyAlignment="1">
      <alignment horizontal="center"/>
    </xf>
    <xf numFmtId="0" fontId="3" fillId="0" borderId="5" xfId="2" applyBorder="1" applyAlignment="1">
      <alignment horizontal="center"/>
    </xf>
    <xf numFmtId="0" fontId="1" fillId="0" borderId="8" xfId="1" applyBorder="1"/>
    <xf numFmtId="0" fontId="0" fillId="0" borderId="8" xfId="0" applyBorder="1"/>
    <xf numFmtId="0" fontId="3" fillId="0" borderId="10" xfId="2" applyBorder="1" applyAlignment="1">
      <alignment horizontal="center" vertical="center"/>
    </xf>
    <xf numFmtId="0" fontId="1" fillId="0" borderId="5" xfId="2" applyFont="1" applyBorder="1" applyAlignment="1">
      <alignment horizontal="center"/>
    </xf>
    <xf numFmtId="0" fontId="3" fillId="0" borderId="4" xfId="2" applyBorder="1" applyAlignment="1">
      <alignment horizontal="center"/>
    </xf>
    <xf numFmtId="0" fontId="3" fillId="0" borderId="8" xfId="2" applyBorder="1" applyAlignment="1">
      <alignment horizontal="center"/>
    </xf>
    <xf numFmtId="0" fontId="3" fillId="0" borderId="9" xfId="2" applyBorder="1" applyAlignment="1">
      <alignment horizontal="center"/>
    </xf>
    <xf numFmtId="0" fontId="0" fillId="0" borderId="16" xfId="0" applyBorder="1" applyAlignment="1">
      <alignment horizontal="center"/>
    </xf>
    <xf numFmtId="0" fontId="6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3" fillId="0" borderId="16" xfId="7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3" fillId="0" borderId="11" xfId="2" applyBorder="1" applyAlignment="1">
      <alignment horizontal="center"/>
    </xf>
    <xf numFmtId="0" fontId="3" fillId="0" borderId="21" xfId="2" applyBorder="1" applyAlignment="1">
      <alignment horizontal="center"/>
    </xf>
    <xf numFmtId="0" fontId="3" fillId="0" borderId="22" xfId="2" applyBorder="1" applyAlignment="1">
      <alignment horizontal="center"/>
    </xf>
    <xf numFmtId="0" fontId="3" fillId="3" borderId="19" xfId="4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0" borderId="0" xfId="2"/>
    <xf numFmtId="0" fontId="1" fillId="0" borderId="0" xfId="0" applyFont="1"/>
    <xf numFmtId="0" fontId="1" fillId="0" borderId="21" xfId="1" applyBorder="1"/>
    <xf numFmtId="0" fontId="1" fillId="0" borderId="22" xfId="1" applyBorder="1"/>
    <xf numFmtId="0" fontId="3" fillId="2" borderId="16" xfId="2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13" fillId="4" borderId="3" xfId="6" applyNumberFormat="1" applyFont="1" applyFill="1" applyBorder="1" applyAlignment="1">
      <alignment horizontal="center" vertical="center"/>
    </xf>
    <xf numFmtId="10" fontId="0" fillId="4" borderId="22" xfId="6" applyNumberFormat="1" applyFont="1" applyFill="1" applyBorder="1" applyAlignment="1">
      <alignment horizontal="center" vertical="center"/>
    </xf>
    <xf numFmtId="0" fontId="13" fillId="0" borderId="11" xfId="7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0" fontId="0" fillId="4" borderId="21" xfId="6" applyNumberFormat="1" applyFont="1" applyFill="1" applyBorder="1" applyAlignment="1">
      <alignment horizontal="center" vertical="center"/>
    </xf>
    <xf numFmtId="10" fontId="0" fillId="4" borderId="11" xfId="6" applyNumberFormat="1" applyFont="1" applyFill="1" applyBorder="1" applyAlignment="1">
      <alignment horizontal="center" vertical="center"/>
    </xf>
    <xf numFmtId="2" fontId="13" fillId="4" borderId="1" xfId="6" applyNumberFormat="1" applyFont="1" applyFill="1" applyBorder="1" applyAlignment="1">
      <alignment horizontal="center" vertical="center"/>
    </xf>
    <xf numFmtId="0" fontId="0" fillId="36" borderId="4" xfId="0" applyFill="1" applyBorder="1" applyAlignment="1">
      <alignment horizontal="center" vertical="center"/>
    </xf>
    <xf numFmtId="2" fontId="13" fillId="4" borderId="2" xfId="6" applyNumberFormat="1" applyFont="1" applyFill="1" applyBorder="1" applyAlignment="1">
      <alignment horizontal="center" vertical="center"/>
    </xf>
    <xf numFmtId="0" fontId="0" fillId="36" borderId="21" xfId="0" applyFill="1" applyBorder="1" applyAlignment="1">
      <alignment horizontal="center" vertical="center"/>
    </xf>
    <xf numFmtId="0" fontId="0" fillId="36" borderId="2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6" borderId="1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6" borderId="5" xfId="0" applyFill="1" applyBorder="1" applyAlignment="1">
      <alignment horizontal="center" vertical="center"/>
    </xf>
    <xf numFmtId="0" fontId="0" fillId="36" borderId="7" xfId="0" applyFill="1" applyBorder="1" applyAlignment="1">
      <alignment horizontal="center" vertical="center"/>
    </xf>
    <xf numFmtId="0" fontId="0" fillId="0" borderId="21" xfId="6" applyNumberFormat="1" applyFont="1" applyBorder="1" applyAlignment="1">
      <alignment horizontal="center" vertical="center"/>
    </xf>
    <xf numFmtId="0" fontId="0" fillId="0" borderId="11" xfId="6" applyNumberFormat="1" applyFont="1" applyBorder="1" applyAlignment="1">
      <alignment horizontal="center" vertical="center"/>
    </xf>
    <xf numFmtId="0" fontId="0" fillId="0" borderId="22" xfId="6" applyNumberFormat="1" applyFon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1" fillId="0" borderId="10" xfId="1" applyBorder="1"/>
    <xf numFmtId="0" fontId="1" fillId="0" borderId="7" xfId="1" applyBorder="1"/>
    <xf numFmtId="0" fontId="1" fillId="0" borderId="21" xfId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0" fillId="37" borderId="6" xfId="0" applyFill="1" applyBorder="1" applyAlignment="1">
      <alignment horizontal="center"/>
    </xf>
    <xf numFmtId="3" fontId="29" fillId="37" borderId="6" xfId="0" applyNumberFormat="1" applyFont="1" applyFill="1" applyBorder="1" applyAlignment="1">
      <alignment horizontal="center"/>
    </xf>
    <xf numFmtId="0" fontId="0" fillId="38" borderId="0" xfId="0" applyFill="1" applyAlignment="1">
      <alignment horizontal="center" vertical="center"/>
    </xf>
    <xf numFmtId="0" fontId="0" fillId="39" borderId="0" xfId="0" applyFill="1" applyAlignment="1">
      <alignment horizontal="center" vertical="center"/>
    </xf>
    <xf numFmtId="0" fontId="0" fillId="37" borderId="0" xfId="0" applyFill="1" applyAlignment="1">
      <alignment horizontal="center"/>
    </xf>
    <xf numFmtId="0" fontId="0" fillId="0" borderId="0" xfId="0" applyAlignment="1">
      <alignment horizontal="center"/>
    </xf>
    <xf numFmtId="3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4" fillId="0" borderId="0" xfId="0" applyFont="1"/>
    <xf numFmtId="0" fontId="0" fillId="40" borderId="0" xfId="0" applyFill="1" applyAlignment="1">
      <alignment horizontal="center"/>
    </xf>
    <xf numFmtId="0" fontId="34" fillId="40" borderId="0" xfId="0" applyFont="1" applyFill="1" applyAlignment="1">
      <alignment horizontal="center"/>
    </xf>
    <xf numFmtId="0" fontId="29" fillId="40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29" fillId="41" borderId="0" xfId="0" applyFont="1" applyFill="1" applyAlignment="1">
      <alignment horizontal="center"/>
    </xf>
    <xf numFmtId="0" fontId="0" fillId="42" borderId="0" xfId="0" applyFill="1" applyAlignment="1">
      <alignment horizontal="center"/>
    </xf>
    <xf numFmtId="0" fontId="29" fillId="42" borderId="0" xfId="0" applyFont="1" applyFill="1" applyAlignment="1">
      <alignment horizontal="center"/>
    </xf>
    <xf numFmtId="0" fontId="0" fillId="43" borderId="0" xfId="0" applyFill="1" applyAlignment="1">
      <alignment horizontal="center"/>
    </xf>
    <xf numFmtId="0" fontId="29" fillId="43" borderId="0" xfId="0" applyFont="1" applyFill="1" applyAlignment="1">
      <alignment horizontal="center"/>
    </xf>
    <xf numFmtId="0" fontId="0" fillId="44" borderId="0" xfId="0" applyFill="1" applyAlignment="1">
      <alignment horizontal="center"/>
    </xf>
    <xf numFmtId="0" fontId="29" fillId="44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4" fillId="45" borderId="0" xfId="0" applyFont="1" applyFill="1" applyAlignment="1">
      <alignment horizontal="center"/>
    </xf>
    <xf numFmtId="0" fontId="29" fillId="45" borderId="0" xfId="0" applyFont="1" applyFill="1" applyAlignment="1">
      <alignment horizontal="center"/>
    </xf>
    <xf numFmtId="0" fontId="0" fillId="38" borderId="0" xfId="0" applyFill="1"/>
    <xf numFmtId="0" fontId="0" fillId="0" borderId="6" xfId="0" applyBorder="1" applyAlignment="1">
      <alignment horizontal="center"/>
    </xf>
    <xf numFmtId="3" fontId="29" fillId="0" borderId="6" xfId="0" applyNumberFormat="1" applyFont="1" applyBorder="1" applyAlignment="1">
      <alignment horizontal="center"/>
    </xf>
    <xf numFmtId="0" fontId="0" fillId="41" borderId="6" xfId="0" applyFill="1" applyBorder="1" applyAlignment="1">
      <alignment horizontal="center"/>
    </xf>
    <xf numFmtId="0" fontId="0" fillId="46" borderId="0" xfId="0" applyFill="1"/>
    <xf numFmtId="0" fontId="0" fillId="39" borderId="0" xfId="0" applyFill="1"/>
    <xf numFmtId="0" fontId="0" fillId="39" borderId="6" xfId="0" applyFill="1" applyBorder="1" applyAlignment="1">
      <alignment horizontal="center"/>
    </xf>
    <xf numFmtId="0" fontId="0" fillId="43" borderId="6" xfId="0" applyFill="1" applyBorder="1" applyAlignment="1">
      <alignment horizontal="center"/>
    </xf>
    <xf numFmtId="0" fontId="0" fillId="43" borderId="0" xfId="0" applyFill="1"/>
    <xf numFmtId="0" fontId="0" fillId="40" borderId="0" xfId="0" applyFill="1"/>
    <xf numFmtId="0" fontId="0" fillId="40" borderId="6" xfId="0" applyFill="1" applyBorder="1" applyAlignment="1">
      <alignment horizontal="center"/>
    </xf>
    <xf numFmtId="0" fontId="0" fillId="44" borderId="0" xfId="0" applyFill="1"/>
    <xf numFmtId="0" fontId="0" fillId="44" borderId="6" xfId="0" applyFill="1" applyBorder="1" applyAlignment="1">
      <alignment horizontal="center"/>
    </xf>
    <xf numFmtId="0" fontId="0" fillId="47" borderId="0" xfId="0" applyFill="1"/>
    <xf numFmtId="0" fontId="0" fillId="47" borderId="6" xfId="0" applyFill="1" applyBorder="1" applyAlignment="1">
      <alignment horizontal="center"/>
    </xf>
    <xf numFmtId="0" fontId="0" fillId="48" borderId="0" xfId="0" applyFill="1"/>
    <xf numFmtId="0" fontId="0" fillId="48" borderId="6" xfId="0" applyFill="1" applyBorder="1" applyAlignment="1">
      <alignment horizontal="center"/>
    </xf>
    <xf numFmtId="0" fontId="0" fillId="49" borderId="6" xfId="0" applyFill="1" applyBorder="1" applyAlignment="1">
      <alignment horizontal="center"/>
    </xf>
    <xf numFmtId="0" fontId="0" fillId="49" borderId="0" xfId="0" applyFill="1"/>
    <xf numFmtId="0" fontId="0" fillId="50" borderId="0" xfId="0" applyFill="1"/>
    <xf numFmtId="0" fontId="0" fillId="50" borderId="6" xfId="0" applyFill="1" applyBorder="1" applyAlignment="1">
      <alignment horizontal="center"/>
    </xf>
    <xf numFmtId="0" fontId="0" fillId="38" borderId="6" xfId="0" applyFill="1" applyBorder="1" applyAlignment="1">
      <alignment horizontal="center"/>
    </xf>
    <xf numFmtId="0" fontId="0" fillId="51" borderId="0" xfId="0" applyFill="1"/>
    <xf numFmtId="0" fontId="0" fillId="51" borderId="6" xfId="0" applyFill="1" applyBorder="1" applyAlignment="1">
      <alignment horizontal="center"/>
    </xf>
    <xf numFmtId="0" fontId="0" fillId="52" borderId="0" xfId="0" applyFill="1"/>
    <xf numFmtId="0" fontId="0" fillId="52" borderId="6" xfId="0" applyFill="1" applyBorder="1" applyAlignment="1">
      <alignment horizontal="center"/>
    </xf>
    <xf numFmtId="0" fontId="0" fillId="53" borderId="0" xfId="0" applyFill="1" applyAlignment="1">
      <alignment horizontal="center"/>
    </xf>
    <xf numFmtId="0" fontId="29" fillId="53" borderId="0" xfId="0" applyFont="1" applyFill="1" applyAlignment="1">
      <alignment horizontal="center"/>
    </xf>
    <xf numFmtId="0" fontId="0" fillId="53" borderId="4" xfId="0" applyFill="1" applyBorder="1" applyAlignment="1">
      <alignment horizontal="center"/>
    </xf>
    <xf numFmtId="0" fontId="0" fillId="53" borderId="8" xfId="0" applyFill="1" applyBorder="1" applyAlignment="1">
      <alignment horizontal="center"/>
    </xf>
    <xf numFmtId="0" fontId="0" fillId="54" borderId="0" xfId="0" applyFill="1" applyAlignment="1">
      <alignment horizontal="center"/>
    </xf>
    <xf numFmtId="0" fontId="29" fillId="54" borderId="0" xfId="0" applyFont="1" applyFill="1" applyAlignment="1">
      <alignment horizontal="center"/>
    </xf>
    <xf numFmtId="0" fontId="0" fillId="54" borderId="5" xfId="0" applyFill="1" applyBorder="1" applyAlignment="1">
      <alignment horizontal="center"/>
    </xf>
    <xf numFmtId="0" fontId="0" fillId="54" borderId="10" xfId="0" applyFill="1" applyBorder="1" applyAlignment="1">
      <alignment horizontal="center"/>
    </xf>
    <xf numFmtId="0" fontId="0" fillId="54" borderId="7" xfId="0" applyFill="1" applyBorder="1" applyAlignment="1">
      <alignment horizontal="center"/>
    </xf>
    <xf numFmtId="0" fontId="0" fillId="54" borderId="13" xfId="0" applyFill="1" applyBorder="1" applyAlignment="1">
      <alignment horizontal="center"/>
    </xf>
    <xf numFmtId="0" fontId="0" fillId="54" borderId="12" xfId="0" applyFill="1" applyBorder="1" applyAlignment="1">
      <alignment horizontal="center"/>
    </xf>
    <xf numFmtId="0" fontId="0" fillId="54" borderId="8" xfId="0" applyFill="1" applyBorder="1" applyAlignment="1">
      <alignment horizontal="center"/>
    </xf>
    <xf numFmtId="0" fontId="0" fillId="54" borderId="9" xfId="0" applyFill="1" applyBorder="1" applyAlignment="1">
      <alignment horizontal="center"/>
    </xf>
    <xf numFmtId="0" fontId="0" fillId="55" borderId="0" xfId="0" applyFill="1" applyAlignment="1">
      <alignment horizontal="center"/>
    </xf>
    <xf numFmtId="0" fontId="12" fillId="55" borderId="0" xfId="0" applyFont="1" applyFill="1" applyAlignment="1">
      <alignment horizontal="center"/>
    </xf>
    <xf numFmtId="0" fontId="0" fillId="56" borderId="0" xfId="0" applyFill="1" applyAlignment="1">
      <alignment horizontal="center"/>
    </xf>
    <xf numFmtId="0" fontId="29" fillId="56" borderId="0" xfId="0" applyFont="1" applyFill="1" applyAlignment="1">
      <alignment horizontal="center"/>
    </xf>
    <xf numFmtId="0" fontId="0" fillId="47" borderId="0" xfId="0" applyFill="1" applyAlignment="1">
      <alignment horizontal="center"/>
    </xf>
    <xf numFmtId="0" fontId="29" fillId="47" borderId="0" xfId="0" applyFont="1" applyFill="1" applyAlignment="1">
      <alignment horizontal="center"/>
    </xf>
    <xf numFmtId="0" fontId="34" fillId="56" borderId="0" xfId="0" applyFont="1" applyFill="1" applyAlignment="1">
      <alignment horizontal="center" vertical="center"/>
    </xf>
    <xf numFmtId="0" fontId="34" fillId="55" borderId="0" xfId="0" applyFont="1" applyFill="1" applyAlignment="1">
      <alignment horizontal="center" vertical="center"/>
    </xf>
    <xf numFmtId="0" fontId="3" fillId="0" borderId="0" xfId="2" applyAlignment="1">
      <alignment horizontal="center" vertical="center"/>
    </xf>
    <xf numFmtId="0" fontId="1" fillId="0" borderId="13" xfId="1" applyBorder="1" applyAlignment="1">
      <alignment horizontal="center" vertical="center"/>
    </xf>
    <xf numFmtId="0" fontId="0" fillId="45" borderId="33" xfId="0" applyFill="1" applyBorder="1" applyAlignment="1">
      <alignment horizontal="center" vertical="center"/>
    </xf>
    <xf numFmtId="0" fontId="0" fillId="39" borderId="0" xfId="0" applyFill="1" applyAlignment="1">
      <alignment horizontal="center"/>
    </xf>
    <xf numFmtId="0" fontId="34" fillId="0" borderId="0" xfId="0" applyFont="1" applyAlignment="1">
      <alignment horizontal="center"/>
    </xf>
  </cellXfs>
  <cellStyles count="6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alculation 2" xfId="58" xr:uid="{48DA416D-CB62-46AC-BB17-DC0D2520D15D}"/>
    <cellStyle name="Check Cell" xfId="24" builtinId="23" customBuiltin="1"/>
    <cellStyle name="Comma 2" xfId="59" xr:uid="{058B67DB-8EBD-438B-9C15-7B74DEC19408}"/>
    <cellStyle name="Comma 2 2" xfId="61" xr:uid="{AE446404-3C68-4EF1-A902-4BF5A9E4EAD5}"/>
    <cellStyle name="Comma 2 3" xfId="65" xr:uid="{E31B5AD9-6DCF-4E07-9D03-301AD8C26E85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7 3" xfId="3" xr:uid="{781929EF-1955-4970-AD08-23B725D6E784}"/>
    <cellStyle name="Normal 2" xfId="1" xr:uid="{18C80A45-BC8D-47A9-8EA1-D7E428705E73}"/>
    <cellStyle name="Normal 2 13" xfId="63" xr:uid="{37EC8843-2712-4D94-B132-88CDA9EAF04E}"/>
    <cellStyle name="Normal 2 2" xfId="5" xr:uid="{F7BF0BB6-421C-4492-BEA5-ACC0BCDCB7B2}"/>
    <cellStyle name="Normal 23" xfId="56" xr:uid="{CA7A87F9-AE7C-4C31-8868-015E943B074A}"/>
    <cellStyle name="Normal 3" xfId="60" xr:uid="{810406DC-859B-40EC-80AB-70A3FCA3D8B9}"/>
    <cellStyle name="Normal 3 15" xfId="64" xr:uid="{13AC2EDB-13C2-486A-9B38-1299F11CDD40}"/>
    <cellStyle name="Normal 3 2" xfId="62" xr:uid="{924F2766-D284-4FDA-800D-A756FA308720}"/>
    <cellStyle name="Normal 4" xfId="8" xr:uid="{3EAB5DC2-C9E7-4DF1-B8ED-17CFDC8997A4}"/>
    <cellStyle name="Normal 6" xfId="57" xr:uid="{0970A14F-204B-4C5D-9EF8-0AD89F135EDF}"/>
    <cellStyle name="Normal 7" xfId="9" xr:uid="{9F04F63E-C0DF-40F4-9A86-E6481495CD30}"/>
    <cellStyle name="Note" xfId="26" builtinId="10" customBuiltin="1"/>
    <cellStyle name="Output" xfId="21" builtinId="21" customBuiltin="1"/>
    <cellStyle name="Percent" xfId="6" builtinId="5"/>
    <cellStyle name="Percent 2" xfId="66" xr:uid="{8075CD90-B6CB-4E12-916D-1C9F182049B8}"/>
    <cellStyle name="Standard 13" xfId="7" xr:uid="{4ADABDA7-7F03-4D7D-BF22-DBB9F7473BB3}"/>
    <cellStyle name="Standard 14" xfId="11" xr:uid="{917D3899-B99F-4D5B-B8A7-08582500A8BC}"/>
    <cellStyle name="Standard 2" xfId="2" xr:uid="{6EC8A524-397D-4CB2-B235-372030519434}"/>
    <cellStyle name="Standard 2 2" xfId="53" xr:uid="{68D1C77C-5FA4-442F-912F-E5D4228125B0}"/>
    <cellStyle name="Standard 2 2 2 2" xfId="4" xr:uid="{4D9F4C32-764A-4956-ADAD-274C1E8A6953}"/>
    <cellStyle name="Standard 2 3" xfId="54" xr:uid="{BEE3A2B6-F284-4FAD-A71B-8FC23489BAFA}"/>
    <cellStyle name="Standard 3" xfId="10" xr:uid="{17A06003-7E89-4D23-B0F9-F35301A2075A}"/>
    <cellStyle name="Standard 3 2" xfId="55" xr:uid="{DA184E24-9492-40AF-82FB-1378C0FA6B91}"/>
    <cellStyle name="Title" xfId="12" builtinId="15" customBuiltin="1"/>
    <cellStyle name="Total" xfId="28" builtinId="25" customBuiltin="1"/>
    <cellStyle name="Warning Text" xfId="25" builtinId="11" customBuiltin="1"/>
  </cellStyles>
  <dxfs count="78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CCFFFF"/>
        </patternFill>
      </fill>
    </dxf>
    <dxf>
      <fill>
        <patternFill>
          <bgColor theme="4" tint="0.39994506668294322"/>
        </patternFill>
      </fill>
    </dxf>
    <dxf>
      <fill>
        <patternFill>
          <bgColor rgb="FFFF9966"/>
        </patternFill>
      </fill>
    </dxf>
    <dxf>
      <fill>
        <patternFill>
          <bgColor rgb="FFCCFFCC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CCFFFF"/>
        </patternFill>
      </fill>
    </dxf>
    <dxf>
      <fill>
        <patternFill>
          <bgColor theme="4" tint="0.39994506668294322"/>
        </patternFill>
      </fill>
    </dxf>
    <dxf>
      <fill>
        <patternFill>
          <bgColor rgb="FFFF9966"/>
        </patternFill>
      </fill>
    </dxf>
    <dxf>
      <fill>
        <patternFill>
          <bgColor rgb="FFFF9966"/>
        </patternFill>
      </fill>
    </dxf>
    <dxf>
      <fill>
        <patternFill>
          <bgColor theme="4" tint="0.39994506668294322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CCFFCC"/>
        </patternFill>
      </fill>
    </dxf>
  </dxfs>
  <tableStyles count="0" defaultTableStyle="TableStyleMedium2" defaultPivotStyle="PivotStyleLight16"/>
  <colors>
    <mruColors>
      <color rgb="FF99FFCC"/>
      <color rgb="FF99FF66"/>
      <color rgb="FFFF3399"/>
      <color rgb="FFFFCCCC"/>
      <color rgb="FFFFCC66"/>
      <color rgb="FFCC66FF"/>
      <color rgb="FF9966FF"/>
      <color rgb="FFFFCCFF"/>
      <color rgb="FFFFFFCC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Prosperity%20Link.xlsx" TargetMode="External"/><Relationship Id="rId2" Type="http://schemas.openxmlformats.org/officeDocument/2006/relationships/externalLinkPath" Target="file:///C:\Users\fwt77758\Downloads\Prosperity%20Link.xlsx" TargetMode="External"/><Relationship Id="rId1" Type="http://schemas.openxmlformats.org/officeDocument/2006/relationships/externalLinkPath" Target="/Users/fwt77758/Downloads/Prosperity%20Lin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GameInfo_AVV060326"/>
      <sheetName val="Game Summary"/>
      <sheetName val="Progressives"/>
      <sheetName val="MPT Paytable"/>
      <sheetName val="BG Summary"/>
      <sheetName val="BG Reel Strips"/>
      <sheetName val="BG Calc"/>
      <sheetName val="FG Summary"/>
      <sheetName val="FG Calc"/>
      <sheetName val="FG Cap"/>
      <sheetName val="Bonus Inputs"/>
      <sheetName val="Bonus Calc"/>
      <sheetName val="PAR Info"/>
    </sheetNames>
    <sheetDataSet>
      <sheetData sheetId="0"/>
      <sheetData sheetId="1"/>
      <sheetData sheetId="2"/>
      <sheetData sheetId="3"/>
      <sheetData sheetId="4"/>
      <sheetData sheetId="5">
        <row r="5">
          <cell r="B5" t="str">
            <v>F9</v>
          </cell>
          <cell r="C5">
            <v>20</v>
          </cell>
          <cell r="D5" t="str">
            <v>F8</v>
          </cell>
          <cell r="E5">
            <v>20</v>
          </cell>
          <cell r="F5" t="str">
            <v>M4</v>
          </cell>
          <cell r="G5">
            <v>20</v>
          </cell>
          <cell r="H5" t="str">
            <v>M4</v>
          </cell>
          <cell r="I5">
            <v>1</v>
          </cell>
          <cell r="J5" t="str">
            <v>F8</v>
          </cell>
          <cell r="K5">
            <v>20</v>
          </cell>
          <cell r="M5" t="str">
            <v>F9</v>
          </cell>
          <cell r="N5">
            <v>20</v>
          </cell>
          <cell r="O5" t="str">
            <v>F8</v>
          </cell>
          <cell r="P5">
            <v>20</v>
          </cell>
          <cell r="Q5" t="str">
            <v>M4</v>
          </cell>
          <cell r="R5">
            <v>20</v>
          </cell>
          <cell r="S5" t="str">
            <v>M4</v>
          </cell>
          <cell r="T5">
            <v>1</v>
          </cell>
          <cell r="U5" t="str">
            <v>F8</v>
          </cell>
          <cell r="V5">
            <v>20</v>
          </cell>
          <cell r="X5" t="str">
            <v>F9</v>
          </cell>
          <cell r="Y5">
            <v>20</v>
          </cell>
          <cell r="Z5" t="str">
            <v>F8</v>
          </cell>
          <cell r="AA5">
            <v>20</v>
          </cell>
          <cell r="AB5" t="str">
            <v>M4</v>
          </cell>
          <cell r="AC5">
            <v>20</v>
          </cell>
          <cell r="AD5" t="str">
            <v>M4</v>
          </cell>
          <cell r="AE5">
            <v>1</v>
          </cell>
          <cell r="AF5" t="str">
            <v>F8</v>
          </cell>
          <cell r="AG5">
            <v>20</v>
          </cell>
          <cell r="AI5" t="str">
            <v>F9</v>
          </cell>
          <cell r="AJ5">
            <v>20</v>
          </cell>
          <cell r="AK5" t="str">
            <v>F8</v>
          </cell>
          <cell r="AL5">
            <v>20</v>
          </cell>
          <cell r="AM5" t="str">
            <v>M4</v>
          </cell>
          <cell r="AN5">
            <v>20</v>
          </cell>
          <cell r="AO5" t="str">
            <v>M4</v>
          </cell>
          <cell r="AP5">
            <v>1</v>
          </cell>
          <cell r="AQ5" t="str">
            <v>F8</v>
          </cell>
          <cell r="AR5">
            <v>20</v>
          </cell>
          <cell r="AT5" t="str">
            <v>F9</v>
          </cell>
          <cell r="AU5">
            <v>20</v>
          </cell>
          <cell r="AV5" t="str">
            <v>F8</v>
          </cell>
          <cell r="AW5">
            <v>20</v>
          </cell>
          <cell r="AX5" t="str">
            <v>M4</v>
          </cell>
          <cell r="AY5">
            <v>20</v>
          </cell>
          <cell r="AZ5" t="str">
            <v>M4</v>
          </cell>
          <cell r="BA5">
            <v>1</v>
          </cell>
          <cell r="BB5" t="str">
            <v>F8</v>
          </cell>
          <cell r="BC5">
            <v>20</v>
          </cell>
          <cell r="BE5" t="str">
            <v>F9</v>
          </cell>
          <cell r="BF5">
            <v>20</v>
          </cell>
          <cell r="BG5" t="str">
            <v>F8</v>
          </cell>
          <cell r="BH5">
            <v>20</v>
          </cell>
          <cell r="BI5" t="str">
            <v>M4</v>
          </cell>
          <cell r="BJ5">
            <v>20</v>
          </cell>
          <cell r="BK5" t="str">
            <v>M4</v>
          </cell>
          <cell r="BL5">
            <v>1</v>
          </cell>
          <cell r="BM5" t="str">
            <v>F8</v>
          </cell>
          <cell r="BN5">
            <v>20</v>
          </cell>
          <cell r="BP5" t="str">
            <v>F9</v>
          </cell>
          <cell r="BQ5">
            <v>20</v>
          </cell>
          <cell r="BR5" t="str">
            <v>F8</v>
          </cell>
          <cell r="BS5">
            <v>20</v>
          </cell>
          <cell r="BT5" t="str">
            <v>M4</v>
          </cell>
          <cell r="BU5">
            <v>20</v>
          </cell>
          <cell r="BV5" t="str">
            <v>M4</v>
          </cell>
          <cell r="BW5">
            <v>1</v>
          </cell>
          <cell r="BX5" t="str">
            <v>F8</v>
          </cell>
          <cell r="BY5">
            <v>20</v>
          </cell>
          <cell r="CA5" t="str">
            <v>F9</v>
          </cell>
          <cell r="CB5">
            <v>20</v>
          </cell>
          <cell r="CC5" t="str">
            <v>F8</v>
          </cell>
          <cell r="CD5">
            <v>20</v>
          </cell>
          <cell r="CE5" t="str">
            <v>M4</v>
          </cell>
          <cell r="CF5">
            <v>20</v>
          </cell>
          <cell r="CG5" t="str">
            <v>M4</v>
          </cell>
          <cell r="CH5">
            <v>1</v>
          </cell>
          <cell r="CI5" t="str">
            <v>F8</v>
          </cell>
          <cell r="CJ5">
            <v>20</v>
          </cell>
          <cell r="CL5" t="str">
            <v>F9</v>
          </cell>
          <cell r="CM5">
            <v>20</v>
          </cell>
          <cell r="CN5" t="str">
            <v>F8</v>
          </cell>
          <cell r="CO5">
            <v>20</v>
          </cell>
          <cell r="CP5" t="str">
            <v>M4</v>
          </cell>
          <cell r="CQ5">
            <v>20</v>
          </cell>
          <cell r="CR5" t="str">
            <v>M4</v>
          </cell>
          <cell r="CS5">
            <v>1</v>
          </cell>
          <cell r="CT5" t="str">
            <v>F8</v>
          </cell>
          <cell r="CU5">
            <v>20</v>
          </cell>
          <cell r="CW5" t="str">
            <v>F9</v>
          </cell>
          <cell r="CX5">
            <v>20</v>
          </cell>
          <cell r="CY5" t="str">
            <v>F8</v>
          </cell>
          <cell r="CZ5">
            <v>20</v>
          </cell>
          <cell r="DA5" t="str">
            <v>M4</v>
          </cell>
          <cell r="DB5">
            <v>20</v>
          </cell>
          <cell r="DC5" t="str">
            <v>M4</v>
          </cell>
          <cell r="DD5">
            <v>1</v>
          </cell>
          <cell r="DE5" t="str">
            <v>F8</v>
          </cell>
          <cell r="DF5">
            <v>20</v>
          </cell>
          <cell r="DH5" t="str">
            <v>F9</v>
          </cell>
          <cell r="DI5">
            <v>20</v>
          </cell>
          <cell r="DJ5" t="str">
            <v>F8</v>
          </cell>
          <cell r="DK5">
            <v>20</v>
          </cell>
          <cell r="DL5" t="str">
            <v>M4</v>
          </cell>
          <cell r="DM5">
            <v>20</v>
          </cell>
          <cell r="DN5" t="str">
            <v>M4</v>
          </cell>
          <cell r="DO5">
            <v>1</v>
          </cell>
          <cell r="DP5" t="str">
            <v>F8</v>
          </cell>
          <cell r="DQ5">
            <v>20</v>
          </cell>
          <cell r="DS5" t="str">
            <v>F9</v>
          </cell>
          <cell r="DT5">
            <v>20</v>
          </cell>
          <cell r="DU5" t="str">
            <v>F8</v>
          </cell>
          <cell r="DV5">
            <v>20</v>
          </cell>
          <cell r="DW5" t="str">
            <v>M4</v>
          </cell>
          <cell r="DX5">
            <v>20</v>
          </cell>
          <cell r="DY5" t="str">
            <v>M4</v>
          </cell>
          <cell r="DZ5">
            <v>1</v>
          </cell>
          <cell r="EA5" t="str">
            <v>F8</v>
          </cell>
          <cell r="EB5">
            <v>20</v>
          </cell>
          <cell r="ED5" t="str">
            <v>F9</v>
          </cell>
          <cell r="EE5">
            <v>20</v>
          </cell>
          <cell r="EF5" t="str">
            <v>F8</v>
          </cell>
          <cell r="EG5">
            <v>20</v>
          </cell>
          <cell r="EH5" t="str">
            <v>M4</v>
          </cell>
          <cell r="EI5">
            <v>20</v>
          </cell>
          <cell r="EJ5" t="str">
            <v>M4</v>
          </cell>
          <cell r="EK5">
            <v>1</v>
          </cell>
          <cell r="EL5" t="str">
            <v>F8</v>
          </cell>
          <cell r="EM5">
            <v>20</v>
          </cell>
          <cell r="EO5" t="str">
            <v>F9</v>
          </cell>
          <cell r="EP5">
            <v>20</v>
          </cell>
          <cell r="EQ5" t="str">
            <v>F8</v>
          </cell>
          <cell r="ER5">
            <v>20</v>
          </cell>
          <cell r="ES5" t="str">
            <v>M4</v>
          </cell>
          <cell r="ET5">
            <v>20</v>
          </cell>
          <cell r="EU5" t="str">
            <v>M4</v>
          </cell>
          <cell r="EV5">
            <v>1</v>
          </cell>
          <cell r="EW5" t="str">
            <v>F8</v>
          </cell>
          <cell r="EX5">
            <v>20</v>
          </cell>
          <cell r="EZ5" t="str">
            <v>F9</v>
          </cell>
          <cell r="FA5">
            <v>20</v>
          </cell>
          <cell r="FB5" t="str">
            <v>F8</v>
          </cell>
          <cell r="FC5">
            <v>20</v>
          </cell>
          <cell r="FD5" t="str">
            <v>M4</v>
          </cell>
          <cell r="FE5">
            <v>20</v>
          </cell>
          <cell r="FF5" t="str">
            <v>M4</v>
          </cell>
          <cell r="FG5">
            <v>1</v>
          </cell>
          <cell r="FH5" t="str">
            <v>F8</v>
          </cell>
          <cell r="FI5">
            <v>20</v>
          </cell>
          <cell r="FK5" t="str">
            <v>F9</v>
          </cell>
          <cell r="FL5">
            <v>20</v>
          </cell>
          <cell r="FM5" t="str">
            <v>F8</v>
          </cell>
          <cell r="FN5">
            <v>20</v>
          </cell>
          <cell r="FO5" t="str">
            <v>M4</v>
          </cell>
          <cell r="FP5">
            <v>20</v>
          </cell>
          <cell r="FQ5" t="str">
            <v>M4</v>
          </cell>
          <cell r="FR5">
            <v>1</v>
          </cell>
          <cell r="FS5" t="str">
            <v>F8</v>
          </cell>
          <cell r="FT5">
            <v>20</v>
          </cell>
        </row>
        <row r="6">
          <cell r="B6" t="str">
            <v>F8</v>
          </cell>
          <cell r="C6">
            <v>20</v>
          </cell>
          <cell r="D6" t="str">
            <v>F8</v>
          </cell>
          <cell r="E6">
            <v>20</v>
          </cell>
          <cell r="F6" t="str">
            <v>M4</v>
          </cell>
          <cell r="G6">
            <v>20</v>
          </cell>
          <cell r="H6" t="str">
            <v>F7</v>
          </cell>
          <cell r="I6">
            <v>20</v>
          </cell>
          <cell r="J6" t="str">
            <v>F5</v>
          </cell>
          <cell r="K6">
            <v>20</v>
          </cell>
          <cell r="M6" t="str">
            <v>F8</v>
          </cell>
          <cell r="N6">
            <v>1</v>
          </cell>
          <cell r="O6" t="str">
            <v>F8</v>
          </cell>
          <cell r="P6">
            <v>20</v>
          </cell>
          <cell r="Q6" t="str">
            <v>M4</v>
          </cell>
          <cell r="R6">
            <v>20</v>
          </cell>
          <cell r="S6" t="str">
            <v>F7</v>
          </cell>
          <cell r="T6">
            <v>20</v>
          </cell>
          <cell r="U6" t="str">
            <v>F5</v>
          </cell>
          <cell r="V6">
            <v>20</v>
          </cell>
          <cell r="X6" t="str">
            <v>F8</v>
          </cell>
          <cell r="Y6">
            <v>20</v>
          </cell>
          <cell r="Z6" t="str">
            <v>F8</v>
          </cell>
          <cell r="AA6">
            <v>20</v>
          </cell>
          <cell r="AB6" t="str">
            <v>M4</v>
          </cell>
          <cell r="AC6">
            <v>20</v>
          </cell>
          <cell r="AD6" t="str">
            <v>F7</v>
          </cell>
          <cell r="AE6">
            <v>20</v>
          </cell>
          <cell r="AF6" t="str">
            <v>F5</v>
          </cell>
          <cell r="AG6">
            <v>20</v>
          </cell>
          <cell r="AI6" t="str">
            <v>F8</v>
          </cell>
          <cell r="AJ6">
            <v>20</v>
          </cell>
          <cell r="AK6" t="str">
            <v>F8</v>
          </cell>
          <cell r="AL6">
            <v>20</v>
          </cell>
          <cell r="AM6" t="str">
            <v>M4</v>
          </cell>
          <cell r="AN6">
            <v>20</v>
          </cell>
          <cell r="AO6" t="str">
            <v>F7</v>
          </cell>
          <cell r="AP6">
            <v>20</v>
          </cell>
          <cell r="AQ6" t="str">
            <v>F5</v>
          </cell>
          <cell r="AR6">
            <v>20</v>
          </cell>
          <cell r="AT6" t="str">
            <v>F8</v>
          </cell>
          <cell r="AU6">
            <v>20</v>
          </cell>
          <cell r="AV6" t="str">
            <v>F8</v>
          </cell>
          <cell r="AW6">
            <v>20</v>
          </cell>
          <cell r="AX6" t="str">
            <v>M4</v>
          </cell>
          <cell r="AY6">
            <v>20</v>
          </cell>
          <cell r="AZ6" t="str">
            <v>F7</v>
          </cell>
          <cell r="BA6">
            <v>20</v>
          </cell>
          <cell r="BB6" t="str">
            <v>F5</v>
          </cell>
          <cell r="BC6">
            <v>20</v>
          </cell>
          <cell r="BE6" t="str">
            <v>F8</v>
          </cell>
          <cell r="BF6">
            <v>20</v>
          </cell>
          <cell r="BG6" t="str">
            <v>F8</v>
          </cell>
          <cell r="BH6">
            <v>20</v>
          </cell>
          <cell r="BI6" t="str">
            <v>M4</v>
          </cell>
          <cell r="BJ6">
            <v>20</v>
          </cell>
          <cell r="BK6" t="str">
            <v>F7</v>
          </cell>
          <cell r="BL6">
            <v>20</v>
          </cell>
          <cell r="BM6" t="str">
            <v>F5</v>
          </cell>
          <cell r="BN6">
            <v>20</v>
          </cell>
          <cell r="BP6" t="str">
            <v>F8</v>
          </cell>
          <cell r="BQ6">
            <v>20</v>
          </cell>
          <cell r="BR6" t="str">
            <v>F8</v>
          </cell>
          <cell r="BS6">
            <v>20</v>
          </cell>
          <cell r="BT6" t="str">
            <v>M4</v>
          </cell>
          <cell r="BU6">
            <v>20</v>
          </cell>
          <cell r="BV6" t="str">
            <v>F7</v>
          </cell>
          <cell r="BW6">
            <v>20</v>
          </cell>
          <cell r="BX6" t="str">
            <v>F5</v>
          </cell>
          <cell r="BY6">
            <v>20</v>
          </cell>
          <cell r="CA6" t="str">
            <v>F8</v>
          </cell>
          <cell r="CB6">
            <v>20</v>
          </cell>
          <cell r="CC6" t="str">
            <v>F8</v>
          </cell>
          <cell r="CD6">
            <v>20</v>
          </cell>
          <cell r="CE6" t="str">
            <v>M4</v>
          </cell>
          <cell r="CF6">
            <v>20</v>
          </cell>
          <cell r="CG6" t="str">
            <v>F7</v>
          </cell>
          <cell r="CH6">
            <v>20</v>
          </cell>
          <cell r="CI6" t="str">
            <v>F5</v>
          </cell>
          <cell r="CJ6">
            <v>20</v>
          </cell>
          <cell r="CL6" t="str">
            <v>F8</v>
          </cell>
          <cell r="CM6">
            <v>20</v>
          </cell>
          <cell r="CN6" t="str">
            <v>F8</v>
          </cell>
          <cell r="CO6">
            <v>20</v>
          </cell>
          <cell r="CP6" t="str">
            <v>M4</v>
          </cell>
          <cell r="CQ6">
            <v>20</v>
          </cell>
          <cell r="CR6" t="str">
            <v>F7</v>
          </cell>
          <cell r="CS6">
            <v>20</v>
          </cell>
          <cell r="CT6" t="str">
            <v>F5</v>
          </cell>
          <cell r="CU6">
            <v>20</v>
          </cell>
          <cell r="CW6" t="str">
            <v>F8</v>
          </cell>
          <cell r="CX6">
            <v>20</v>
          </cell>
          <cell r="CY6" t="str">
            <v>F8</v>
          </cell>
          <cell r="CZ6">
            <v>20</v>
          </cell>
          <cell r="DA6" t="str">
            <v>M4</v>
          </cell>
          <cell r="DB6">
            <v>20</v>
          </cell>
          <cell r="DC6" t="str">
            <v>F7</v>
          </cell>
          <cell r="DD6">
            <v>20</v>
          </cell>
          <cell r="DE6" t="str">
            <v>F5</v>
          </cell>
          <cell r="DF6">
            <v>20</v>
          </cell>
          <cell r="DH6" t="str">
            <v>F8</v>
          </cell>
          <cell r="DI6">
            <v>20</v>
          </cell>
          <cell r="DJ6" t="str">
            <v>F8</v>
          </cell>
          <cell r="DK6">
            <v>20</v>
          </cell>
          <cell r="DL6" t="str">
            <v>M4</v>
          </cell>
          <cell r="DM6">
            <v>20</v>
          </cell>
          <cell r="DN6" t="str">
            <v>F7</v>
          </cell>
          <cell r="DO6">
            <v>20</v>
          </cell>
          <cell r="DP6" t="str">
            <v>F5</v>
          </cell>
          <cell r="DQ6">
            <v>20</v>
          </cell>
          <cell r="DS6" t="str">
            <v>F8</v>
          </cell>
          <cell r="DT6">
            <v>20</v>
          </cell>
          <cell r="DU6" t="str">
            <v>F8</v>
          </cell>
          <cell r="DV6">
            <v>20</v>
          </cell>
          <cell r="DW6" t="str">
            <v>M4</v>
          </cell>
          <cell r="DX6">
            <v>20</v>
          </cell>
          <cell r="DY6" t="str">
            <v>F7</v>
          </cell>
          <cell r="DZ6">
            <v>20</v>
          </cell>
          <cell r="EA6" t="str">
            <v>F5</v>
          </cell>
          <cell r="EB6">
            <v>20</v>
          </cell>
          <cell r="ED6" t="str">
            <v>F8</v>
          </cell>
          <cell r="EE6">
            <v>20</v>
          </cell>
          <cell r="EF6" t="str">
            <v>F8</v>
          </cell>
          <cell r="EG6">
            <v>20</v>
          </cell>
          <cell r="EH6" t="str">
            <v>M4</v>
          </cell>
          <cell r="EI6">
            <v>20</v>
          </cell>
          <cell r="EJ6" t="str">
            <v>F7</v>
          </cell>
          <cell r="EK6">
            <v>20</v>
          </cell>
          <cell r="EL6" t="str">
            <v>F5</v>
          </cell>
          <cell r="EM6">
            <v>20</v>
          </cell>
          <cell r="EO6" t="str">
            <v>F8</v>
          </cell>
          <cell r="EP6">
            <v>20</v>
          </cell>
          <cell r="EQ6" t="str">
            <v>F8</v>
          </cell>
          <cell r="ER6">
            <v>20</v>
          </cell>
          <cell r="ES6" t="str">
            <v>M4</v>
          </cell>
          <cell r="ET6">
            <v>20</v>
          </cell>
          <cell r="EU6" t="str">
            <v>F7</v>
          </cell>
          <cell r="EV6">
            <v>20</v>
          </cell>
          <cell r="EW6" t="str">
            <v>F5</v>
          </cell>
          <cell r="EX6">
            <v>20</v>
          </cell>
          <cell r="EZ6" t="str">
            <v>F8</v>
          </cell>
          <cell r="FA6">
            <v>20</v>
          </cell>
          <cell r="FB6" t="str">
            <v>F8</v>
          </cell>
          <cell r="FC6">
            <v>20</v>
          </cell>
          <cell r="FD6" t="str">
            <v>M4</v>
          </cell>
          <cell r="FE6">
            <v>20</v>
          </cell>
          <cell r="FF6" t="str">
            <v>F7</v>
          </cell>
          <cell r="FG6">
            <v>20</v>
          </cell>
          <cell r="FH6" t="str">
            <v>F5</v>
          </cell>
          <cell r="FI6">
            <v>20</v>
          </cell>
          <cell r="FK6" t="str">
            <v>F8</v>
          </cell>
          <cell r="FL6">
            <v>20</v>
          </cell>
          <cell r="FM6" t="str">
            <v>F8</v>
          </cell>
          <cell r="FN6">
            <v>20</v>
          </cell>
          <cell r="FO6" t="str">
            <v>M4</v>
          </cell>
          <cell r="FP6">
            <v>20</v>
          </cell>
          <cell r="FQ6" t="str">
            <v>F7</v>
          </cell>
          <cell r="FR6">
            <v>20</v>
          </cell>
          <cell r="FS6" t="str">
            <v>F5</v>
          </cell>
          <cell r="FT6">
            <v>20</v>
          </cell>
        </row>
        <row r="7">
          <cell r="B7" t="str">
            <v>F7</v>
          </cell>
          <cell r="C7">
            <v>20</v>
          </cell>
          <cell r="D7" t="str">
            <v>F6</v>
          </cell>
          <cell r="E7">
            <v>1</v>
          </cell>
          <cell r="F7" t="str">
            <v>F5</v>
          </cell>
          <cell r="G7">
            <v>1</v>
          </cell>
          <cell r="H7" t="str">
            <v>M2</v>
          </cell>
          <cell r="I7">
            <v>20</v>
          </cell>
          <cell r="J7" t="str">
            <v>F5</v>
          </cell>
          <cell r="K7">
            <v>20</v>
          </cell>
          <cell r="M7" t="str">
            <v>F7</v>
          </cell>
          <cell r="N7">
            <v>20</v>
          </cell>
          <cell r="O7" t="str">
            <v>F6</v>
          </cell>
          <cell r="P7">
            <v>1</v>
          </cell>
          <cell r="Q7" t="str">
            <v>F5</v>
          </cell>
          <cell r="R7">
            <v>1</v>
          </cell>
          <cell r="S7" t="str">
            <v>M2</v>
          </cell>
          <cell r="T7">
            <v>20</v>
          </cell>
          <cell r="U7" t="str">
            <v>F5</v>
          </cell>
          <cell r="V7">
            <v>20</v>
          </cell>
          <cell r="X7" t="str">
            <v>F7</v>
          </cell>
          <cell r="Y7">
            <v>20</v>
          </cell>
          <cell r="Z7" t="str">
            <v>F6</v>
          </cell>
          <cell r="AA7">
            <v>2000</v>
          </cell>
          <cell r="AB7" t="str">
            <v>F5</v>
          </cell>
          <cell r="AC7">
            <v>1</v>
          </cell>
          <cell r="AD7" t="str">
            <v>M2</v>
          </cell>
          <cell r="AE7">
            <v>20</v>
          </cell>
          <cell r="AF7" t="str">
            <v>F5</v>
          </cell>
          <cell r="AG7">
            <v>20</v>
          </cell>
          <cell r="AI7" t="str">
            <v>F7</v>
          </cell>
          <cell r="AJ7">
            <v>20</v>
          </cell>
          <cell r="AK7" t="str">
            <v>F6</v>
          </cell>
          <cell r="AL7">
            <v>4000</v>
          </cell>
          <cell r="AM7" t="str">
            <v>F5</v>
          </cell>
          <cell r="AN7">
            <v>1</v>
          </cell>
          <cell r="AO7" t="str">
            <v>M2</v>
          </cell>
          <cell r="AP7">
            <v>20</v>
          </cell>
          <cell r="AQ7" t="str">
            <v>F5</v>
          </cell>
          <cell r="AR7">
            <v>20</v>
          </cell>
          <cell r="AT7" t="str">
            <v>F7</v>
          </cell>
          <cell r="AU7">
            <v>20</v>
          </cell>
          <cell r="AV7" t="str">
            <v>F6</v>
          </cell>
          <cell r="AW7">
            <v>5000</v>
          </cell>
          <cell r="AX7" t="str">
            <v>F5</v>
          </cell>
          <cell r="AY7">
            <v>5000</v>
          </cell>
          <cell r="AZ7" t="str">
            <v>M2</v>
          </cell>
          <cell r="BA7">
            <v>20</v>
          </cell>
          <cell r="BB7" t="str">
            <v>F5</v>
          </cell>
          <cell r="BC7">
            <v>20</v>
          </cell>
          <cell r="BE7" t="str">
            <v>F7</v>
          </cell>
          <cell r="BF7">
            <v>20</v>
          </cell>
          <cell r="BG7" t="str">
            <v>F6</v>
          </cell>
          <cell r="BH7">
            <v>4000</v>
          </cell>
          <cell r="BI7" t="str">
            <v>F5</v>
          </cell>
          <cell r="BJ7">
            <v>1</v>
          </cell>
          <cell r="BK7" t="str">
            <v>M2</v>
          </cell>
          <cell r="BL7">
            <v>20</v>
          </cell>
          <cell r="BM7" t="str">
            <v>F5</v>
          </cell>
          <cell r="BN7">
            <v>20</v>
          </cell>
          <cell r="BP7" t="str">
            <v>F7</v>
          </cell>
          <cell r="BQ7">
            <v>20</v>
          </cell>
          <cell r="BR7" t="str">
            <v>F6</v>
          </cell>
          <cell r="BS7">
            <v>1</v>
          </cell>
          <cell r="BT7" t="str">
            <v>F5</v>
          </cell>
          <cell r="BU7">
            <v>1</v>
          </cell>
          <cell r="BV7" t="str">
            <v>M2</v>
          </cell>
          <cell r="BW7">
            <v>20</v>
          </cell>
          <cell r="BX7" t="str">
            <v>F5</v>
          </cell>
          <cell r="BY7">
            <v>20</v>
          </cell>
          <cell r="CA7" t="str">
            <v>F7</v>
          </cell>
          <cell r="CB7">
            <v>20</v>
          </cell>
          <cell r="CC7" t="str">
            <v>F6</v>
          </cell>
          <cell r="CD7">
            <v>4000</v>
          </cell>
          <cell r="CE7" t="str">
            <v>F5</v>
          </cell>
          <cell r="CF7">
            <v>1</v>
          </cell>
          <cell r="CG7" t="str">
            <v>M2</v>
          </cell>
          <cell r="CH7">
            <v>20</v>
          </cell>
          <cell r="CI7" t="str">
            <v>F5</v>
          </cell>
          <cell r="CJ7">
            <v>20</v>
          </cell>
          <cell r="CL7" t="str">
            <v>F7</v>
          </cell>
          <cell r="CM7">
            <v>20</v>
          </cell>
          <cell r="CN7" t="str">
            <v>F6</v>
          </cell>
          <cell r="CO7">
            <v>1</v>
          </cell>
          <cell r="CP7" t="str">
            <v>F5</v>
          </cell>
          <cell r="CQ7">
            <v>4000</v>
          </cell>
          <cell r="CR7" t="str">
            <v>M2</v>
          </cell>
          <cell r="CS7">
            <v>20</v>
          </cell>
          <cell r="CT7" t="str">
            <v>F5</v>
          </cell>
          <cell r="CU7">
            <v>20</v>
          </cell>
          <cell r="CW7" t="str">
            <v>F7</v>
          </cell>
          <cell r="CX7">
            <v>20</v>
          </cell>
          <cell r="CY7" t="str">
            <v>F6</v>
          </cell>
          <cell r="CZ7">
            <v>1</v>
          </cell>
          <cell r="DA7" t="str">
            <v>F5</v>
          </cell>
          <cell r="DB7">
            <v>1</v>
          </cell>
          <cell r="DC7" t="str">
            <v>M2</v>
          </cell>
          <cell r="DD7">
            <v>20</v>
          </cell>
          <cell r="DE7" t="str">
            <v>F5</v>
          </cell>
          <cell r="DF7">
            <v>20</v>
          </cell>
          <cell r="DH7" t="str">
            <v>F7</v>
          </cell>
          <cell r="DI7">
            <v>20</v>
          </cell>
          <cell r="DJ7" t="str">
            <v>F6</v>
          </cell>
          <cell r="DK7">
            <v>1</v>
          </cell>
          <cell r="DL7" t="str">
            <v>F5</v>
          </cell>
          <cell r="DM7">
            <v>1</v>
          </cell>
          <cell r="DN7" t="str">
            <v>M2</v>
          </cell>
          <cell r="DO7">
            <v>20</v>
          </cell>
          <cell r="DP7" t="str">
            <v>F5</v>
          </cell>
          <cell r="DQ7">
            <v>20</v>
          </cell>
          <cell r="DS7" t="str">
            <v>F7</v>
          </cell>
          <cell r="DT7">
            <v>20</v>
          </cell>
          <cell r="DU7" t="str">
            <v>F6</v>
          </cell>
          <cell r="DV7">
            <v>1</v>
          </cell>
          <cell r="DW7" t="str">
            <v>F5</v>
          </cell>
          <cell r="DX7">
            <v>1</v>
          </cell>
          <cell r="DY7" t="str">
            <v>M2</v>
          </cell>
          <cell r="DZ7">
            <v>20</v>
          </cell>
          <cell r="EA7" t="str">
            <v>F5</v>
          </cell>
          <cell r="EB7">
            <v>20</v>
          </cell>
          <cell r="ED7" t="str">
            <v>F7</v>
          </cell>
          <cell r="EE7">
            <v>20</v>
          </cell>
          <cell r="EF7" t="str">
            <v>F6</v>
          </cell>
          <cell r="EG7">
            <v>4000</v>
          </cell>
          <cell r="EH7" t="str">
            <v>F5</v>
          </cell>
          <cell r="EI7">
            <v>1</v>
          </cell>
          <cell r="EJ7" t="str">
            <v>M2</v>
          </cell>
          <cell r="EK7">
            <v>20</v>
          </cell>
          <cell r="EL7" t="str">
            <v>F5</v>
          </cell>
          <cell r="EM7">
            <v>20</v>
          </cell>
          <cell r="EO7" t="str">
            <v>F7</v>
          </cell>
          <cell r="EP7">
            <v>20</v>
          </cell>
          <cell r="EQ7" t="str">
            <v>F6</v>
          </cell>
          <cell r="ER7">
            <v>1</v>
          </cell>
          <cell r="ES7" t="str">
            <v>F5</v>
          </cell>
          <cell r="ET7">
            <v>1</v>
          </cell>
          <cell r="EU7" t="str">
            <v>M2</v>
          </cell>
          <cell r="EV7">
            <v>20</v>
          </cell>
          <cell r="EW7" t="str">
            <v>F5</v>
          </cell>
          <cell r="EX7">
            <v>20</v>
          </cell>
          <cell r="EZ7" t="str">
            <v>F7</v>
          </cell>
          <cell r="FA7">
            <v>20</v>
          </cell>
          <cell r="FB7" t="str">
            <v>F6</v>
          </cell>
          <cell r="FC7">
            <v>1</v>
          </cell>
          <cell r="FD7" t="str">
            <v>F5</v>
          </cell>
          <cell r="FE7">
            <v>1</v>
          </cell>
          <cell r="FF7" t="str">
            <v>M2</v>
          </cell>
          <cell r="FG7">
            <v>20</v>
          </cell>
          <cell r="FH7" t="str">
            <v>F5</v>
          </cell>
          <cell r="FI7">
            <v>20</v>
          </cell>
          <cell r="FK7" t="str">
            <v>F7</v>
          </cell>
          <cell r="FL7">
            <v>20</v>
          </cell>
          <cell r="FM7" t="str">
            <v>F6</v>
          </cell>
          <cell r="FN7">
            <v>1</v>
          </cell>
          <cell r="FO7" t="str">
            <v>F5</v>
          </cell>
          <cell r="FP7">
            <v>1</v>
          </cell>
          <cell r="FQ7" t="str">
            <v>M2</v>
          </cell>
          <cell r="FR7">
            <v>20</v>
          </cell>
          <cell r="FS7" t="str">
            <v>F5</v>
          </cell>
          <cell r="FT7">
            <v>20</v>
          </cell>
        </row>
        <row r="8">
          <cell r="B8" t="str">
            <v>F8</v>
          </cell>
          <cell r="C8">
            <v>1</v>
          </cell>
          <cell r="D8" t="str">
            <v>MB</v>
          </cell>
          <cell r="E8">
            <v>1</v>
          </cell>
          <cell r="F8" t="str">
            <v>MB</v>
          </cell>
          <cell r="G8">
            <v>1</v>
          </cell>
          <cell r="H8" t="str">
            <v>F6</v>
          </cell>
          <cell r="I8">
            <v>1</v>
          </cell>
          <cell r="J8" t="str">
            <v>M4</v>
          </cell>
          <cell r="K8">
            <v>1</v>
          </cell>
          <cell r="M8" t="str">
            <v>F8</v>
          </cell>
          <cell r="N8">
            <v>1</v>
          </cell>
          <cell r="O8" t="str">
            <v>MB</v>
          </cell>
          <cell r="P8">
            <v>1</v>
          </cell>
          <cell r="Q8" t="str">
            <v>MB</v>
          </cell>
          <cell r="R8">
            <v>1</v>
          </cell>
          <cell r="S8" t="str">
            <v>F6</v>
          </cell>
          <cell r="T8">
            <v>1</v>
          </cell>
          <cell r="U8" t="str">
            <v>M4</v>
          </cell>
          <cell r="V8">
            <v>2000</v>
          </cell>
          <cell r="X8" t="str">
            <v>F8</v>
          </cell>
          <cell r="Y8">
            <v>1</v>
          </cell>
          <cell r="Z8" t="str">
            <v>MB</v>
          </cell>
          <cell r="AA8">
            <v>2000</v>
          </cell>
          <cell r="AB8" t="str">
            <v>MB</v>
          </cell>
          <cell r="AC8">
            <v>1</v>
          </cell>
          <cell r="AD8" t="str">
            <v>F6</v>
          </cell>
          <cell r="AE8">
            <v>1</v>
          </cell>
          <cell r="AF8" t="str">
            <v>M4</v>
          </cell>
          <cell r="AG8">
            <v>1</v>
          </cell>
          <cell r="AI8" t="str">
            <v>F8</v>
          </cell>
          <cell r="AJ8">
            <v>1</v>
          </cell>
          <cell r="AK8" t="str">
            <v>MB</v>
          </cell>
          <cell r="AL8">
            <v>4000</v>
          </cell>
          <cell r="AM8" t="str">
            <v>MB</v>
          </cell>
          <cell r="AN8">
            <v>1</v>
          </cell>
          <cell r="AO8" t="str">
            <v>F6</v>
          </cell>
          <cell r="AP8">
            <v>1</v>
          </cell>
          <cell r="AQ8" t="str">
            <v>M4</v>
          </cell>
          <cell r="AR8">
            <v>1</v>
          </cell>
          <cell r="AT8" t="str">
            <v>F8</v>
          </cell>
          <cell r="AU8">
            <v>5000</v>
          </cell>
          <cell r="AV8" t="str">
            <v>MB</v>
          </cell>
          <cell r="AW8">
            <v>5000</v>
          </cell>
          <cell r="AX8" t="str">
            <v>MB</v>
          </cell>
          <cell r="AY8">
            <v>5000</v>
          </cell>
          <cell r="AZ8" t="str">
            <v>F6</v>
          </cell>
          <cell r="BA8">
            <v>1</v>
          </cell>
          <cell r="BB8" t="str">
            <v>M4</v>
          </cell>
          <cell r="BC8">
            <v>5000</v>
          </cell>
          <cell r="BE8" t="str">
            <v>F8</v>
          </cell>
          <cell r="BF8">
            <v>1</v>
          </cell>
          <cell r="BG8" t="str">
            <v>MB</v>
          </cell>
          <cell r="BH8">
            <v>4000</v>
          </cell>
          <cell r="BI8" t="str">
            <v>MB</v>
          </cell>
          <cell r="BJ8">
            <v>1</v>
          </cell>
          <cell r="BK8" t="str">
            <v>F6</v>
          </cell>
          <cell r="BL8">
            <v>1</v>
          </cell>
          <cell r="BM8" t="str">
            <v>M4</v>
          </cell>
          <cell r="BN8">
            <v>4000</v>
          </cell>
          <cell r="BP8" t="str">
            <v>F8</v>
          </cell>
          <cell r="BQ8">
            <v>1</v>
          </cell>
          <cell r="BR8" t="str">
            <v>MB</v>
          </cell>
          <cell r="BS8">
            <v>1</v>
          </cell>
          <cell r="BT8" t="str">
            <v>MB</v>
          </cell>
          <cell r="BU8">
            <v>1</v>
          </cell>
          <cell r="BV8" t="str">
            <v>F6</v>
          </cell>
          <cell r="BW8">
            <v>1</v>
          </cell>
          <cell r="BX8" t="str">
            <v>M4</v>
          </cell>
          <cell r="BY8">
            <v>4000</v>
          </cell>
          <cell r="CA8" t="str">
            <v>F8</v>
          </cell>
          <cell r="CB8">
            <v>1</v>
          </cell>
          <cell r="CC8" t="str">
            <v>MB</v>
          </cell>
          <cell r="CD8">
            <v>4000</v>
          </cell>
          <cell r="CE8" t="str">
            <v>MB</v>
          </cell>
          <cell r="CF8">
            <v>1</v>
          </cell>
          <cell r="CG8" t="str">
            <v>F6</v>
          </cell>
          <cell r="CH8">
            <v>1</v>
          </cell>
          <cell r="CI8" t="str">
            <v>M4</v>
          </cell>
          <cell r="CJ8">
            <v>1</v>
          </cell>
          <cell r="CL8" t="str">
            <v>F8</v>
          </cell>
          <cell r="CM8">
            <v>4000</v>
          </cell>
          <cell r="CN8" t="str">
            <v>MB</v>
          </cell>
          <cell r="CO8">
            <v>1</v>
          </cell>
          <cell r="CP8" t="str">
            <v>MB</v>
          </cell>
          <cell r="CQ8">
            <v>4000</v>
          </cell>
          <cell r="CR8" t="str">
            <v>F6</v>
          </cell>
          <cell r="CS8">
            <v>1</v>
          </cell>
          <cell r="CT8" t="str">
            <v>M4</v>
          </cell>
          <cell r="CU8">
            <v>4000</v>
          </cell>
          <cell r="CW8" t="str">
            <v>F8</v>
          </cell>
          <cell r="CX8">
            <v>8000</v>
          </cell>
          <cell r="CY8" t="str">
            <v>MB</v>
          </cell>
          <cell r="CZ8">
            <v>1</v>
          </cell>
          <cell r="DA8" t="str">
            <v>MB</v>
          </cell>
          <cell r="DB8">
            <v>1</v>
          </cell>
          <cell r="DC8" t="str">
            <v>F6</v>
          </cell>
          <cell r="DD8">
            <v>1</v>
          </cell>
          <cell r="DE8" t="str">
            <v>M4</v>
          </cell>
          <cell r="DF8">
            <v>1</v>
          </cell>
          <cell r="DH8" t="str">
            <v>F8</v>
          </cell>
          <cell r="DI8">
            <v>1</v>
          </cell>
          <cell r="DJ8" t="str">
            <v>MB</v>
          </cell>
          <cell r="DK8">
            <v>1</v>
          </cell>
          <cell r="DL8" t="str">
            <v>MB</v>
          </cell>
          <cell r="DM8">
            <v>1</v>
          </cell>
          <cell r="DN8" t="str">
            <v>F6</v>
          </cell>
          <cell r="DO8">
            <v>1</v>
          </cell>
          <cell r="DP8" t="str">
            <v>M4</v>
          </cell>
          <cell r="DQ8">
            <v>1</v>
          </cell>
          <cell r="DS8" t="str">
            <v>F8</v>
          </cell>
          <cell r="DT8">
            <v>1</v>
          </cell>
          <cell r="DU8" t="str">
            <v>MB</v>
          </cell>
          <cell r="DV8">
            <v>1</v>
          </cell>
          <cell r="DW8" t="str">
            <v>MB</v>
          </cell>
          <cell r="DX8">
            <v>1</v>
          </cell>
          <cell r="DY8" t="str">
            <v>F6</v>
          </cell>
          <cell r="DZ8">
            <v>1</v>
          </cell>
          <cell r="EA8" t="str">
            <v>M4</v>
          </cell>
          <cell r="EB8">
            <v>1</v>
          </cell>
          <cell r="ED8" t="str">
            <v>F8</v>
          </cell>
          <cell r="EE8">
            <v>1</v>
          </cell>
          <cell r="EF8" t="str">
            <v>MB</v>
          </cell>
          <cell r="EG8">
            <v>4000</v>
          </cell>
          <cell r="EH8" t="str">
            <v>MB</v>
          </cell>
          <cell r="EI8">
            <v>1</v>
          </cell>
          <cell r="EJ8" t="str">
            <v>F6</v>
          </cell>
          <cell r="EK8">
            <v>1</v>
          </cell>
          <cell r="EL8" t="str">
            <v>M4</v>
          </cell>
          <cell r="EM8">
            <v>1</v>
          </cell>
          <cell r="EO8" t="str">
            <v>F8</v>
          </cell>
          <cell r="EP8">
            <v>1</v>
          </cell>
          <cell r="EQ8" t="str">
            <v>MB</v>
          </cell>
          <cell r="ER8">
            <v>1</v>
          </cell>
          <cell r="ES8" t="str">
            <v>MB</v>
          </cell>
          <cell r="ET8">
            <v>1</v>
          </cell>
          <cell r="EU8" t="str">
            <v>F6</v>
          </cell>
          <cell r="EV8">
            <v>1</v>
          </cell>
          <cell r="EW8" t="str">
            <v>M4</v>
          </cell>
          <cell r="EX8">
            <v>1</v>
          </cell>
          <cell r="EZ8" t="str">
            <v>F8</v>
          </cell>
          <cell r="FA8">
            <v>1</v>
          </cell>
          <cell r="FB8" t="str">
            <v>MB</v>
          </cell>
          <cell r="FC8">
            <v>1</v>
          </cell>
          <cell r="FD8" t="str">
            <v>MB</v>
          </cell>
          <cell r="FE8">
            <v>1</v>
          </cell>
          <cell r="FF8" t="str">
            <v>F6</v>
          </cell>
          <cell r="FG8">
            <v>1</v>
          </cell>
          <cell r="FH8" t="str">
            <v>M4</v>
          </cell>
          <cell r="FI8">
            <v>1</v>
          </cell>
          <cell r="FK8" t="str">
            <v>F8</v>
          </cell>
          <cell r="FL8">
            <v>1</v>
          </cell>
          <cell r="FM8" t="str">
            <v>MB</v>
          </cell>
          <cell r="FN8">
            <v>1</v>
          </cell>
          <cell r="FO8" t="str">
            <v>MB</v>
          </cell>
          <cell r="FP8">
            <v>1</v>
          </cell>
          <cell r="FQ8" t="str">
            <v>F6</v>
          </cell>
          <cell r="FR8">
            <v>1</v>
          </cell>
          <cell r="FS8" t="str">
            <v>M4</v>
          </cell>
          <cell r="FT8">
            <v>1</v>
          </cell>
        </row>
        <row r="9">
          <cell r="B9" t="str">
            <v>MB</v>
          </cell>
          <cell r="C9">
            <v>1</v>
          </cell>
          <cell r="D9" t="str">
            <v>F6</v>
          </cell>
          <cell r="E9">
            <v>1</v>
          </cell>
          <cell r="F9" t="str">
            <v>M2</v>
          </cell>
          <cell r="G9">
            <v>1</v>
          </cell>
          <cell r="H9" t="str">
            <v>MB</v>
          </cell>
          <cell r="I9">
            <v>1</v>
          </cell>
          <cell r="J9" t="str">
            <v>MB</v>
          </cell>
          <cell r="K9">
            <v>1</v>
          </cell>
          <cell r="M9" t="str">
            <v>MB</v>
          </cell>
          <cell r="N9">
            <v>1</v>
          </cell>
          <cell r="O9" t="str">
            <v>F6</v>
          </cell>
          <cell r="P9">
            <v>1</v>
          </cell>
          <cell r="Q9" t="str">
            <v>M2</v>
          </cell>
          <cell r="R9">
            <v>1</v>
          </cell>
          <cell r="S9" t="str">
            <v>MB</v>
          </cell>
          <cell r="T9">
            <v>1</v>
          </cell>
          <cell r="U9" t="str">
            <v>MB</v>
          </cell>
          <cell r="V9">
            <v>2000</v>
          </cell>
          <cell r="X9" t="str">
            <v>MB</v>
          </cell>
          <cell r="Y9">
            <v>1</v>
          </cell>
          <cell r="Z9" t="str">
            <v>F6</v>
          </cell>
          <cell r="AA9">
            <v>2000</v>
          </cell>
          <cell r="AB9" t="str">
            <v>M2</v>
          </cell>
          <cell r="AC9">
            <v>1</v>
          </cell>
          <cell r="AD9" t="str">
            <v>MB</v>
          </cell>
          <cell r="AE9">
            <v>1</v>
          </cell>
          <cell r="AF9" t="str">
            <v>MB</v>
          </cell>
          <cell r="AG9">
            <v>1</v>
          </cell>
          <cell r="AI9" t="str">
            <v>MB</v>
          </cell>
          <cell r="AJ9">
            <v>1</v>
          </cell>
          <cell r="AK9" t="str">
            <v>F6</v>
          </cell>
          <cell r="AL9">
            <v>4000</v>
          </cell>
          <cell r="AM9" t="str">
            <v>M2</v>
          </cell>
          <cell r="AN9">
            <v>1</v>
          </cell>
          <cell r="AO9" t="str">
            <v>MB</v>
          </cell>
          <cell r="AP9">
            <v>4000</v>
          </cell>
          <cell r="AQ9" t="str">
            <v>MB</v>
          </cell>
          <cell r="AR9">
            <v>1</v>
          </cell>
          <cell r="AT9" t="str">
            <v>MB</v>
          </cell>
          <cell r="AU9">
            <v>5000</v>
          </cell>
          <cell r="AV9" t="str">
            <v>F6</v>
          </cell>
          <cell r="AW9">
            <v>5000</v>
          </cell>
          <cell r="AX9" t="str">
            <v>M2</v>
          </cell>
          <cell r="AY9">
            <v>5000</v>
          </cell>
          <cell r="AZ9" t="str">
            <v>MB</v>
          </cell>
          <cell r="BA9">
            <v>1</v>
          </cell>
          <cell r="BB9" t="str">
            <v>MB</v>
          </cell>
          <cell r="BC9">
            <v>5000</v>
          </cell>
          <cell r="BE9" t="str">
            <v>MB</v>
          </cell>
          <cell r="BF9">
            <v>1</v>
          </cell>
          <cell r="BG9" t="str">
            <v>F6</v>
          </cell>
          <cell r="BH9">
            <v>4000</v>
          </cell>
          <cell r="BI9" t="str">
            <v>M2</v>
          </cell>
          <cell r="BJ9">
            <v>1</v>
          </cell>
          <cell r="BK9" t="str">
            <v>MB</v>
          </cell>
          <cell r="BL9">
            <v>1</v>
          </cell>
          <cell r="BM9" t="str">
            <v>MB</v>
          </cell>
          <cell r="BN9">
            <v>4000</v>
          </cell>
          <cell r="BP9" t="str">
            <v>MB</v>
          </cell>
          <cell r="BQ9">
            <v>1</v>
          </cell>
          <cell r="BR9" t="str">
            <v>F6</v>
          </cell>
          <cell r="BS9">
            <v>1</v>
          </cell>
          <cell r="BT9" t="str">
            <v>M2</v>
          </cell>
          <cell r="BU9">
            <v>1</v>
          </cell>
          <cell r="BV9" t="str">
            <v>MB</v>
          </cell>
          <cell r="BW9">
            <v>1</v>
          </cell>
          <cell r="BX9" t="str">
            <v>MB</v>
          </cell>
          <cell r="BY9">
            <v>4000</v>
          </cell>
          <cell r="CA9" t="str">
            <v>MB</v>
          </cell>
          <cell r="CB9">
            <v>1</v>
          </cell>
          <cell r="CC9" t="str">
            <v>F6</v>
          </cell>
          <cell r="CD9">
            <v>4000</v>
          </cell>
          <cell r="CE9" t="str">
            <v>M2</v>
          </cell>
          <cell r="CF9">
            <v>1</v>
          </cell>
          <cell r="CG9" t="str">
            <v>MB</v>
          </cell>
          <cell r="CH9">
            <v>1</v>
          </cell>
          <cell r="CI9" t="str">
            <v>MB</v>
          </cell>
          <cell r="CJ9">
            <v>1</v>
          </cell>
          <cell r="CL9" t="str">
            <v>MB</v>
          </cell>
          <cell r="CM9">
            <v>4000</v>
          </cell>
          <cell r="CN9" t="str">
            <v>F6</v>
          </cell>
          <cell r="CO9">
            <v>1</v>
          </cell>
          <cell r="CP9" t="str">
            <v>M2</v>
          </cell>
          <cell r="CQ9">
            <v>4000</v>
          </cell>
          <cell r="CR9" t="str">
            <v>MB</v>
          </cell>
          <cell r="CS9">
            <v>1</v>
          </cell>
          <cell r="CT9" t="str">
            <v>MB</v>
          </cell>
          <cell r="CU9">
            <v>4000</v>
          </cell>
          <cell r="CW9" t="str">
            <v>MB</v>
          </cell>
          <cell r="CX9">
            <v>8000</v>
          </cell>
          <cell r="CY9" t="str">
            <v>F6</v>
          </cell>
          <cell r="CZ9">
            <v>1</v>
          </cell>
          <cell r="DA9" t="str">
            <v>M2</v>
          </cell>
          <cell r="DB9">
            <v>1</v>
          </cell>
          <cell r="DC9" t="str">
            <v>MB</v>
          </cell>
          <cell r="DD9">
            <v>1</v>
          </cell>
          <cell r="DE9" t="str">
            <v>MB</v>
          </cell>
          <cell r="DF9">
            <v>1</v>
          </cell>
          <cell r="DH9" t="str">
            <v>MB</v>
          </cell>
          <cell r="DI9">
            <v>1</v>
          </cell>
          <cell r="DJ9" t="str">
            <v>F6</v>
          </cell>
          <cell r="DK9">
            <v>1</v>
          </cell>
          <cell r="DL9" t="str">
            <v>M2</v>
          </cell>
          <cell r="DM9">
            <v>1</v>
          </cell>
          <cell r="DN9" t="str">
            <v>MB</v>
          </cell>
          <cell r="DO9">
            <v>1</v>
          </cell>
          <cell r="DP9" t="str">
            <v>MB</v>
          </cell>
          <cell r="DQ9">
            <v>1</v>
          </cell>
          <cell r="DS9" t="str">
            <v>MB</v>
          </cell>
          <cell r="DT9">
            <v>1</v>
          </cell>
          <cell r="DU9" t="str">
            <v>F6</v>
          </cell>
          <cell r="DV9">
            <v>1</v>
          </cell>
          <cell r="DW9" t="str">
            <v>M2</v>
          </cell>
          <cell r="DX9">
            <v>1</v>
          </cell>
          <cell r="DY9" t="str">
            <v>MB</v>
          </cell>
          <cell r="DZ9">
            <v>1</v>
          </cell>
          <cell r="EA9" t="str">
            <v>MB</v>
          </cell>
          <cell r="EB9">
            <v>1</v>
          </cell>
          <cell r="ED9" t="str">
            <v>MB</v>
          </cell>
          <cell r="EE9">
            <v>1</v>
          </cell>
          <cell r="EF9" t="str">
            <v>F6</v>
          </cell>
          <cell r="EG9">
            <v>4000</v>
          </cell>
          <cell r="EH9" t="str">
            <v>M2</v>
          </cell>
          <cell r="EI9">
            <v>1</v>
          </cell>
          <cell r="EJ9" t="str">
            <v>MB</v>
          </cell>
          <cell r="EK9">
            <v>1</v>
          </cell>
          <cell r="EL9" t="str">
            <v>MB</v>
          </cell>
          <cell r="EM9">
            <v>1</v>
          </cell>
          <cell r="EO9" t="str">
            <v>MB</v>
          </cell>
          <cell r="EP9">
            <v>1</v>
          </cell>
          <cell r="EQ9" t="str">
            <v>F6</v>
          </cell>
          <cell r="ER9">
            <v>1</v>
          </cell>
          <cell r="ES9" t="str">
            <v>M2</v>
          </cell>
          <cell r="ET9">
            <v>1</v>
          </cell>
          <cell r="EU9" t="str">
            <v>MB</v>
          </cell>
          <cell r="EV9">
            <v>4000</v>
          </cell>
          <cell r="EW9" t="str">
            <v>MB</v>
          </cell>
          <cell r="EX9">
            <v>1</v>
          </cell>
          <cell r="EZ9" t="str">
            <v>MB</v>
          </cell>
          <cell r="FA9">
            <v>1</v>
          </cell>
          <cell r="FB9" t="str">
            <v>F6</v>
          </cell>
          <cell r="FC9">
            <v>1</v>
          </cell>
          <cell r="FD9" t="str">
            <v>M2</v>
          </cell>
          <cell r="FE9">
            <v>1</v>
          </cell>
          <cell r="FF9" t="str">
            <v>MB</v>
          </cell>
          <cell r="FG9">
            <v>1</v>
          </cell>
          <cell r="FH9" t="str">
            <v>MB</v>
          </cell>
          <cell r="FI9">
            <v>1</v>
          </cell>
          <cell r="FK9" t="str">
            <v>MB</v>
          </cell>
          <cell r="FL9">
            <v>1</v>
          </cell>
          <cell r="FM9" t="str">
            <v>F6</v>
          </cell>
          <cell r="FN9">
            <v>1</v>
          </cell>
          <cell r="FO9" t="str">
            <v>M2</v>
          </cell>
          <cell r="FP9">
            <v>1</v>
          </cell>
          <cell r="FQ9" t="str">
            <v>MB</v>
          </cell>
          <cell r="FR9">
            <v>1</v>
          </cell>
          <cell r="FS9" t="str">
            <v>MB</v>
          </cell>
          <cell r="FT9">
            <v>1</v>
          </cell>
        </row>
        <row r="10">
          <cell r="B10" t="str">
            <v>F9</v>
          </cell>
          <cell r="C10">
            <v>1</v>
          </cell>
          <cell r="D10" t="str">
            <v>F7</v>
          </cell>
          <cell r="E10">
            <v>20</v>
          </cell>
          <cell r="F10" t="str">
            <v>F6</v>
          </cell>
          <cell r="G10">
            <v>20</v>
          </cell>
          <cell r="H10" t="str">
            <v>MB</v>
          </cell>
          <cell r="I10">
            <v>1</v>
          </cell>
          <cell r="J10" t="str">
            <v>F9</v>
          </cell>
          <cell r="K10">
            <v>1</v>
          </cell>
          <cell r="M10" t="str">
            <v>F9</v>
          </cell>
          <cell r="N10">
            <v>1</v>
          </cell>
          <cell r="O10" t="str">
            <v>F7</v>
          </cell>
          <cell r="P10">
            <v>20</v>
          </cell>
          <cell r="Q10" t="str">
            <v>F6</v>
          </cell>
          <cell r="R10">
            <v>20</v>
          </cell>
          <cell r="S10" t="str">
            <v>MB</v>
          </cell>
          <cell r="T10">
            <v>1</v>
          </cell>
          <cell r="U10" t="str">
            <v>F9</v>
          </cell>
          <cell r="V10">
            <v>2000</v>
          </cell>
          <cell r="X10" t="str">
            <v>F9</v>
          </cell>
          <cell r="Y10">
            <v>1</v>
          </cell>
          <cell r="Z10" t="str">
            <v>F7</v>
          </cell>
          <cell r="AA10">
            <v>20</v>
          </cell>
          <cell r="AB10" t="str">
            <v>F6</v>
          </cell>
          <cell r="AC10">
            <v>20</v>
          </cell>
          <cell r="AD10" t="str">
            <v>MB</v>
          </cell>
          <cell r="AE10">
            <v>1</v>
          </cell>
          <cell r="AF10" t="str">
            <v>F9</v>
          </cell>
          <cell r="AG10">
            <v>1</v>
          </cell>
          <cell r="AI10" t="str">
            <v>F9</v>
          </cell>
          <cell r="AJ10">
            <v>1</v>
          </cell>
          <cell r="AK10" t="str">
            <v>F7</v>
          </cell>
          <cell r="AL10">
            <v>20</v>
          </cell>
          <cell r="AM10" t="str">
            <v>F6</v>
          </cell>
          <cell r="AN10">
            <v>20</v>
          </cell>
          <cell r="AO10" t="str">
            <v>MB</v>
          </cell>
          <cell r="AP10">
            <v>4000</v>
          </cell>
          <cell r="AQ10" t="str">
            <v>F9</v>
          </cell>
          <cell r="AR10">
            <v>1</v>
          </cell>
          <cell r="AT10" t="str">
            <v>F9</v>
          </cell>
          <cell r="AU10">
            <v>5000</v>
          </cell>
          <cell r="AV10" t="str">
            <v>F7</v>
          </cell>
          <cell r="AW10">
            <v>20</v>
          </cell>
          <cell r="AX10" t="str">
            <v>F6</v>
          </cell>
          <cell r="AY10">
            <v>20</v>
          </cell>
          <cell r="AZ10" t="str">
            <v>MB</v>
          </cell>
          <cell r="BA10">
            <v>1</v>
          </cell>
          <cell r="BB10" t="str">
            <v>F9</v>
          </cell>
          <cell r="BC10">
            <v>5000</v>
          </cell>
          <cell r="BE10" t="str">
            <v>F9</v>
          </cell>
          <cell r="BF10">
            <v>1</v>
          </cell>
          <cell r="BG10" t="str">
            <v>F7</v>
          </cell>
          <cell r="BH10">
            <v>20</v>
          </cell>
          <cell r="BI10" t="str">
            <v>F6</v>
          </cell>
          <cell r="BJ10">
            <v>20</v>
          </cell>
          <cell r="BK10" t="str">
            <v>MB</v>
          </cell>
          <cell r="BL10">
            <v>1</v>
          </cell>
          <cell r="BM10" t="str">
            <v>F9</v>
          </cell>
          <cell r="BN10">
            <v>4000</v>
          </cell>
          <cell r="BP10" t="str">
            <v>F9</v>
          </cell>
          <cell r="BQ10">
            <v>1</v>
          </cell>
          <cell r="BR10" t="str">
            <v>F7</v>
          </cell>
          <cell r="BS10">
            <v>20</v>
          </cell>
          <cell r="BT10" t="str">
            <v>F6</v>
          </cell>
          <cell r="BU10">
            <v>20</v>
          </cell>
          <cell r="BV10" t="str">
            <v>MB</v>
          </cell>
          <cell r="BW10">
            <v>1</v>
          </cell>
          <cell r="BX10" t="str">
            <v>F9</v>
          </cell>
          <cell r="BY10">
            <v>4000</v>
          </cell>
          <cell r="CA10" t="str">
            <v>F9</v>
          </cell>
          <cell r="CB10">
            <v>1</v>
          </cell>
          <cell r="CC10" t="str">
            <v>F7</v>
          </cell>
          <cell r="CD10">
            <v>20</v>
          </cell>
          <cell r="CE10" t="str">
            <v>F6</v>
          </cell>
          <cell r="CF10">
            <v>20</v>
          </cell>
          <cell r="CG10" t="str">
            <v>MB</v>
          </cell>
          <cell r="CH10">
            <v>1</v>
          </cell>
          <cell r="CI10" t="str">
            <v>F9</v>
          </cell>
          <cell r="CJ10">
            <v>1</v>
          </cell>
          <cell r="CL10" t="str">
            <v>F9</v>
          </cell>
          <cell r="CM10">
            <v>4000</v>
          </cell>
          <cell r="CN10" t="str">
            <v>F7</v>
          </cell>
          <cell r="CO10">
            <v>20</v>
          </cell>
          <cell r="CP10" t="str">
            <v>F6</v>
          </cell>
          <cell r="CQ10">
            <v>20</v>
          </cell>
          <cell r="CR10" t="str">
            <v>MB</v>
          </cell>
          <cell r="CS10">
            <v>1</v>
          </cell>
          <cell r="CT10" t="str">
            <v>F9</v>
          </cell>
          <cell r="CU10">
            <v>4000</v>
          </cell>
          <cell r="CW10" t="str">
            <v>F9</v>
          </cell>
          <cell r="CX10">
            <v>8000</v>
          </cell>
          <cell r="CY10" t="str">
            <v>F7</v>
          </cell>
          <cell r="CZ10">
            <v>20</v>
          </cell>
          <cell r="DA10" t="str">
            <v>F6</v>
          </cell>
          <cell r="DB10">
            <v>20</v>
          </cell>
          <cell r="DC10" t="str">
            <v>MB</v>
          </cell>
          <cell r="DD10">
            <v>1</v>
          </cell>
          <cell r="DE10" t="str">
            <v>F9</v>
          </cell>
          <cell r="DF10">
            <v>1</v>
          </cell>
          <cell r="DH10" t="str">
            <v>F9</v>
          </cell>
          <cell r="DI10">
            <v>1</v>
          </cell>
          <cell r="DJ10" t="str">
            <v>F7</v>
          </cell>
          <cell r="DK10">
            <v>20</v>
          </cell>
          <cell r="DL10" t="str">
            <v>F6</v>
          </cell>
          <cell r="DM10">
            <v>20</v>
          </cell>
          <cell r="DN10" t="str">
            <v>MB</v>
          </cell>
          <cell r="DO10">
            <v>1</v>
          </cell>
          <cell r="DP10" t="str">
            <v>F9</v>
          </cell>
          <cell r="DQ10">
            <v>1</v>
          </cell>
          <cell r="DS10" t="str">
            <v>F9</v>
          </cell>
          <cell r="DT10">
            <v>1</v>
          </cell>
          <cell r="DU10" t="str">
            <v>F7</v>
          </cell>
          <cell r="DV10">
            <v>20</v>
          </cell>
          <cell r="DW10" t="str">
            <v>F6</v>
          </cell>
          <cell r="DX10">
            <v>20</v>
          </cell>
          <cell r="DY10" t="str">
            <v>MB</v>
          </cell>
          <cell r="DZ10">
            <v>1</v>
          </cell>
          <cell r="EA10" t="str">
            <v>F9</v>
          </cell>
          <cell r="EB10">
            <v>1</v>
          </cell>
          <cell r="ED10" t="str">
            <v>F9</v>
          </cell>
          <cell r="EE10">
            <v>1</v>
          </cell>
          <cell r="EF10" t="str">
            <v>F7</v>
          </cell>
          <cell r="EG10">
            <v>20</v>
          </cell>
          <cell r="EH10" t="str">
            <v>F6</v>
          </cell>
          <cell r="EI10">
            <v>20</v>
          </cell>
          <cell r="EJ10" t="str">
            <v>MB</v>
          </cell>
          <cell r="EK10">
            <v>1</v>
          </cell>
          <cell r="EL10" t="str">
            <v>F9</v>
          </cell>
          <cell r="EM10">
            <v>1</v>
          </cell>
          <cell r="EO10" t="str">
            <v>F9</v>
          </cell>
          <cell r="EP10">
            <v>1</v>
          </cell>
          <cell r="EQ10" t="str">
            <v>F7</v>
          </cell>
          <cell r="ER10">
            <v>20</v>
          </cell>
          <cell r="ES10" t="str">
            <v>F6</v>
          </cell>
          <cell r="ET10">
            <v>20</v>
          </cell>
          <cell r="EU10" t="str">
            <v>MB</v>
          </cell>
          <cell r="EV10">
            <v>4000</v>
          </cell>
          <cell r="EW10" t="str">
            <v>F9</v>
          </cell>
          <cell r="EX10">
            <v>1</v>
          </cell>
          <cell r="EZ10" t="str">
            <v>F9</v>
          </cell>
          <cell r="FA10">
            <v>1</v>
          </cell>
          <cell r="FB10" t="str">
            <v>F7</v>
          </cell>
          <cell r="FC10">
            <v>20</v>
          </cell>
          <cell r="FD10" t="str">
            <v>F6</v>
          </cell>
          <cell r="FE10">
            <v>20</v>
          </cell>
          <cell r="FF10" t="str">
            <v>MB</v>
          </cell>
          <cell r="FG10">
            <v>1</v>
          </cell>
          <cell r="FH10" t="str">
            <v>F9</v>
          </cell>
          <cell r="FI10">
            <v>1</v>
          </cell>
          <cell r="FK10" t="str">
            <v>F9</v>
          </cell>
          <cell r="FL10">
            <v>1</v>
          </cell>
          <cell r="FM10" t="str">
            <v>F7</v>
          </cell>
          <cell r="FN10">
            <v>20</v>
          </cell>
          <cell r="FO10" t="str">
            <v>F6</v>
          </cell>
          <cell r="FP10">
            <v>20</v>
          </cell>
          <cell r="FQ10" t="str">
            <v>MB</v>
          </cell>
          <cell r="FR10">
            <v>1</v>
          </cell>
          <cell r="FS10" t="str">
            <v>F9</v>
          </cell>
          <cell r="FT10">
            <v>1</v>
          </cell>
        </row>
        <row r="11">
          <cell r="B11" t="str">
            <v>M1</v>
          </cell>
          <cell r="C11">
            <v>20</v>
          </cell>
          <cell r="D11" t="str">
            <v>M4</v>
          </cell>
          <cell r="E11">
            <v>20</v>
          </cell>
          <cell r="F11" t="str">
            <v>F7</v>
          </cell>
          <cell r="G11">
            <v>20</v>
          </cell>
          <cell r="H11" t="str">
            <v>M1</v>
          </cell>
          <cell r="I11">
            <v>1</v>
          </cell>
          <cell r="J11" t="str">
            <v>F9</v>
          </cell>
          <cell r="K11">
            <v>20</v>
          </cell>
          <cell r="M11" t="str">
            <v>M1</v>
          </cell>
          <cell r="N11">
            <v>20</v>
          </cell>
          <cell r="O11" t="str">
            <v>M4</v>
          </cell>
          <cell r="P11">
            <v>20</v>
          </cell>
          <cell r="Q11" t="str">
            <v>F7</v>
          </cell>
          <cell r="R11">
            <v>20</v>
          </cell>
          <cell r="S11" t="str">
            <v>M1</v>
          </cell>
          <cell r="T11">
            <v>1</v>
          </cell>
          <cell r="U11" t="str">
            <v>F9</v>
          </cell>
          <cell r="V11">
            <v>20</v>
          </cell>
          <cell r="X11" t="str">
            <v>M1</v>
          </cell>
          <cell r="Y11">
            <v>20</v>
          </cell>
          <cell r="Z11" t="str">
            <v>M4</v>
          </cell>
          <cell r="AA11">
            <v>20</v>
          </cell>
          <cell r="AB11" t="str">
            <v>F7</v>
          </cell>
          <cell r="AC11">
            <v>20</v>
          </cell>
          <cell r="AD11" t="str">
            <v>M1</v>
          </cell>
          <cell r="AE11">
            <v>1</v>
          </cell>
          <cell r="AF11" t="str">
            <v>F9</v>
          </cell>
          <cell r="AG11">
            <v>20</v>
          </cell>
          <cell r="AI11" t="str">
            <v>M1</v>
          </cell>
          <cell r="AJ11">
            <v>20</v>
          </cell>
          <cell r="AK11" t="str">
            <v>M4</v>
          </cell>
          <cell r="AL11">
            <v>20</v>
          </cell>
          <cell r="AM11" t="str">
            <v>F7</v>
          </cell>
          <cell r="AN11">
            <v>20</v>
          </cell>
          <cell r="AO11" t="str">
            <v>M1</v>
          </cell>
          <cell r="AP11">
            <v>1</v>
          </cell>
          <cell r="AQ11" t="str">
            <v>F9</v>
          </cell>
          <cell r="AR11">
            <v>20</v>
          </cell>
          <cell r="AT11" t="str">
            <v>M1</v>
          </cell>
          <cell r="AU11">
            <v>20</v>
          </cell>
          <cell r="AV11" t="str">
            <v>M4</v>
          </cell>
          <cell r="AW11">
            <v>20</v>
          </cell>
          <cell r="AX11" t="str">
            <v>F7</v>
          </cell>
          <cell r="AY11">
            <v>20</v>
          </cell>
          <cell r="AZ11" t="str">
            <v>M1</v>
          </cell>
          <cell r="BA11">
            <v>1</v>
          </cell>
          <cell r="BB11" t="str">
            <v>F9</v>
          </cell>
          <cell r="BC11">
            <v>20</v>
          </cell>
          <cell r="BE11" t="str">
            <v>M1</v>
          </cell>
          <cell r="BF11">
            <v>20</v>
          </cell>
          <cell r="BG11" t="str">
            <v>M4</v>
          </cell>
          <cell r="BH11">
            <v>20</v>
          </cell>
          <cell r="BI11" t="str">
            <v>F7</v>
          </cell>
          <cell r="BJ11">
            <v>20</v>
          </cell>
          <cell r="BK11" t="str">
            <v>M1</v>
          </cell>
          <cell r="BL11">
            <v>1</v>
          </cell>
          <cell r="BM11" t="str">
            <v>F9</v>
          </cell>
          <cell r="BN11">
            <v>20</v>
          </cell>
          <cell r="BP11" t="str">
            <v>M1</v>
          </cell>
          <cell r="BQ11">
            <v>20</v>
          </cell>
          <cell r="BR11" t="str">
            <v>M4</v>
          </cell>
          <cell r="BS11">
            <v>20</v>
          </cell>
          <cell r="BT11" t="str">
            <v>F7</v>
          </cell>
          <cell r="BU11">
            <v>20</v>
          </cell>
          <cell r="BV11" t="str">
            <v>M1</v>
          </cell>
          <cell r="BW11">
            <v>1</v>
          </cell>
          <cell r="BX11" t="str">
            <v>F9</v>
          </cell>
          <cell r="BY11">
            <v>20</v>
          </cell>
          <cell r="CA11" t="str">
            <v>M1</v>
          </cell>
          <cell r="CB11">
            <v>20</v>
          </cell>
          <cell r="CC11" t="str">
            <v>M4</v>
          </cell>
          <cell r="CD11">
            <v>20</v>
          </cell>
          <cell r="CE11" t="str">
            <v>F7</v>
          </cell>
          <cell r="CF11">
            <v>20</v>
          </cell>
          <cell r="CG11" t="str">
            <v>M1</v>
          </cell>
          <cell r="CH11">
            <v>1</v>
          </cell>
          <cell r="CI11" t="str">
            <v>F9</v>
          </cell>
          <cell r="CJ11">
            <v>20</v>
          </cell>
          <cell r="CL11" t="str">
            <v>M1</v>
          </cell>
          <cell r="CM11">
            <v>20</v>
          </cell>
          <cell r="CN11" t="str">
            <v>M4</v>
          </cell>
          <cell r="CO11">
            <v>20</v>
          </cell>
          <cell r="CP11" t="str">
            <v>F7</v>
          </cell>
          <cell r="CQ11">
            <v>20</v>
          </cell>
          <cell r="CR11" t="str">
            <v>M1</v>
          </cell>
          <cell r="CS11">
            <v>1</v>
          </cell>
          <cell r="CT11" t="str">
            <v>F9</v>
          </cell>
          <cell r="CU11">
            <v>20</v>
          </cell>
          <cell r="CW11" t="str">
            <v>M1</v>
          </cell>
          <cell r="CX11">
            <v>20</v>
          </cell>
          <cell r="CY11" t="str">
            <v>M4</v>
          </cell>
          <cell r="CZ11">
            <v>20</v>
          </cell>
          <cell r="DA11" t="str">
            <v>F7</v>
          </cell>
          <cell r="DB11">
            <v>20</v>
          </cell>
          <cell r="DC11" t="str">
            <v>M1</v>
          </cell>
          <cell r="DD11">
            <v>1</v>
          </cell>
          <cell r="DE11" t="str">
            <v>F9</v>
          </cell>
          <cell r="DF11">
            <v>20</v>
          </cell>
          <cell r="DH11" t="str">
            <v>M1</v>
          </cell>
          <cell r="DI11">
            <v>20</v>
          </cell>
          <cell r="DJ11" t="str">
            <v>M4</v>
          </cell>
          <cell r="DK11">
            <v>20</v>
          </cell>
          <cell r="DL11" t="str">
            <v>F7</v>
          </cell>
          <cell r="DM11">
            <v>20</v>
          </cell>
          <cell r="DN11" t="str">
            <v>M1</v>
          </cell>
          <cell r="DO11">
            <v>1</v>
          </cell>
          <cell r="DP11" t="str">
            <v>F9</v>
          </cell>
          <cell r="DQ11">
            <v>20</v>
          </cell>
          <cell r="DS11" t="str">
            <v>M1</v>
          </cell>
          <cell r="DT11">
            <v>20</v>
          </cell>
          <cell r="DU11" t="str">
            <v>M4</v>
          </cell>
          <cell r="DV11">
            <v>20</v>
          </cell>
          <cell r="DW11" t="str">
            <v>F7</v>
          </cell>
          <cell r="DX11">
            <v>20</v>
          </cell>
          <cell r="DY11" t="str">
            <v>M1</v>
          </cell>
          <cell r="DZ11">
            <v>1</v>
          </cell>
          <cell r="EA11" t="str">
            <v>F9</v>
          </cell>
          <cell r="EB11">
            <v>20</v>
          </cell>
          <cell r="ED11" t="str">
            <v>M1</v>
          </cell>
          <cell r="EE11">
            <v>20</v>
          </cell>
          <cell r="EF11" t="str">
            <v>M4</v>
          </cell>
          <cell r="EG11">
            <v>20</v>
          </cell>
          <cell r="EH11" t="str">
            <v>F7</v>
          </cell>
          <cell r="EI11">
            <v>20</v>
          </cell>
          <cell r="EJ11" t="str">
            <v>M1</v>
          </cell>
          <cell r="EK11">
            <v>1</v>
          </cell>
          <cell r="EL11" t="str">
            <v>F9</v>
          </cell>
          <cell r="EM11">
            <v>20</v>
          </cell>
          <cell r="EO11" t="str">
            <v>M1</v>
          </cell>
          <cell r="EP11">
            <v>20</v>
          </cell>
          <cell r="EQ11" t="str">
            <v>M4</v>
          </cell>
          <cell r="ER11">
            <v>20</v>
          </cell>
          <cell r="ES11" t="str">
            <v>F7</v>
          </cell>
          <cell r="ET11">
            <v>20</v>
          </cell>
          <cell r="EU11" t="str">
            <v>M1</v>
          </cell>
          <cell r="EV11">
            <v>1</v>
          </cell>
          <cell r="EW11" t="str">
            <v>F9</v>
          </cell>
          <cell r="EX11">
            <v>20</v>
          </cell>
          <cell r="EZ11" t="str">
            <v>M1</v>
          </cell>
          <cell r="FA11">
            <v>20</v>
          </cell>
          <cell r="FB11" t="str">
            <v>M4</v>
          </cell>
          <cell r="FC11">
            <v>20</v>
          </cell>
          <cell r="FD11" t="str">
            <v>F7</v>
          </cell>
          <cell r="FE11">
            <v>20</v>
          </cell>
          <cell r="FF11" t="str">
            <v>M1</v>
          </cell>
          <cell r="FG11">
            <v>1</v>
          </cell>
          <cell r="FH11" t="str">
            <v>F9</v>
          </cell>
          <cell r="FI11">
            <v>20</v>
          </cell>
          <cell r="FK11" t="str">
            <v>M1</v>
          </cell>
          <cell r="FL11">
            <v>20</v>
          </cell>
          <cell r="FM11" t="str">
            <v>M4</v>
          </cell>
          <cell r="FN11">
            <v>20</v>
          </cell>
          <cell r="FO11" t="str">
            <v>F7</v>
          </cell>
          <cell r="FP11">
            <v>20</v>
          </cell>
          <cell r="FQ11" t="str">
            <v>M1</v>
          </cell>
          <cell r="FR11">
            <v>1</v>
          </cell>
          <cell r="FS11" t="str">
            <v>F9</v>
          </cell>
          <cell r="FT11">
            <v>20</v>
          </cell>
        </row>
        <row r="12">
          <cell r="B12" t="str">
            <v>M1</v>
          </cell>
          <cell r="C12">
            <v>20</v>
          </cell>
          <cell r="D12" t="str">
            <v>F8</v>
          </cell>
          <cell r="E12">
            <v>15</v>
          </cell>
          <cell r="F12" t="str">
            <v>WW</v>
          </cell>
          <cell r="G12">
            <v>20</v>
          </cell>
          <cell r="H12" t="str">
            <v>F8</v>
          </cell>
          <cell r="I12">
            <v>9</v>
          </cell>
          <cell r="J12" t="str">
            <v>F6</v>
          </cell>
          <cell r="K12">
            <v>20</v>
          </cell>
          <cell r="M12" t="str">
            <v>M1</v>
          </cell>
          <cell r="N12">
            <v>20</v>
          </cell>
          <cell r="O12" t="str">
            <v>F8</v>
          </cell>
          <cell r="P12">
            <v>15</v>
          </cell>
          <cell r="Q12" t="str">
            <v>WW</v>
          </cell>
          <cell r="R12">
            <v>20</v>
          </cell>
          <cell r="S12" t="str">
            <v>F8</v>
          </cell>
          <cell r="T12">
            <v>9</v>
          </cell>
          <cell r="U12" t="str">
            <v>F6</v>
          </cell>
          <cell r="V12">
            <v>20</v>
          </cell>
          <cell r="X12" t="str">
            <v>M1</v>
          </cell>
          <cell r="Y12">
            <v>20</v>
          </cell>
          <cell r="Z12" t="str">
            <v>F8</v>
          </cell>
          <cell r="AA12">
            <v>15</v>
          </cell>
          <cell r="AB12" t="str">
            <v>WW</v>
          </cell>
          <cell r="AC12">
            <v>20</v>
          </cell>
          <cell r="AD12" t="str">
            <v>F8</v>
          </cell>
          <cell r="AE12">
            <v>9</v>
          </cell>
          <cell r="AF12" t="str">
            <v>F6</v>
          </cell>
          <cell r="AG12">
            <v>20</v>
          </cell>
          <cell r="AI12" t="str">
            <v>M1</v>
          </cell>
          <cell r="AJ12">
            <v>20</v>
          </cell>
          <cell r="AK12" t="str">
            <v>F8</v>
          </cell>
          <cell r="AL12">
            <v>15</v>
          </cell>
          <cell r="AM12" t="str">
            <v>WW</v>
          </cell>
          <cell r="AN12">
            <v>20</v>
          </cell>
          <cell r="AO12" t="str">
            <v>F8</v>
          </cell>
          <cell r="AP12">
            <v>9</v>
          </cell>
          <cell r="AQ12" t="str">
            <v>F6</v>
          </cell>
          <cell r="AR12">
            <v>20</v>
          </cell>
          <cell r="AT12" t="str">
            <v>M1</v>
          </cell>
          <cell r="AU12">
            <v>20</v>
          </cell>
          <cell r="AV12" t="str">
            <v>F8</v>
          </cell>
          <cell r="AW12">
            <v>15</v>
          </cell>
          <cell r="AX12" t="str">
            <v>WW</v>
          </cell>
          <cell r="AY12">
            <v>20</v>
          </cell>
          <cell r="AZ12" t="str">
            <v>F8</v>
          </cell>
          <cell r="BA12">
            <v>9</v>
          </cell>
          <cell r="BB12" t="str">
            <v>F6</v>
          </cell>
          <cell r="BC12">
            <v>20</v>
          </cell>
          <cell r="BE12" t="str">
            <v>M1</v>
          </cell>
          <cell r="BF12">
            <v>20</v>
          </cell>
          <cell r="BG12" t="str">
            <v>F8</v>
          </cell>
          <cell r="BH12">
            <v>15</v>
          </cell>
          <cell r="BI12" t="str">
            <v>WW</v>
          </cell>
          <cell r="BJ12">
            <v>20</v>
          </cell>
          <cell r="BK12" t="str">
            <v>F8</v>
          </cell>
          <cell r="BL12">
            <v>9</v>
          </cell>
          <cell r="BM12" t="str">
            <v>F6</v>
          </cell>
          <cell r="BN12">
            <v>20</v>
          </cell>
          <cell r="BP12" t="str">
            <v>M1</v>
          </cell>
          <cell r="BQ12">
            <v>20</v>
          </cell>
          <cell r="BR12" t="str">
            <v>F8</v>
          </cell>
          <cell r="BS12">
            <v>15</v>
          </cell>
          <cell r="BT12" t="str">
            <v>WW</v>
          </cell>
          <cell r="BU12">
            <v>20</v>
          </cell>
          <cell r="BV12" t="str">
            <v>F8</v>
          </cell>
          <cell r="BW12">
            <v>9</v>
          </cell>
          <cell r="BX12" t="str">
            <v>F6</v>
          </cell>
          <cell r="BY12">
            <v>20</v>
          </cell>
          <cell r="CA12" t="str">
            <v>M1</v>
          </cell>
          <cell r="CB12">
            <v>20</v>
          </cell>
          <cell r="CC12" t="str">
            <v>F8</v>
          </cell>
          <cell r="CD12">
            <v>15</v>
          </cell>
          <cell r="CE12" t="str">
            <v>WW</v>
          </cell>
          <cell r="CF12">
            <v>20</v>
          </cell>
          <cell r="CG12" t="str">
            <v>F8</v>
          </cell>
          <cell r="CH12">
            <v>9</v>
          </cell>
          <cell r="CI12" t="str">
            <v>F6</v>
          </cell>
          <cell r="CJ12">
            <v>20</v>
          </cell>
          <cell r="CL12" t="str">
            <v>M1</v>
          </cell>
          <cell r="CM12">
            <v>20</v>
          </cell>
          <cell r="CN12" t="str">
            <v>F8</v>
          </cell>
          <cell r="CO12">
            <v>15</v>
          </cell>
          <cell r="CP12" t="str">
            <v>WW</v>
          </cell>
          <cell r="CQ12">
            <v>20</v>
          </cell>
          <cell r="CR12" t="str">
            <v>F8</v>
          </cell>
          <cell r="CS12">
            <v>9</v>
          </cell>
          <cell r="CT12" t="str">
            <v>F6</v>
          </cell>
          <cell r="CU12">
            <v>20</v>
          </cell>
          <cell r="CW12" t="str">
            <v>M1</v>
          </cell>
          <cell r="CX12">
            <v>20</v>
          </cell>
          <cell r="CY12" t="str">
            <v>F8</v>
          </cell>
          <cell r="CZ12">
            <v>15</v>
          </cell>
          <cell r="DA12" t="str">
            <v>WW</v>
          </cell>
          <cell r="DB12">
            <v>20</v>
          </cell>
          <cell r="DC12" t="str">
            <v>F8</v>
          </cell>
          <cell r="DD12">
            <v>9</v>
          </cell>
          <cell r="DE12" t="str">
            <v>F6</v>
          </cell>
          <cell r="DF12">
            <v>20</v>
          </cell>
          <cell r="DH12" t="str">
            <v>M1</v>
          </cell>
          <cell r="DI12">
            <v>20</v>
          </cell>
          <cell r="DJ12" t="str">
            <v>F8</v>
          </cell>
          <cell r="DK12">
            <v>15</v>
          </cell>
          <cell r="DL12" t="str">
            <v>WW</v>
          </cell>
          <cell r="DM12">
            <v>20</v>
          </cell>
          <cell r="DN12" t="str">
            <v>F8</v>
          </cell>
          <cell r="DO12">
            <v>9</v>
          </cell>
          <cell r="DP12" t="str">
            <v>F6</v>
          </cell>
          <cell r="DQ12">
            <v>20</v>
          </cell>
          <cell r="DS12" t="str">
            <v>M1</v>
          </cell>
          <cell r="DT12">
            <v>20</v>
          </cell>
          <cell r="DU12" t="str">
            <v>F8</v>
          </cell>
          <cell r="DV12">
            <v>15</v>
          </cell>
          <cell r="DW12" t="str">
            <v>WW</v>
          </cell>
          <cell r="DX12">
            <v>20</v>
          </cell>
          <cell r="DY12" t="str">
            <v>F8</v>
          </cell>
          <cell r="DZ12">
            <v>9</v>
          </cell>
          <cell r="EA12" t="str">
            <v>F6</v>
          </cell>
          <cell r="EB12">
            <v>20</v>
          </cell>
          <cell r="ED12" t="str">
            <v>M1</v>
          </cell>
          <cell r="EE12">
            <v>20</v>
          </cell>
          <cell r="EF12" t="str">
            <v>F8</v>
          </cell>
          <cell r="EG12">
            <v>15</v>
          </cell>
          <cell r="EH12" t="str">
            <v>WW</v>
          </cell>
          <cell r="EI12">
            <v>20</v>
          </cell>
          <cell r="EJ12" t="str">
            <v>F8</v>
          </cell>
          <cell r="EK12">
            <v>9</v>
          </cell>
          <cell r="EL12" t="str">
            <v>F6</v>
          </cell>
          <cell r="EM12">
            <v>20</v>
          </cell>
          <cell r="EO12" t="str">
            <v>M1</v>
          </cell>
          <cell r="EP12">
            <v>20</v>
          </cell>
          <cell r="EQ12" t="str">
            <v>F8</v>
          </cell>
          <cell r="ER12">
            <v>15</v>
          </cell>
          <cell r="ES12" t="str">
            <v>WW</v>
          </cell>
          <cell r="ET12">
            <v>20</v>
          </cell>
          <cell r="EU12" t="str">
            <v>F8</v>
          </cell>
          <cell r="EV12">
            <v>9</v>
          </cell>
          <cell r="EW12" t="str">
            <v>F6</v>
          </cell>
          <cell r="EX12">
            <v>20</v>
          </cell>
          <cell r="EZ12" t="str">
            <v>M1</v>
          </cell>
          <cell r="FA12">
            <v>20</v>
          </cell>
          <cell r="FB12" t="str">
            <v>F8</v>
          </cell>
          <cell r="FC12">
            <v>15</v>
          </cell>
          <cell r="FD12" t="str">
            <v>WW</v>
          </cell>
          <cell r="FE12">
            <v>20</v>
          </cell>
          <cell r="FF12" t="str">
            <v>F8</v>
          </cell>
          <cell r="FG12">
            <v>9</v>
          </cell>
          <cell r="FH12" t="str">
            <v>F6</v>
          </cell>
          <cell r="FI12">
            <v>20</v>
          </cell>
          <cell r="FK12" t="str">
            <v>M1</v>
          </cell>
          <cell r="FL12">
            <v>20</v>
          </cell>
          <cell r="FM12" t="str">
            <v>F8</v>
          </cell>
          <cell r="FN12">
            <v>15</v>
          </cell>
          <cell r="FO12" t="str">
            <v>WW</v>
          </cell>
          <cell r="FP12">
            <v>20</v>
          </cell>
          <cell r="FQ12" t="str">
            <v>F8</v>
          </cell>
          <cell r="FR12">
            <v>9</v>
          </cell>
          <cell r="FS12" t="str">
            <v>F6</v>
          </cell>
          <cell r="FT12">
            <v>20</v>
          </cell>
        </row>
        <row r="13">
          <cell r="B13" t="str">
            <v>F6</v>
          </cell>
          <cell r="C13">
            <v>20</v>
          </cell>
          <cell r="D13" t="str">
            <v>BN</v>
          </cell>
          <cell r="E13">
            <v>15</v>
          </cell>
          <cell r="F13" t="str">
            <v>WW</v>
          </cell>
          <cell r="G13">
            <v>20</v>
          </cell>
          <cell r="H13" t="str">
            <v>BN</v>
          </cell>
          <cell r="I13">
            <v>9</v>
          </cell>
          <cell r="J13" t="str">
            <v>M4</v>
          </cell>
          <cell r="K13">
            <v>20</v>
          </cell>
          <cell r="M13" t="str">
            <v>F6</v>
          </cell>
          <cell r="N13">
            <v>20</v>
          </cell>
          <cell r="O13" t="str">
            <v>BN</v>
          </cell>
          <cell r="P13">
            <v>15</v>
          </cell>
          <cell r="Q13" t="str">
            <v>WW</v>
          </cell>
          <cell r="R13">
            <v>20</v>
          </cell>
          <cell r="S13" t="str">
            <v>BN</v>
          </cell>
          <cell r="T13">
            <v>9</v>
          </cell>
          <cell r="U13" t="str">
            <v>M4</v>
          </cell>
          <cell r="V13">
            <v>20</v>
          </cell>
          <cell r="X13" t="str">
            <v>F6</v>
          </cell>
          <cell r="Y13">
            <v>20</v>
          </cell>
          <cell r="Z13" t="str">
            <v>BN</v>
          </cell>
          <cell r="AA13">
            <v>15</v>
          </cell>
          <cell r="AB13" t="str">
            <v>WW</v>
          </cell>
          <cell r="AC13">
            <v>20</v>
          </cell>
          <cell r="AD13" t="str">
            <v>BN</v>
          </cell>
          <cell r="AE13">
            <v>9</v>
          </cell>
          <cell r="AF13" t="str">
            <v>M4</v>
          </cell>
          <cell r="AG13">
            <v>20</v>
          </cell>
          <cell r="AI13" t="str">
            <v>F6</v>
          </cell>
          <cell r="AJ13">
            <v>20</v>
          </cell>
          <cell r="AK13" t="str">
            <v>BN</v>
          </cell>
          <cell r="AL13">
            <v>15</v>
          </cell>
          <cell r="AM13" t="str">
            <v>WW</v>
          </cell>
          <cell r="AN13">
            <v>20</v>
          </cell>
          <cell r="AO13" t="str">
            <v>BN</v>
          </cell>
          <cell r="AP13">
            <v>9</v>
          </cell>
          <cell r="AQ13" t="str">
            <v>M4</v>
          </cell>
          <cell r="AR13">
            <v>20</v>
          </cell>
          <cell r="AT13" t="str">
            <v>F6</v>
          </cell>
          <cell r="AU13">
            <v>20</v>
          </cell>
          <cell r="AV13" t="str">
            <v>BN</v>
          </cell>
          <cell r="AW13">
            <v>15</v>
          </cell>
          <cell r="AX13" t="str">
            <v>WW</v>
          </cell>
          <cell r="AY13">
            <v>20</v>
          </cell>
          <cell r="AZ13" t="str">
            <v>BN</v>
          </cell>
          <cell r="BA13">
            <v>9</v>
          </cell>
          <cell r="BB13" t="str">
            <v>M4</v>
          </cell>
          <cell r="BC13">
            <v>20</v>
          </cell>
          <cell r="BE13" t="str">
            <v>F6</v>
          </cell>
          <cell r="BF13">
            <v>20</v>
          </cell>
          <cell r="BG13" t="str">
            <v>BN</v>
          </cell>
          <cell r="BH13">
            <v>15</v>
          </cell>
          <cell r="BI13" t="str">
            <v>WW</v>
          </cell>
          <cell r="BJ13">
            <v>20</v>
          </cell>
          <cell r="BK13" t="str">
            <v>BN</v>
          </cell>
          <cell r="BL13">
            <v>9</v>
          </cell>
          <cell r="BM13" t="str">
            <v>M4</v>
          </cell>
          <cell r="BN13">
            <v>20</v>
          </cell>
          <cell r="BP13" t="str">
            <v>F6</v>
          </cell>
          <cell r="BQ13">
            <v>20</v>
          </cell>
          <cell r="BR13" t="str">
            <v>BN</v>
          </cell>
          <cell r="BS13">
            <v>15</v>
          </cell>
          <cell r="BT13" t="str">
            <v>WW</v>
          </cell>
          <cell r="BU13">
            <v>20</v>
          </cell>
          <cell r="BV13" t="str">
            <v>BN</v>
          </cell>
          <cell r="BW13">
            <v>9</v>
          </cell>
          <cell r="BX13" t="str">
            <v>M4</v>
          </cell>
          <cell r="BY13">
            <v>20</v>
          </cell>
          <cell r="CA13" t="str">
            <v>F6</v>
          </cell>
          <cell r="CB13">
            <v>20</v>
          </cell>
          <cell r="CC13" t="str">
            <v>BN</v>
          </cell>
          <cell r="CD13">
            <v>15</v>
          </cell>
          <cell r="CE13" t="str">
            <v>WW</v>
          </cell>
          <cell r="CF13">
            <v>20</v>
          </cell>
          <cell r="CG13" t="str">
            <v>BN</v>
          </cell>
          <cell r="CH13">
            <v>9</v>
          </cell>
          <cell r="CI13" t="str">
            <v>M4</v>
          </cell>
          <cell r="CJ13">
            <v>20</v>
          </cell>
          <cell r="CL13" t="str">
            <v>F6</v>
          </cell>
          <cell r="CM13">
            <v>20</v>
          </cell>
          <cell r="CN13" t="str">
            <v>BN</v>
          </cell>
          <cell r="CO13">
            <v>15</v>
          </cell>
          <cell r="CP13" t="str">
            <v>WW</v>
          </cell>
          <cell r="CQ13">
            <v>20</v>
          </cell>
          <cell r="CR13" t="str">
            <v>BN</v>
          </cell>
          <cell r="CS13">
            <v>9</v>
          </cell>
          <cell r="CT13" t="str">
            <v>M4</v>
          </cell>
          <cell r="CU13">
            <v>20</v>
          </cell>
          <cell r="CW13" t="str">
            <v>F6</v>
          </cell>
          <cell r="CX13">
            <v>20</v>
          </cell>
          <cell r="CY13" t="str">
            <v>BN</v>
          </cell>
          <cell r="CZ13">
            <v>15</v>
          </cell>
          <cell r="DA13" t="str">
            <v>WW</v>
          </cell>
          <cell r="DB13">
            <v>20</v>
          </cell>
          <cell r="DC13" t="str">
            <v>BN</v>
          </cell>
          <cell r="DD13">
            <v>9</v>
          </cell>
          <cell r="DE13" t="str">
            <v>M4</v>
          </cell>
          <cell r="DF13">
            <v>20</v>
          </cell>
          <cell r="DH13" t="str">
            <v>F6</v>
          </cell>
          <cell r="DI13">
            <v>20</v>
          </cell>
          <cell r="DJ13" t="str">
            <v>BN</v>
          </cell>
          <cell r="DK13">
            <v>15</v>
          </cell>
          <cell r="DL13" t="str">
            <v>WW</v>
          </cell>
          <cell r="DM13">
            <v>20</v>
          </cell>
          <cell r="DN13" t="str">
            <v>BN</v>
          </cell>
          <cell r="DO13">
            <v>9</v>
          </cell>
          <cell r="DP13" t="str">
            <v>M4</v>
          </cell>
          <cell r="DQ13">
            <v>20</v>
          </cell>
          <cell r="DS13" t="str">
            <v>F6</v>
          </cell>
          <cell r="DT13">
            <v>20</v>
          </cell>
          <cell r="DU13" t="str">
            <v>BN</v>
          </cell>
          <cell r="DV13">
            <v>15</v>
          </cell>
          <cell r="DW13" t="str">
            <v>WW</v>
          </cell>
          <cell r="DX13">
            <v>20</v>
          </cell>
          <cell r="DY13" t="str">
            <v>BN</v>
          </cell>
          <cell r="DZ13">
            <v>9</v>
          </cell>
          <cell r="EA13" t="str">
            <v>M4</v>
          </cell>
          <cell r="EB13">
            <v>20</v>
          </cell>
          <cell r="ED13" t="str">
            <v>F6</v>
          </cell>
          <cell r="EE13">
            <v>20</v>
          </cell>
          <cell r="EF13" t="str">
            <v>BN</v>
          </cell>
          <cell r="EG13">
            <v>15</v>
          </cell>
          <cell r="EH13" t="str">
            <v>WW</v>
          </cell>
          <cell r="EI13">
            <v>20</v>
          </cell>
          <cell r="EJ13" t="str">
            <v>BN</v>
          </cell>
          <cell r="EK13">
            <v>9</v>
          </cell>
          <cell r="EL13" t="str">
            <v>M4</v>
          </cell>
          <cell r="EM13">
            <v>20</v>
          </cell>
          <cell r="EO13" t="str">
            <v>F6</v>
          </cell>
          <cell r="EP13">
            <v>20</v>
          </cell>
          <cell r="EQ13" t="str">
            <v>BN</v>
          </cell>
          <cell r="ER13">
            <v>15</v>
          </cell>
          <cell r="ES13" t="str">
            <v>WW</v>
          </cell>
          <cell r="ET13">
            <v>20</v>
          </cell>
          <cell r="EU13" t="str">
            <v>BN</v>
          </cell>
          <cell r="EV13">
            <v>9</v>
          </cell>
          <cell r="EW13" t="str">
            <v>M4</v>
          </cell>
          <cell r="EX13">
            <v>20</v>
          </cell>
          <cell r="EZ13" t="str">
            <v>F6</v>
          </cell>
          <cell r="FA13">
            <v>20</v>
          </cell>
          <cell r="FB13" t="str">
            <v>BN</v>
          </cell>
          <cell r="FC13">
            <v>15</v>
          </cell>
          <cell r="FD13" t="str">
            <v>WW</v>
          </cell>
          <cell r="FE13">
            <v>20</v>
          </cell>
          <cell r="FF13" t="str">
            <v>BN</v>
          </cell>
          <cell r="FG13">
            <v>9</v>
          </cell>
          <cell r="FH13" t="str">
            <v>M4</v>
          </cell>
          <cell r="FI13">
            <v>20</v>
          </cell>
          <cell r="FK13" t="str">
            <v>F6</v>
          </cell>
          <cell r="FL13">
            <v>20</v>
          </cell>
          <cell r="FM13" t="str">
            <v>BN</v>
          </cell>
          <cell r="FN13">
            <v>15</v>
          </cell>
          <cell r="FO13" t="str">
            <v>WW</v>
          </cell>
          <cell r="FP13">
            <v>20</v>
          </cell>
          <cell r="FQ13" t="str">
            <v>BN</v>
          </cell>
          <cell r="FR13">
            <v>9</v>
          </cell>
          <cell r="FS13" t="str">
            <v>M4</v>
          </cell>
          <cell r="FT13">
            <v>20</v>
          </cell>
        </row>
        <row r="14">
          <cell r="B14" t="str">
            <v>F6</v>
          </cell>
          <cell r="C14">
            <v>20</v>
          </cell>
          <cell r="D14" t="str">
            <v>F7</v>
          </cell>
          <cell r="E14">
            <v>15</v>
          </cell>
          <cell r="F14" t="str">
            <v>WW</v>
          </cell>
          <cell r="G14">
            <v>20</v>
          </cell>
          <cell r="H14" t="str">
            <v>F7</v>
          </cell>
          <cell r="I14">
            <v>9</v>
          </cell>
          <cell r="J14" t="str">
            <v>F7</v>
          </cell>
          <cell r="K14">
            <v>1</v>
          </cell>
          <cell r="M14" t="str">
            <v>F6</v>
          </cell>
          <cell r="N14">
            <v>20</v>
          </cell>
          <cell r="O14" t="str">
            <v>F7</v>
          </cell>
          <cell r="P14">
            <v>15</v>
          </cell>
          <cell r="Q14" t="str">
            <v>WW</v>
          </cell>
          <cell r="R14">
            <v>20</v>
          </cell>
          <cell r="S14" t="str">
            <v>F7</v>
          </cell>
          <cell r="T14">
            <v>9</v>
          </cell>
          <cell r="U14" t="str">
            <v>F7</v>
          </cell>
          <cell r="V14">
            <v>1</v>
          </cell>
          <cell r="X14" t="str">
            <v>F6</v>
          </cell>
          <cell r="Y14">
            <v>20</v>
          </cell>
          <cell r="Z14" t="str">
            <v>F7</v>
          </cell>
          <cell r="AA14">
            <v>15</v>
          </cell>
          <cell r="AB14" t="str">
            <v>WW</v>
          </cell>
          <cell r="AC14">
            <v>20</v>
          </cell>
          <cell r="AD14" t="str">
            <v>F7</v>
          </cell>
          <cell r="AE14">
            <v>9</v>
          </cell>
          <cell r="AF14" t="str">
            <v>F7</v>
          </cell>
          <cell r="AG14">
            <v>1</v>
          </cell>
          <cell r="AI14" t="str">
            <v>F6</v>
          </cell>
          <cell r="AJ14">
            <v>20</v>
          </cell>
          <cell r="AK14" t="str">
            <v>F7</v>
          </cell>
          <cell r="AL14">
            <v>15</v>
          </cell>
          <cell r="AM14" t="str">
            <v>WW</v>
          </cell>
          <cell r="AN14">
            <v>20</v>
          </cell>
          <cell r="AO14" t="str">
            <v>F7</v>
          </cell>
          <cell r="AP14">
            <v>9</v>
          </cell>
          <cell r="AQ14" t="str">
            <v>F7</v>
          </cell>
          <cell r="AR14">
            <v>1</v>
          </cell>
          <cell r="AT14" t="str">
            <v>F6</v>
          </cell>
          <cell r="AU14">
            <v>20</v>
          </cell>
          <cell r="AV14" t="str">
            <v>F7</v>
          </cell>
          <cell r="AW14">
            <v>15</v>
          </cell>
          <cell r="AX14" t="str">
            <v>WW</v>
          </cell>
          <cell r="AY14">
            <v>20</v>
          </cell>
          <cell r="AZ14" t="str">
            <v>F7</v>
          </cell>
          <cell r="BA14">
            <v>9</v>
          </cell>
          <cell r="BB14" t="str">
            <v>F7</v>
          </cell>
          <cell r="BC14">
            <v>1</v>
          </cell>
          <cell r="BE14" t="str">
            <v>F6</v>
          </cell>
          <cell r="BF14">
            <v>20</v>
          </cell>
          <cell r="BG14" t="str">
            <v>F7</v>
          </cell>
          <cell r="BH14">
            <v>15</v>
          </cell>
          <cell r="BI14" t="str">
            <v>WW</v>
          </cell>
          <cell r="BJ14">
            <v>20</v>
          </cell>
          <cell r="BK14" t="str">
            <v>F7</v>
          </cell>
          <cell r="BL14">
            <v>9</v>
          </cell>
          <cell r="BM14" t="str">
            <v>F7</v>
          </cell>
          <cell r="BN14">
            <v>1</v>
          </cell>
          <cell r="BP14" t="str">
            <v>F6</v>
          </cell>
          <cell r="BQ14">
            <v>20</v>
          </cell>
          <cell r="BR14" t="str">
            <v>F7</v>
          </cell>
          <cell r="BS14">
            <v>15</v>
          </cell>
          <cell r="BT14" t="str">
            <v>WW</v>
          </cell>
          <cell r="BU14">
            <v>20</v>
          </cell>
          <cell r="BV14" t="str">
            <v>F7</v>
          </cell>
          <cell r="BW14">
            <v>9</v>
          </cell>
          <cell r="BX14" t="str">
            <v>F7</v>
          </cell>
          <cell r="BY14">
            <v>1</v>
          </cell>
          <cell r="CA14" t="str">
            <v>F6</v>
          </cell>
          <cell r="CB14">
            <v>20</v>
          </cell>
          <cell r="CC14" t="str">
            <v>F7</v>
          </cell>
          <cell r="CD14">
            <v>15</v>
          </cell>
          <cell r="CE14" t="str">
            <v>WW</v>
          </cell>
          <cell r="CF14">
            <v>20</v>
          </cell>
          <cell r="CG14" t="str">
            <v>F7</v>
          </cell>
          <cell r="CH14">
            <v>9</v>
          </cell>
          <cell r="CI14" t="str">
            <v>F7</v>
          </cell>
          <cell r="CJ14">
            <v>1</v>
          </cell>
          <cell r="CL14" t="str">
            <v>F6</v>
          </cell>
          <cell r="CM14">
            <v>20</v>
          </cell>
          <cell r="CN14" t="str">
            <v>F7</v>
          </cell>
          <cell r="CO14">
            <v>15</v>
          </cell>
          <cell r="CP14" t="str">
            <v>WW</v>
          </cell>
          <cell r="CQ14">
            <v>20</v>
          </cell>
          <cell r="CR14" t="str">
            <v>F7</v>
          </cell>
          <cell r="CS14">
            <v>9</v>
          </cell>
          <cell r="CT14" t="str">
            <v>F7</v>
          </cell>
          <cell r="CU14">
            <v>1</v>
          </cell>
          <cell r="CW14" t="str">
            <v>F6</v>
          </cell>
          <cell r="CX14">
            <v>20</v>
          </cell>
          <cell r="CY14" t="str">
            <v>F7</v>
          </cell>
          <cell r="CZ14">
            <v>15</v>
          </cell>
          <cell r="DA14" t="str">
            <v>WW</v>
          </cell>
          <cell r="DB14">
            <v>20</v>
          </cell>
          <cell r="DC14" t="str">
            <v>F7</v>
          </cell>
          <cell r="DD14">
            <v>9</v>
          </cell>
          <cell r="DE14" t="str">
            <v>F7</v>
          </cell>
          <cell r="DF14">
            <v>1</v>
          </cell>
          <cell r="DH14" t="str">
            <v>F6</v>
          </cell>
          <cell r="DI14">
            <v>20</v>
          </cell>
          <cell r="DJ14" t="str">
            <v>F7</v>
          </cell>
          <cell r="DK14">
            <v>15</v>
          </cell>
          <cell r="DL14" t="str">
            <v>WW</v>
          </cell>
          <cell r="DM14">
            <v>20</v>
          </cell>
          <cell r="DN14" t="str">
            <v>F7</v>
          </cell>
          <cell r="DO14">
            <v>9</v>
          </cell>
          <cell r="DP14" t="str">
            <v>F7</v>
          </cell>
          <cell r="DQ14">
            <v>1</v>
          </cell>
          <cell r="DS14" t="str">
            <v>F6</v>
          </cell>
          <cell r="DT14">
            <v>20</v>
          </cell>
          <cell r="DU14" t="str">
            <v>F7</v>
          </cell>
          <cell r="DV14">
            <v>15</v>
          </cell>
          <cell r="DW14" t="str">
            <v>WW</v>
          </cell>
          <cell r="DX14">
            <v>20</v>
          </cell>
          <cell r="DY14" t="str">
            <v>F7</v>
          </cell>
          <cell r="DZ14">
            <v>9</v>
          </cell>
          <cell r="EA14" t="str">
            <v>F7</v>
          </cell>
          <cell r="EB14">
            <v>1</v>
          </cell>
          <cell r="ED14" t="str">
            <v>F6</v>
          </cell>
          <cell r="EE14">
            <v>20</v>
          </cell>
          <cell r="EF14" t="str">
            <v>F7</v>
          </cell>
          <cell r="EG14">
            <v>15</v>
          </cell>
          <cell r="EH14" t="str">
            <v>WW</v>
          </cell>
          <cell r="EI14">
            <v>20</v>
          </cell>
          <cell r="EJ14" t="str">
            <v>F7</v>
          </cell>
          <cell r="EK14">
            <v>9</v>
          </cell>
          <cell r="EL14" t="str">
            <v>F7</v>
          </cell>
          <cell r="EM14">
            <v>1</v>
          </cell>
          <cell r="EO14" t="str">
            <v>F6</v>
          </cell>
          <cell r="EP14">
            <v>20</v>
          </cell>
          <cell r="EQ14" t="str">
            <v>F7</v>
          </cell>
          <cell r="ER14">
            <v>15</v>
          </cell>
          <cell r="ES14" t="str">
            <v>WW</v>
          </cell>
          <cell r="ET14">
            <v>20</v>
          </cell>
          <cell r="EU14" t="str">
            <v>F7</v>
          </cell>
          <cell r="EV14">
            <v>9</v>
          </cell>
          <cell r="EW14" t="str">
            <v>F7</v>
          </cell>
          <cell r="EX14">
            <v>1</v>
          </cell>
          <cell r="EZ14" t="str">
            <v>F6</v>
          </cell>
          <cell r="FA14">
            <v>20</v>
          </cell>
          <cell r="FB14" t="str">
            <v>F7</v>
          </cell>
          <cell r="FC14">
            <v>15</v>
          </cell>
          <cell r="FD14" t="str">
            <v>WW</v>
          </cell>
          <cell r="FE14">
            <v>20</v>
          </cell>
          <cell r="FF14" t="str">
            <v>F7</v>
          </cell>
          <cell r="FG14">
            <v>9</v>
          </cell>
          <cell r="FH14" t="str">
            <v>F7</v>
          </cell>
          <cell r="FI14">
            <v>1</v>
          </cell>
          <cell r="FK14" t="str">
            <v>F6</v>
          </cell>
          <cell r="FL14">
            <v>20</v>
          </cell>
          <cell r="FM14" t="str">
            <v>F7</v>
          </cell>
          <cell r="FN14">
            <v>15</v>
          </cell>
          <cell r="FO14" t="str">
            <v>WW</v>
          </cell>
          <cell r="FP14">
            <v>20</v>
          </cell>
          <cell r="FQ14" t="str">
            <v>F7</v>
          </cell>
          <cell r="FR14">
            <v>9</v>
          </cell>
          <cell r="FS14" t="str">
            <v>F7</v>
          </cell>
          <cell r="FT14">
            <v>1</v>
          </cell>
        </row>
        <row r="15">
          <cell r="B15" t="str">
            <v>M2</v>
          </cell>
          <cell r="C15">
            <v>20</v>
          </cell>
          <cell r="D15" t="str">
            <v>F9</v>
          </cell>
          <cell r="E15">
            <v>20</v>
          </cell>
          <cell r="F15" t="str">
            <v>F8</v>
          </cell>
          <cell r="G15">
            <v>20</v>
          </cell>
          <cell r="H15" t="str">
            <v>F8</v>
          </cell>
          <cell r="I15">
            <v>20</v>
          </cell>
          <cell r="J15" t="str">
            <v>MB</v>
          </cell>
          <cell r="K15">
            <v>1</v>
          </cell>
          <cell r="M15" t="str">
            <v>M2</v>
          </cell>
          <cell r="N15">
            <v>20</v>
          </cell>
          <cell r="O15" t="str">
            <v>F9</v>
          </cell>
          <cell r="P15">
            <v>20</v>
          </cell>
          <cell r="Q15" t="str">
            <v>F8</v>
          </cell>
          <cell r="R15">
            <v>20</v>
          </cell>
          <cell r="S15" t="str">
            <v>F8</v>
          </cell>
          <cell r="T15">
            <v>20</v>
          </cell>
          <cell r="U15" t="str">
            <v>MB</v>
          </cell>
          <cell r="V15">
            <v>1</v>
          </cell>
          <cell r="X15" t="str">
            <v>M2</v>
          </cell>
          <cell r="Y15">
            <v>20</v>
          </cell>
          <cell r="Z15" t="str">
            <v>F9</v>
          </cell>
          <cell r="AA15">
            <v>20</v>
          </cell>
          <cell r="AB15" t="str">
            <v>F8</v>
          </cell>
          <cell r="AC15">
            <v>20</v>
          </cell>
          <cell r="AD15" t="str">
            <v>F8</v>
          </cell>
          <cell r="AE15">
            <v>20</v>
          </cell>
          <cell r="AF15" t="str">
            <v>MB</v>
          </cell>
          <cell r="AG15">
            <v>1</v>
          </cell>
          <cell r="AI15" t="str">
            <v>M2</v>
          </cell>
          <cell r="AJ15">
            <v>20</v>
          </cell>
          <cell r="AK15" t="str">
            <v>F9</v>
          </cell>
          <cell r="AL15">
            <v>20</v>
          </cell>
          <cell r="AM15" t="str">
            <v>F8</v>
          </cell>
          <cell r="AN15">
            <v>20</v>
          </cell>
          <cell r="AO15" t="str">
            <v>F8</v>
          </cell>
          <cell r="AP15">
            <v>20</v>
          </cell>
          <cell r="AQ15" t="str">
            <v>MB</v>
          </cell>
          <cell r="AR15">
            <v>1</v>
          </cell>
          <cell r="AT15" t="str">
            <v>M2</v>
          </cell>
          <cell r="AU15">
            <v>20</v>
          </cell>
          <cell r="AV15" t="str">
            <v>F9</v>
          </cell>
          <cell r="AW15">
            <v>20</v>
          </cell>
          <cell r="AX15" t="str">
            <v>F8</v>
          </cell>
          <cell r="AY15">
            <v>20</v>
          </cell>
          <cell r="AZ15" t="str">
            <v>F8</v>
          </cell>
          <cell r="BA15">
            <v>20</v>
          </cell>
          <cell r="BB15" t="str">
            <v>MB</v>
          </cell>
          <cell r="BC15">
            <v>1</v>
          </cell>
          <cell r="BE15" t="str">
            <v>M2</v>
          </cell>
          <cell r="BF15">
            <v>20</v>
          </cell>
          <cell r="BG15" t="str">
            <v>F9</v>
          </cell>
          <cell r="BH15">
            <v>20</v>
          </cell>
          <cell r="BI15" t="str">
            <v>F8</v>
          </cell>
          <cell r="BJ15">
            <v>20</v>
          </cell>
          <cell r="BK15" t="str">
            <v>F8</v>
          </cell>
          <cell r="BL15">
            <v>20</v>
          </cell>
          <cell r="BM15" t="str">
            <v>MB</v>
          </cell>
          <cell r="BN15">
            <v>1</v>
          </cell>
          <cell r="BP15" t="str">
            <v>M2</v>
          </cell>
          <cell r="BQ15">
            <v>20</v>
          </cell>
          <cell r="BR15" t="str">
            <v>F9</v>
          </cell>
          <cell r="BS15">
            <v>20</v>
          </cell>
          <cell r="BT15" t="str">
            <v>F8</v>
          </cell>
          <cell r="BU15">
            <v>20</v>
          </cell>
          <cell r="BV15" t="str">
            <v>F8</v>
          </cell>
          <cell r="BW15">
            <v>20</v>
          </cell>
          <cell r="BX15" t="str">
            <v>MB</v>
          </cell>
          <cell r="BY15">
            <v>1</v>
          </cell>
          <cell r="CA15" t="str">
            <v>M2</v>
          </cell>
          <cell r="CB15">
            <v>20</v>
          </cell>
          <cell r="CC15" t="str">
            <v>F9</v>
          </cell>
          <cell r="CD15">
            <v>20</v>
          </cell>
          <cell r="CE15" t="str">
            <v>F8</v>
          </cell>
          <cell r="CF15">
            <v>20</v>
          </cell>
          <cell r="CG15" t="str">
            <v>F8</v>
          </cell>
          <cell r="CH15">
            <v>20</v>
          </cell>
          <cell r="CI15" t="str">
            <v>MB</v>
          </cell>
          <cell r="CJ15">
            <v>1</v>
          </cell>
          <cell r="CL15" t="str">
            <v>M2</v>
          </cell>
          <cell r="CM15">
            <v>20</v>
          </cell>
          <cell r="CN15" t="str">
            <v>F9</v>
          </cell>
          <cell r="CO15">
            <v>20</v>
          </cell>
          <cell r="CP15" t="str">
            <v>F8</v>
          </cell>
          <cell r="CQ15">
            <v>20</v>
          </cell>
          <cell r="CR15" t="str">
            <v>F8</v>
          </cell>
          <cell r="CS15">
            <v>20</v>
          </cell>
          <cell r="CT15" t="str">
            <v>MB</v>
          </cell>
          <cell r="CU15">
            <v>1</v>
          </cell>
          <cell r="CW15" t="str">
            <v>M2</v>
          </cell>
          <cell r="CX15">
            <v>20</v>
          </cell>
          <cell r="CY15" t="str">
            <v>F9</v>
          </cell>
          <cell r="CZ15">
            <v>20</v>
          </cell>
          <cell r="DA15" t="str">
            <v>F8</v>
          </cell>
          <cell r="DB15">
            <v>20</v>
          </cell>
          <cell r="DC15" t="str">
            <v>F8</v>
          </cell>
          <cell r="DD15">
            <v>20</v>
          </cell>
          <cell r="DE15" t="str">
            <v>MB</v>
          </cell>
          <cell r="DF15">
            <v>1</v>
          </cell>
          <cell r="DH15" t="str">
            <v>M2</v>
          </cell>
          <cell r="DI15">
            <v>20</v>
          </cell>
          <cell r="DJ15" t="str">
            <v>F9</v>
          </cell>
          <cell r="DK15">
            <v>20</v>
          </cell>
          <cell r="DL15" t="str">
            <v>F8</v>
          </cell>
          <cell r="DM15">
            <v>20</v>
          </cell>
          <cell r="DN15" t="str">
            <v>F8</v>
          </cell>
          <cell r="DO15">
            <v>20</v>
          </cell>
          <cell r="DP15" t="str">
            <v>MB</v>
          </cell>
          <cell r="DQ15">
            <v>1</v>
          </cell>
          <cell r="DS15" t="str">
            <v>M2</v>
          </cell>
          <cell r="DT15">
            <v>20</v>
          </cell>
          <cell r="DU15" t="str">
            <v>F9</v>
          </cell>
          <cell r="DV15">
            <v>20</v>
          </cell>
          <cell r="DW15" t="str">
            <v>F8</v>
          </cell>
          <cell r="DX15">
            <v>20</v>
          </cell>
          <cell r="DY15" t="str">
            <v>F8</v>
          </cell>
          <cell r="DZ15">
            <v>20</v>
          </cell>
          <cell r="EA15" t="str">
            <v>MB</v>
          </cell>
          <cell r="EB15">
            <v>1</v>
          </cell>
          <cell r="ED15" t="str">
            <v>M2</v>
          </cell>
          <cell r="EE15">
            <v>20</v>
          </cell>
          <cell r="EF15" t="str">
            <v>F9</v>
          </cell>
          <cell r="EG15">
            <v>20</v>
          </cell>
          <cell r="EH15" t="str">
            <v>F8</v>
          </cell>
          <cell r="EI15">
            <v>20</v>
          </cell>
          <cell r="EJ15" t="str">
            <v>F8</v>
          </cell>
          <cell r="EK15">
            <v>20</v>
          </cell>
          <cell r="EL15" t="str">
            <v>MB</v>
          </cell>
          <cell r="EM15">
            <v>1</v>
          </cell>
          <cell r="EO15" t="str">
            <v>M2</v>
          </cell>
          <cell r="EP15">
            <v>20</v>
          </cell>
          <cell r="EQ15" t="str">
            <v>F9</v>
          </cell>
          <cell r="ER15">
            <v>20</v>
          </cell>
          <cell r="ES15" t="str">
            <v>F8</v>
          </cell>
          <cell r="ET15">
            <v>20</v>
          </cell>
          <cell r="EU15" t="str">
            <v>F8</v>
          </cell>
          <cell r="EV15">
            <v>20</v>
          </cell>
          <cell r="EW15" t="str">
            <v>MB</v>
          </cell>
          <cell r="EX15">
            <v>1</v>
          </cell>
          <cell r="EZ15" t="str">
            <v>M2</v>
          </cell>
          <cell r="FA15">
            <v>20</v>
          </cell>
          <cell r="FB15" t="str">
            <v>F9</v>
          </cell>
          <cell r="FC15">
            <v>20</v>
          </cell>
          <cell r="FD15" t="str">
            <v>F8</v>
          </cell>
          <cell r="FE15">
            <v>20</v>
          </cell>
          <cell r="FF15" t="str">
            <v>F8</v>
          </cell>
          <cell r="FG15">
            <v>20</v>
          </cell>
          <cell r="FH15" t="str">
            <v>MB</v>
          </cell>
          <cell r="FI15">
            <v>1</v>
          </cell>
          <cell r="FK15" t="str">
            <v>M2</v>
          </cell>
          <cell r="FL15">
            <v>20</v>
          </cell>
          <cell r="FM15" t="str">
            <v>F9</v>
          </cell>
          <cell r="FN15">
            <v>20</v>
          </cell>
          <cell r="FO15" t="str">
            <v>F8</v>
          </cell>
          <cell r="FP15">
            <v>20</v>
          </cell>
          <cell r="FQ15" t="str">
            <v>F8</v>
          </cell>
          <cell r="FR15">
            <v>20</v>
          </cell>
          <cell r="FS15" t="str">
            <v>MB</v>
          </cell>
          <cell r="FT15">
            <v>1</v>
          </cell>
        </row>
        <row r="16">
          <cell r="B16" t="str">
            <v>M2</v>
          </cell>
          <cell r="C16">
            <v>20</v>
          </cell>
          <cell r="D16" t="str">
            <v>WW</v>
          </cell>
          <cell r="E16">
            <v>20</v>
          </cell>
          <cell r="F16" t="str">
            <v>M2</v>
          </cell>
          <cell r="G16">
            <v>20</v>
          </cell>
          <cell r="H16" t="str">
            <v>M4</v>
          </cell>
          <cell r="I16">
            <v>20</v>
          </cell>
          <cell r="J16" t="str">
            <v>MB</v>
          </cell>
          <cell r="K16">
            <v>1</v>
          </cell>
          <cell r="M16" t="str">
            <v>M2</v>
          </cell>
          <cell r="N16">
            <v>20</v>
          </cell>
          <cell r="O16" t="str">
            <v>WW</v>
          </cell>
          <cell r="P16">
            <v>20</v>
          </cell>
          <cell r="Q16" t="str">
            <v>M2</v>
          </cell>
          <cell r="R16">
            <v>20</v>
          </cell>
          <cell r="S16" t="str">
            <v>M4</v>
          </cell>
          <cell r="T16">
            <v>20</v>
          </cell>
          <cell r="U16" t="str">
            <v>MB</v>
          </cell>
          <cell r="V16">
            <v>1</v>
          </cell>
          <cell r="X16" t="str">
            <v>M2</v>
          </cell>
          <cell r="Y16">
            <v>20</v>
          </cell>
          <cell r="Z16" t="str">
            <v>WW</v>
          </cell>
          <cell r="AA16">
            <v>20</v>
          </cell>
          <cell r="AB16" t="str">
            <v>M2</v>
          </cell>
          <cell r="AC16">
            <v>20</v>
          </cell>
          <cell r="AD16" t="str">
            <v>M4</v>
          </cell>
          <cell r="AE16">
            <v>20</v>
          </cell>
          <cell r="AF16" t="str">
            <v>MB</v>
          </cell>
          <cell r="AG16">
            <v>1</v>
          </cell>
          <cell r="AI16" t="str">
            <v>M2</v>
          </cell>
          <cell r="AJ16">
            <v>20</v>
          </cell>
          <cell r="AK16" t="str">
            <v>WW</v>
          </cell>
          <cell r="AL16">
            <v>20</v>
          </cell>
          <cell r="AM16" t="str">
            <v>M2</v>
          </cell>
          <cell r="AN16">
            <v>20</v>
          </cell>
          <cell r="AO16" t="str">
            <v>M4</v>
          </cell>
          <cell r="AP16">
            <v>20</v>
          </cell>
          <cell r="AQ16" t="str">
            <v>MB</v>
          </cell>
          <cell r="AR16">
            <v>1</v>
          </cell>
          <cell r="AT16" t="str">
            <v>M2</v>
          </cell>
          <cell r="AU16">
            <v>20</v>
          </cell>
          <cell r="AV16" t="str">
            <v>WW</v>
          </cell>
          <cell r="AW16">
            <v>20</v>
          </cell>
          <cell r="AX16" t="str">
            <v>M2</v>
          </cell>
          <cell r="AY16">
            <v>20</v>
          </cell>
          <cell r="AZ16" t="str">
            <v>M4</v>
          </cell>
          <cell r="BA16">
            <v>20</v>
          </cell>
          <cell r="BB16" t="str">
            <v>MB</v>
          </cell>
          <cell r="BC16">
            <v>1</v>
          </cell>
          <cell r="BE16" t="str">
            <v>M2</v>
          </cell>
          <cell r="BF16">
            <v>20</v>
          </cell>
          <cell r="BG16" t="str">
            <v>WW</v>
          </cell>
          <cell r="BH16">
            <v>20</v>
          </cell>
          <cell r="BI16" t="str">
            <v>M2</v>
          </cell>
          <cell r="BJ16">
            <v>20</v>
          </cell>
          <cell r="BK16" t="str">
            <v>M4</v>
          </cell>
          <cell r="BL16">
            <v>20</v>
          </cell>
          <cell r="BM16" t="str">
            <v>MB</v>
          </cell>
          <cell r="BN16">
            <v>1</v>
          </cell>
          <cell r="BP16" t="str">
            <v>M2</v>
          </cell>
          <cell r="BQ16">
            <v>20</v>
          </cell>
          <cell r="BR16" t="str">
            <v>WW</v>
          </cell>
          <cell r="BS16">
            <v>20</v>
          </cell>
          <cell r="BT16" t="str">
            <v>M2</v>
          </cell>
          <cell r="BU16">
            <v>20</v>
          </cell>
          <cell r="BV16" t="str">
            <v>M4</v>
          </cell>
          <cell r="BW16">
            <v>20</v>
          </cell>
          <cell r="BX16" t="str">
            <v>MB</v>
          </cell>
          <cell r="BY16">
            <v>1</v>
          </cell>
          <cell r="CA16" t="str">
            <v>M2</v>
          </cell>
          <cell r="CB16">
            <v>20</v>
          </cell>
          <cell r="CC16" t="str">
            <v>WW</v>
          </cell>
          <cell r="CD16">
            <v>20</v>
          </cell>
          <cell r="CE16" t="str">
            <v>M2</v>
          </cell>
          <cell r="CF16">
            <v>20</v>
          </cell>
          <cell r="CG16" t="str">
            <v>M4</v>
          </cell>
          <cell r="CH16">
            <v>20</v>
          </cell>
          <cell r="CI16" t="str">
            <v>MB</v>
          </cell>
          <cell r="CJ16">
            <v>1</v>
          </cell>
          <cell r="CL16" t="str">
            <v>M2</v>
          </cell>
          <cell r="CM16">
            <v>20</v>
          </cell>
          <cell r="CN16" t="str">
            <v>WW</v>
          </cell>
          <cell r="CO16">
            <v>20</v>
          </cell>
          <cell r="CP16" t="str">
            <v>M2</v>
          </cell>
          <cell r="CQ16">
            <v>20</v>
          </cell>
          <cell r="CR16" t="str">
            <v>M4</v>
          </cell>
          <cell r="CS16">
            <v>20</v>
          </cell>
          <cell r="CT16" t="str">
            <v>MB</v>
          </cell>
          <cell r="CU16">
            <v>1</v>
          </cell>
          <cell r="CW16" t="str">
            <v>M2</v>
          </cell>
          <cell r="CX16">
            <v>20</v>
          </cell>
          <cell r="CY16" t="str">
            <v>WW</v>
          </cell>
          <cell r="CZ16">
            <v>20</v>
          </cell>
          <cell r="DA16" t="str">
            <v>M2</v>
          </cell>
          <cell r="DB16">
            <v>20</v>
          </cell>
          <cell r="DC16" t="str">
            <v>M4</v>
          </cell>
          <cell r="DD16">
            <v>20</v>
          </cell>
          <cell r="DE16" t="str">
            <v>MB</v>
          </cell>
          <cell r="DF16">
            <v>1</v>
          </cell>
          <cell r="DH16" t="str">
            <v>M2</v>
          </cell>
          <cell r="DI16">
            <v>20</v>
          </cell>
          <cell r="DJ16" t="str">
            <v>WW</v>
          </cell>
          <cell r="DK16">
            <v>20</v>
          </cell>
          <cell r="DL16" t="str">
            <v>M2</v>
          </cell>
          <cell r="DM16">
            <v>20</v>
          </cell>
          <cell r="DN16" t="str">
            <v>M4</v>
          </cell>
          <cell r="DO16">
            <v>20</v>
          </cell>
          <cell r="DP16" t="str">
            <v>MB</v>
          </cell>
          <cell r="DQ16">
            <v>1</v>
          </cell>
          <cell r="DS16" t="str">
            <v>M2</v>
          </cell>
          <cell r="DT16">
            <v>20</v>
          </cell>
          <cell r="DU16" t="str">
            <v>WW</v>
          </cell>
          <cell r="DV16">
            <v>20</v>
          </cell>
          <cell r="DW16" t="str">
            <v>M2</v>
          </cell>
          <cell r="DX16">
            <v>20</v>
          </cell>
          <cell r="DY16" t="str">
            <v>M4</v>
          </cell>
          <cell r="DZ16">
            <v>20</v>
          </cell>
          <cell r="EA16" t="str">
            <v>MB</v>
          </cell>
          <cell r="EB16">
            <v>1</v>
          </cell>
          <cell r="ED16" t="str">
            <v>M2</v>
          </cell>
          <cell r="EE16">
            <v>20</v>
          </cell>
          <cell r="EF16" t="str">
            <v>WW</v>
          </cell>
          <cell r="EG16">
            <v>20</v>
          </cell>
          <cell r="EH16" t="str">
            <v>M2</v>
          </cell>
          <cell r="EI16">
            <v>20</v>
          </cell>
          <cell r="EJ16" t="str">
            <v>M4</v>
          </cell>
          <cell r="EK16">
            <v>20</v>
          </cell>
          <cell r="EL16" t="str">
            <v>MB</v>
          </cell>
          <cell r="EM16">
            <v>1</v>
          </cell>
          <cell r="EO16" t="str">
            <v>M2</v>
          </cell>
          <cell r="EP16">
            <v>20</v>
          </cell>
          <cell r="EQ16" t="str">
            <v>WW</v>
          </cell>
          <cell r="ER16">
            <v>20</v>
          </cell>
          <cell r="ES16" t="str">
            <v>M2</v>
          </cell>
          <cell r="ET16">
            <v>20</v>
          </cell>
          <cell r="EU16" t="str">
            <v>M4</v>
          </cell>
          <cell r="EV16">
            <v>20</v>
          </cell>
          <cell r="EW16" t="str">
            <v>MB</v>
          </cell>
          <cell r="EX16">
            <v>1</v>
          </cell>
          <cell r="EZ16" t="str">
            <v>M2</v>
          </cell>
          <cell r="FA16">
            <v>20</v>
          </cell>
          <cell r="FB16" t="str">
            <v>WW</v>
          </cell>
          <cell r="FC16">
            <v>20</v>
          </cell>
          <cell r="FD16" t="str">
            <v>M2</v>
          </cell>
          <cell r="FE16">
            <v>20</v>
          </cell>
          <cell r="FF16" t="str">
            <v>M4</v>
          </cell>
          <cell r="FG16">
            <v>20</v>
          </cell>
          <cell r="FH16" t="str">
            <v>MB</v>
          </cell>
          <cell r="FI16">
            <v>1</v>
          </cell>
          <cell r="FK16" t="str">
            <v>M2</v>
          </cell>
          <cell r="FL16">
            <v>20</v>
          </cell>
          <cell r="FM16" t="str">
            <v>WW</v>
          </cell>
          <cell r="FN16">
            <v>20</v>
          </cell>
          <cell r="FO16" t="str">
            <v>M2</v>
          </cell>
          <cell r="FP16">
            <v>20</v>
          </cell>
          <cell r="FQ16" t="str">
            <v>M4</v>
          </cell>
          <cell r="FR16">
            <v>20</v>
          </cell>
          <cell r="FS16" t="str">
            <v>MB</v>
          </cell>
          <cell r="FT16">
            <v>1</v>
          </cell>
        </row>
        <row r="17">
          <cell r="B17" t="str">
            <v>F5</v>
          </cell>
          <cell r="C17">
            <v>20</v>
          </cell>
          <cell r="D17" t="str">
            <v>WW</v>
          </cell>
          <cell r="E17">
            <v>20</v>
          </cell>
          <cell r="F17" t="str">
            <v>F7</v>
          </cell>
          <cell r="G17">
            <v>20</v>
          </cell>
          <cell r="H17" t="str">
            <v>M4</v>
          </cell>
          <cell r="I17">
            <v>1</v>
          </cell>
          <cell r="J17" t="str">
            <v>F7</v>
          </cell>
          <cell r="K17">
            <v>1</v>
          </cell>
          <cell r="M17" t="str">
            <v>F5</v>
          </cell>
          <cell r="N17">
            <v>20</v>
          </cell>
          <cell r="O17" t="str">
            <v>WW</v>
          </cell>
          <cell r="P17">
            <v>20</v>
          </cell>
          <cell r="Q17" t="str">
            <v>F7</v>
          </cell>
          <cell r="R17">
            <v>20</v>
          </cell>
          <cell r="S17" t="str">
            <v>M4</v>
          </cell>
          <cell r="T17">
            <v>1</v>
          </cell>
          <cell r="U17" t="str">
            <v>F7</v>
          </cell>
          <cell r="V17">
            <v>1</v>
          </cell>
          <cell r="X17" t="str">
            <v>F5</v>
          </cell>
          <cell r="Y17">
            <v>20</v>
          </cell>
          <cell r="Z17" t="str">
            <v>WW</v>
          </cell>
          <cell r="AA17">
            <v>20</v>
          </cell>
          <cell r="AB17" t="str">
            <v>F7</v>
          </cell>
          <cell r="AC17">
            <v>20</v>
          </cell>
          <cell r="AD17" t="str">
            <v>M4</v>
          </cell>
          <cell r="AE17">
            <v>1</v>
          </cell>
          <cell r="AF17" t="str">
            <v>F7</v>
          </cell>
          <cell r="AG17">
            <v>1</v>
          </cell>
          <cell r="AI17" t="str">
            <v>F5</v>
          </cell>
          <cell r="AJ17">
            <v>20</v>
          </cell>
          <cell r="AK17" t="str">
            <v>WW</v>
          </cell>
          <cell r="AL17">
            <v>20</v>
          </cell>
          <cell r="AM17" t="str">
            <v>F7</v>
          </cell>
          <cell r="AN17">
            <v>20</v>
          </cell>
          <cell r="AO17" t="str">
            <v>M4</v>
          </cell>
          <cell r="AP17">
            <v>1</v>
          </cell>
          <cell r="AQ17" t="str">
            <v>F7</v>
          </cell>
          <cell r="AR17">
            <v>1</v>
          </cell>
          <cell r="AT17" t="str">
            <v>F5</v>
          </cell>
          <cell r="AU17">
            <v>20</v>
          </cell>
          <cell r="AV17" t="str">
            <v>WW</v>
          </cell>
          <cell r="AW17">
            <v>20</v>
          </cell>
          <cell r="AX17" t="str">
            <v>F7</v>
          </cell>
          <cell r="AY17">
            <v>20</v>
          </cell>
          <cell r="AZ17" t="str">
            <v>M4</v>
          </cell>
          <cell r="BA17">
            <v>1</v>
          </cell>
          <cell r="BB17" t="str">
            <v>F7</v>
          </cell>
          <cell r="BC17">
            <v>1</v>
          </cell>
          <cell r="BE17" t="str">
            <v>F5</v>
          </cell>
          <cell r="BF17">
            <v>20</v>
          </cell>
          <cell r="BG17" t="str">
            <v>WW</v>
          </cell>
          <cell r="BH17">
            <v>20</v>
          </cell>
          <cell r="BI17" t="str">
            <v>F7</v>
          </cell>
          <cell r="BJ17">
            <v>20</v>
          </cell>
          <cell r="BK17" t="str">
            <v>M4</v>
          </cell>
          <cell r="BL17">
            <v>1</v>
          </cell>
          <cell r="BM17" t="str">
            <v>F7</v>
          </cell>
          <cell r="BN17">
            <v>1</v>
          </cell>
          <cell r="BP17" t="str">
            <v>F5</v>
          </cell>
          <cell r="BQ17">
            <v>20</v>
          </cell>
          <cell r="BR17" t="str">
            <v>WW</v>
          </cell>
          <cell r="BS17">
            <v>20</v>
          </cell>
          <cell r="BT17" t="str">
            <v>F7</v>
          </cell>
          <cell r="BU17">
            <v>20</v>
          </cell>
          <cell r="BV17" t="str">
            <v>M4</v>
          </cell>
          <cell r="BW17">
            <v>1</v>
          </cell>
          <cell r="BX17" t="str">
            <v>F7</v>
          </cell>
          <cell r="BY17">
            <v>1</v>
          </cell>
          <cell r="CA17" t="str">
            <v>F5</v>
          </cell>
          <cell r="CB17">
            <v>20</v>
          </cell>
          <cell r="CC17" t="str">
            <v>WW</v>
          </cell>
          <cell r="CD17">
            <v>20</v>
          </cell>
          <cell r="CE17" t="str">
            <v>F7</v>
          </cell>
          <cell r="CF17">
            <v>20</v>
          </cell>
          <cell r="CG17" t="str">
            <v>M4</v>
          </cell>
          <cell r="CH17">
            <v>1</v>
          </cell>
          <cell r="CI17" t="str">
            <v>F7</v>
          </cell>
          <cell r="CJ17">
            <v>1</v>
          </cell>
          <cell r="CL17" t="str">
            <v>F5</v>
          </cell>
          <cell r="CM17">
            <v>20</v>
          </cell>
          <cell r="CN17" t="str">
            <v>WW</v>
          </cell>
          <cell r="CO17">
            <v>20</v>
          </cell>
          <cell r="CP17" t="str">
            <v>F7</v>
          </cell>
          <cell r="CQ17">
            <v>20</v>
          </cell>
          <cell r="CR17" t="str">
            <v>M4</v>
          </cell>
          <cell r="CS17">
            <v>1</v>
          </cell>
          <cell r="CT17" t="str">
            <v>F7</v>
          </cell>
          <cell r="CU17">
            <v>1</v>
          </cell>
          <cell r="CW17" t="str">
            <v>F5</v>
          </cell>
          <cell r="CX17">
            <v>20</v>
          </cell>
          <cell r="CY17" t="str">
            <v>WW</v>
          </cell>
          <cell r="CZ17">
            <v>20</v>
          </cell>
          <cell r="DA17" t="str">
            <v>F7</v>
          </cell>
          <cell r="DB17">
            <v>20</v>
          </cell>
          <cell r="DC17" t="str">
            <v>M4</v>
          </cell>
          <cell r="DD17">
            <v>1</v>
          </cell>
          <cell r="DE17" t="str">
            <v>F7</v>
          </cell>
          <cell r="DF17">
            <v>1</v>
          </cell>
          <cell r="DH17" t="str">
            <v>F5</v>
          </cell>
          <cell r="DI17">
            <v>20</v>
          </cell>
          <cell r="DJ17" t="str">
            <v>WW</v>
          </cell>
          <cell r="DK17">
            <v>20</v>
          </cell>
          <cell r="DL17" t="str">
            <v>F7</v>
          </cell>
          <cell r="DM17">
            <v>20</v>
          </cell>
          <cell r="DN17" t="str">
            <v>M4</v>
          </cell>
          <cell r="DO17">
            <v>1</v>
          </cell>
          <cell r="DP17" t="str">
            <v>F7</v>
          </cell>
          <cell r="DQ17">
            <v>1</v>
          </cell>
          <cell r="DS17" t="str">
            <v>F5</v>
          </cell>
          <cell r="DT17">
            <v>20</v>
          </cell>
          <cell r="DU17" t="str">
            <v>WW</v>
          </cell>
          <cell r="DV17">
            <v>20</v>
          </cell>
          <cell r="DW17" t="str">
            <v>F7</v>
          </cell>
          <cell r="DX17">
            <v>20</v>
          </cell>
          <cell r="DY17" t="str">
            <v>M4</v>
          </cell>
          <cell r="DZ17">
            <v>1</v>
          </cell>
          <cell r="EA17" t="str">
            <v>F7</v>
          </cell>
          <cell r="EB17">
            <v>1</v>
          </cell>
          <cell r="ED17" t="str">
            <v>F5</v>
          </cell>
          <cell r="EE17">
            <v>20</v>
          </cell>
          <cell r="EF17" t="str">
            <v>WW</v>
          </cell>
          <cell r="EG17">
            <v>20</v>
          </cell>
          <cell r="EH17" t="str">
            <v>F7</v>
          </cell>
          <cell r="EI17">
            <v>20</v>
          </cell>
          <cell r="EJ17" t="str">
            <v>M4</v>
          </cell>
          <cell r="EK17">
            <v>1</v>
          </cell>
          <cell r="EL17" t="str">
            <v>F7</v>
          </cell>
          <cell r="EM17">
            <v>1</v>
          </cell>
          <cell r="EO17" t="str">
            <v>F5</v>
          </cell>
          <cell r="EP17">
            <v>20</v>
          </cell>
          <cell r="EQ17" t="str">
            <v>WW</v>
          </cell>
          <cell r="ER17">
            <v>20</v>
          </cell>
          <cell r="ES17" t="str">
            <v>F7</v>
          </cell>
          <cell r="ET17">
            <v>20</v>
          </cell>
          <cell r="EU17" t="str">
            <v>M4</v>
          </cell>
          <cell r="EV17">
            <v>1</v>
          </cell>
          <cell r="EW17" t="str">
            <v>F7</v>
          </cell>
          <cell r="EX17">
            <v>1</v>
          </cell>
          <cell r="EZ17" t="str">
            <v>F5</v>
          </cell>
          <cell r="FA17">
            <v>20</v>
          </cell>
          <cell r="FB17" t="str">
            <v>WW</v>
          </cell>
          <cell r="FC17">
            <v>20</v>
          </cell>
          <cell r="FD17" t="str">
            <v>F7</v>
          </cell>
          <cell r="FE17">
            <v>20</v>
          </cell>
          <cell r="FF17" t="str">
            <v>M4</v>
          </cell>
          <cell r="FG17">
            <v>1</v>
          </cell>
          <cell r="FH17" t="str">
            <v>F7</v>
          </cell>
          <cell r="FI17">
            <v>1</v>
          </cell>
          <cell r="FK17" t="str">
            <v>F5</v>
          </cell>
          <cell r="FL17">
            <v>20</v>
          </cell>
          <cell r="FM17" t="str">
            <v>WW</v>
          </cell>
          <cell r="FN17">
            <v>20</v>
          </cell>
          <cell r="FO17" t="str">
            <v>F7</v>
          </cell>
          <cell r="FP17">
            <v>20</v>
          </cell>
          <cell r="FQ17" t="str">
            <v>M4</v>
          </cell>
          <cell r="FR17">
            <v>1</v>
          </cell>
          <cell r="FS17" t="str">
            <v>F7</v>
          </cell>
          <cell r="FT17">
            <v>1</v>
          </cell>
        </row>
        <row r="18">
          <cell r="B18" t="str">
            <v>F9</v>
          </cell>
          <cell r="C18">
            <v>1</v>
          </cell>
          <cell r="D18" t="str">
            <v>WW</v>
          </cell>
          <cell r="E18">
            <v>20</v>
          </cell>
          <cell r="F18" t="str">
            <v>F6</v>
          </cell>
          <cell r="G18">
            <v>1</v>
          </cell>
          <cell r="H18" t="str">
            <v>MB</v>
          </cell>
          <cell r="I18">
            <v>1</v>
          </cell>
          <cell r="J18" t="str">
            <v>M2</v>
          </cell>
          <cell r="K18">
            <v>20</v>
          </cell>
          <cell r="M18" t="str">
            <v>F9</v>
          </cell>
          <cell r="N18">
            <v>1</v>
          </cell>
          <cell r="O18" t="str">
            <v>WW</v>
          </cell>
          <cell r="P18">
            <v>20</v>
          </cell>
          <cell r="Q18" t="str">
            <v>F6</v>
          </cell>
          <cell r="R18">
            <v>1</v>
          </cell>
          <cell r="S18" t="str">
            <v>MB</v>
          </cell>
          <cell r="T18">
            <v>1</v>
          </cell>
          <cell r="U18" t="str">
            <v>M2</v>
          </cell>
          <cell r="V18">
            <v>20</v>
          </cell>
          <cell r="X18" t="str">
            <v>F9</v>
          </cell>
          <cell r="Y18">
            <v>1</v>
          </cell>
          <cell r="Z18" t="str">
            <v>WW</v>
          </cell>
          <cell r="AA18">
            <v>20</v>
          </cell>
          <cell r="AB18" t="str">
            <v>F6</v>
          </cell>
          <cell r="AC18">
            <v>1</v>
          </cell>
          <cell r="AD18" t="str">
            <v>MB</v>
          </cell>
          <cell r="AE18">
            <v>1</v>
          </cell>
          <cell r="AF18" t="str">
            <v>M2</v>
          </cell>
          <cell r="AG18">
            <v>20</v>
          </cell>
          <cell r="AI18" t="str">
            <v>F9</v>
          </cell>
          <cell r="AJ18">
            <v>1</v>
          </cell>
          <cell r="AK18" t="str">
            <v>WW</v>
          </cell>
          <cell r="AL18">
            <v>20</v>
          </cell>
          <cell r="AM18" t="str">
            <v>F6</v>
          </cell>
          <cell r="AN18">
            <v>1</v>
          </cell>
          <cell r="AO18" t="str">
            <v>MB</v>
          </cell>
          <cell r="AP18">
            <v>1</v>
          </cell>
          <cell r="AQ18" t="str">
            <v>M2</v>
          </cell>
          <cell r="AR18">
            <v>20</v>
          </cell>
          <cell r="AT18" t="str">
            <v>F9</v>
          </cell>
          <cell r="AU18">
            <v>1</v>
          </cell>
          <cell r="AV18" t="str">
            <v>WW</v>
          </cell>
          <cell r="AW18">
            <v>20</v>
          </cell>
          <cell r="AX18" t="str">
            <v>F6</v>
          </cell>
          <cell r="AY18">
            <v>1</v>
          </cell>
          <cell r="AZ18" t="str">
            <v>MB</v>
          </cell>
          <cell r="BA18">
            <v>1</v>
          </cell>
          <cell r="BB18" t="str">
            <v>M2</v>
          </cell>
          <cell r="BC18">
            <v>20</v>
          </cell>
          <cell r="BE18" t="str">
            <v>F9</v>
          </cell>
          <cell r="BF18">
            <v>1</v>
          </cell>
          <cell r="BG18" t="str">
            <v>WW</v>
          </cell>
          <cell r="BH18">
            <v>20</v>
          </cell>
          <cell r="BI18" t="str">
            <v>F6</v>
          </cell>
          <cell r="BJ18">
            <v>1</v>
          </cell>
          <cell r="BK18" t="str">
            <v>MB</v>
          </cell>
          <cell r="BL18">
            <v>1</v>
          </cell>
          <cell r="BM18" t="str">
            <v>M2</v>
          </cell>
          <cell r="BN18">
            <v>20</v>
          </cell>
          <cell r="BP18" t="str">
            <v>F9</v>
          </cell>
          <cell r="BQ18">
            <v>1</v>
          </cell>
          <cell r="BR18" t="str">
            <v>WW</v>
          </cell>
          <cell r="BS18">
            <v>20</v>
          </cell>
          <cell r="BT18" t="str">
            <v>F6</v>
          </cell>
          <cell r="BU18">
            <v>1</v>
          </cell>
          <cell r="BV18" t="str">
            <v>MB</v>
          </cell>
          <cell r="BW18">
            <v>1</v>
          </cell>
          <cell r="BX18" t="str">
            <v>M2</v>
          </cell>
          <cell r="BY18">
            <v>20</v>
          </cell>
          <cell r="CA18" t="str">
            <v>F9</v>
          </cell>
          <cell r="CB18">
            <v>1</v>
          </cell>
          <cell r="CC18" t="str">
            <v>WW</v>
          </cell>
          <cell r="CD18">
            <v>20</v>
          </cell>
          <cell r="CE18" t="str">
            <v>F6</v>
          </cell>
          <cell r="CF18">
            <v>1</v>
          </cell>
          <cell r="CG18" t="str">
            <v>MB</v>
          </cell>
          <cell r="CH18">
            <v>1</v>
          </cell>
          <cell r="CI18" t="str">
            <v>M2</v>
          </cell>
          <cell r="CJ18">
            <v>20</v>
          </cell>
          <cell r="CL18" t="str">
            <v>F9</v>
          </cell>
          <cell r="CM18">
            <v>1</v>
          </cell>
          <cell r="CN18" t="str">
            <v>WW</v>
          </cell>
          <cell r="CO18">
            <v>20</v>
          </cell>
          <cell r="CP18" t="str">
            <v>F6</v>
          </cell>
          <cell r="CQ18">
            <v>1</v>
          </cell>
          <cell r="CR18" t="str">
            <v>MB</v>
          </cell>
          <cell r="CS18">
            <v>1</v>
          </cell>
          <cell r="CT18" t="str">
            <v>M2</v>
          </cell>
          <cell r="CU18">
            <v>20</v>
          </cell>
          <cell r="CW18" t="str">
            <v>F9</v>
          </cell>
          <cell r="CX18">
            <v>1</v>
          </cell>
          <cell r="CY18" t="str">
            <v>WW</v>
          </cell>
          <cell r="CZ18">
            <v>20</v>
          </cell>
          <cell r="DA18" t="str">
            <v>F6</v>
          </cell>
          <cell r="DB18">
            <v>1</v>
          </cell>
          <cell r="DC18" t="str">
            <v>MB</v>
          </cell>
          <cell r="DD18">
            <v>1</v>
          </cell>
          <cell r="DE18" t="str">
            <v>M2</v>
          </cell>
          <cell r="DF18">
            <v>20</v>
          </cell>
          <cell r="DH18" t="str">
            <v>F9</v>
          </cell>
          <cell r="DI18">
            <v>1</v>
          </cell>
          <cell r="DJ18" t="str">
            <v>WW</v>
          </cell>
          <cell r="DK18">
            <v>20</v>
          </cell>
          <cell r="DL18" t="str">
            <v>F6</v>
          </cell>
          <cell r="DM18">
            <v>1</v>
          </cell>
          <cell r="DN18" t="str">
            <v>MB</v>
          </cell>
          <cell r="DO18">
            <v>1</v>
          </cell>
          <cell r="DP18" t="str">
            <v>M2</v>
          </cell>
          <cell r="DQ18">
            <v>20</v>
          </cell>
          <cell r="DS18" t="str">
            <v>F9</v>
          </cell>
          <cell r="DT18">
            <v>1</v>
          </cell>
          <cell r="DU18" t="str">
            <v>WW</v>
          </cell>
          <cell r="DV18">
            <v>20</v>
          </cell>
          <cell r="DW18" t="str">
            <v>F6</v>
          </cell>
          <cell r="DX18">
            <v>1</v>
          </cell>
          <cell r="DY18" t="str">
            <v>MB</v>
          </cell>
          <cell r="DZ18">
            <v>1</v>
          </cell>
          <cell r="EA18" t="str">
            <v>M2</v>
          </cell>
          <cell r="EB18">
            <v>20</v>
          </cell>
          <cell r="ED18" t="str">
            <v>F9</v>
          </cell>
          <cell r="EE18">
            <v>1</v>
          </cell>
          <cell r="EF18" t="str">
            <v>WW</v>
          </cell>
          <cell r="EG18">
            <v>20</v>
          </cell>
          <cell r="EH18" t="str">
            <v>F6</v>
          </cell>
          <cell r="EI18">
            <v>1</v>
          </cell>
          <cell r="EJ18" t="str">
            <v>MB</v>
          </cell>
          <cell r="EK18">
            <v>1</v>
          </cell>
          <cell r="EL18" t="str">
            <v>M2</v>
          </cell>
          <cell r="EM18">
            <v>20</v>
          </cell>
          <cell r="EO18" t="str">
            <v>F9</v>
          </cell>
          <cell r="EP18">
            <v>1</v>
          </cell>
          <cell r="EQ18" t="str">
            <v>WW</v>
          </cell>
          <cell r="ER18">
            <v>20</v>
          </cell>
          <cell r="ES18" t="str">
            <v>F6</v>
          </cell>
          <cell r="ET18">
            <v>1</v>
          </cell>
          <cell r="EU18" t="str">
            <v>MB</v>
          </cell>
          <cell r="EV18">
            <v>1</v>
          </cell>
          <cell r="EW18" t="str">
            <v>M2</v>
          </cell>
          <cell r="EX18">
            <v>20</v>
          </cell>
          <cell r="EZ18" t="str">
            <v>F9</v>
          </cell>
          <cell r="FA18">
            <v>1</v>
          </cell>
          <cell r="FB18" t="str">
            <v>WW</v>
          </cell>
          <cell r="FC18">
            <v>20</v>
          </cell>
          <cell r="FD18" t="str">
            <v>F6</v>
          </cell>
          <cell r="FE18">
            <v>1</v>
          </cell>
          <cell r="FF18" t="str">
            <v>MB</v>
          </cell>
          <cell r="FG18">
            <v>1</v>
          </cell>
          <cell r="FH18" t="str">
            <v>M2</v>
          </cell>
          <cell r="FI18">
            <v>20</v>
          </cell>
          <cell r="FK18" t="str">
            <v>F9</v>
          </cell>
          <cell r="FL18">
            <v>1</v>
          </cell>
          <cell r="FM18" t="str">
            <v>WW</v>
          </cell>
          <cell r="FN18">
            <v>20</v>
          </cell>
          <cell r="FO18" t="str">
            <v>F6</v>
          </cell>
          <cell r="FP18">
            <v>1</v>
          </cell>
          <cell r="FQ18" t="str">
            <v>MB</v>
          </cell>
          <cell r="FR18">
            <v>1</v>
          </cell>
          <cell r="FS18" t="str">
            <v>M2</v>
          </cell>
          <cell r="FT18">
            <v>20</v>
          </cell>
        </row>
        <row r="19">
          <cell r="B19" t="str">
            <v>MB</v>
          </cell>
          <cell r="C19">
            <v>1</v>
          </cell>
          <cell r="D19" t="str">
            <v>F5</v>
          </cell>
          <cell r="E19">
            <v>20</v>
          </cell>
          <cell r="F19" t="str">
            <v>MB</v>
          </cell>
          <cell r="G19">
            <v>1</v>
          </cell>
          <cell r="H19" t="str">
            <v>MB</v>
          </cell>
          <cell r="I19">
            <v>1</v>
          </cell>
          <cell r="J19" t="str">
            <v>F6</v>
          </cell>
          <cell r="K19">
            <v>20</v>
          </cell>
          <cell r="M19" t="str">
            <v>MB</v>
          </cell>
          <cell r="N19">
            <v>1</v>
          </cell>
          <cell r="O19" t="str">
            <v>F5</v>
          </cell>
          <cell r="P19">
            <v>20</v>
          </cell>
          <cell r="Q19" t="str">
            <v>MB</v>
          </cell>
          <cell r="R19">
            <v>1</v>
          </cell>
          <cell r="S19" t="str">
            <v>MB</v>
          </cell>
          <cell r="T19">
            <v>1</v>
          </cell>
          <cell r="U19" t="str">
            <v>F6</v>
          </cell>
          <cell r="V19">
            <v>20</v>
          </cell>
          <cell r="X19" t="str">
            <v>MB</v>
          </cell>
          <cell r="Y19">
            <v>1</v>
          </cell>
          <cell r="Z19" t="str">
            <v>F5</v>
          </cell>
          <cell r="AA19">
            <v>20</v>
          </cell>
          <cell r="AB19" t="str">
            <v>MB</v>
          </cell>
          <cell r="AC19">
            <v>1</v>
          </cell>
          <cell r="AD19" t="str">
            <v>MB</v>
          </cell>
          <cell r="AE19">
            <v>1</v>
          </cell>
          <cell r="AF19" t="str">
            <v>F6</v>
          </cell>
          <cell r="AG19">
            <v>20</v>
          </cell>
          <cell r="AI19" t="str">
            <v>MB</v>
          </cell>
          <cell r="AJ19">
            <v>1</v>
          </cell>
          <cell r="AK19" t="str">
            <v>F5</v>
          </cell>
          <cell r="AL19">
            <v>20</v>
          </cell>
          <cell r="AM19" t="str">
            <v>MB</v>
          </cell>
          <cell r="AN19">
            <v>1</v>
          </cell>
          <cell r="AO19" t="str">
            <v>MB</v>
          </cell>
          <cell r="AP19">
            <v>1</v>
          </cell>
          <cell r="AQ19" t="str">
            <v>F6</v>
          </cell>
          <cell r="AR19">
            <v>20</v>
          </cell>
          <cell r="AT19" t="str">
            <v>MB</v>
          </cell>
          <cell r="AU19">
            <v>1</v>
          </cell>
          <cell r="AV19" t="str">
            <v>F5</v>
          </cell>
          <cell r="AW19">
            <v>20</v>
          </cell>
          <cell r="AX19" t="str">
            <v>MB</v>
          </cell>
          <cell r="AY19">
            <v>1</v>
          </cell>
          <cell r="AZ19" t="str">
            <v>MB</v>
          </cell>
          <cell r="BA19">
            <v>1</v>
          </cell>
          <cell r="BB19" t="str">
            <v>F6</v>
          </cell>
          <cell r="BC19">
            <v>20</v>
          </cell>
          <cell r="BE19" t="str">
            <v>MB</v>
          </cell>
          <cell r="BF19">
            <v>1</v>
          </cell>
          <cell r="BG19" t="str">
            <v>F5</v>
          </cell>
          <cell r="BH19">
            <v>20</v>
          </cell>
          <cell r="BI19" t="str">
            <v>MB</v>
          </cell>
          <cell r="BJ19">
            <v>4000</v>
          </cell>
          <cell r="BK19" t="str">
            <v>MB</v>
          </cell>
          <cell r="BL19">
            <v>1</v>
          </cell>
          <cell r="BM19" t="str">
            <v>F6</v>
          </cell>
          <cell r="BN19">
            <v>20</v>
          </cell>
          <cell r="BP19" t="str">
            <v>MB</v>
          </cell>
          <cell r="BQ19">
            <v>4000</v>
          </cell>
          <cell r="BR19" t="str">
            <v>F5</v>
          </cell>
          <cell r="BS19">
            <v>20</v>
          </cell>
          <cell r="BT19" t="str">
            <v>MB</v>
          </cell>
          <cell r="BU19">
            <v>1</v>
          </cell>
          <cell r="BV19" t="str">
            <v>MB</v>
          </cell>
          <cell r="BW19">
            <v>4000</v>
          </cell>
          <cell r="BX19" t="str">
            <v>F6</v>
          </cell>
          <cell r="BY19">
            <v>20</v>
          </cell>
          <cell r="CA19" t="str">
            <v>MB</v>
          </cell>
          <cell r="CB19">
            <v>1</v>
          </cell>
          <cell r="CC19" t="str">
            <v>F5</v>
          </cell>
          <cell r="CD19">
            <v>20</v>
          </cell>
          <cell r="CE19" t="str">
            <v>MB</v>
          </cell>
          <cell r="CF19">
            <v>1</v>
          </cell>
          <cell r="CG19" t="str">
            <v>MB</v>
          </cell>
          <cell r="CH19">
            <v>1</v>
          </cell>
          <cell r="CI19" t="str">
            <v>F6</v>
          </cell>
          <cell r="CJ19">
            <v>20</v>
          </cell>
          <cell r="CL19" t="str">
            <v>MB</v>
          </cell>
          <cell r="CM19">
            <v>1</v>
          </cell>
          <cell r="CN19" t="str">
            <v>F5</v>
          </cell>
          <cell r="CO19">
            <v>20</v>
          </cell>
          <cell r="CP19" t="str">
            <v>MB</v>
          </cell>
          <cell r="CQ19">
            <v>1</v>
          </cell>
          <cell r="CR19" t="str">
            <v>MB</v>
          </cell>
          <cell r="CS19">
            <v>4000</v>
          </cell>
          <cell r="CT19" t="str">
            <v>F6</v>
          </cell>
          <cell r="CU19">
            <v>20</v>
          </cell>
          <cell r="CW19" t="str">
            <v>MB</v>
          </cell>
          <cell r="CX19">
            <v>1</v>
          </cell>
          <cell r="CY19" t="str">
            <v>F5</v>
          </cell>
          <cell r="CZ19">
            <v>20</v>
          </cell>
          <cell r="DA19" t="str">
            <v>MB</v>
          </cell>
          <cell r="DB19">
            <v>8000</v>
          </cell>
          <cell r="DC19" t="str">
            <v>MB</v>
          </cell>
          <cell r="DD19">
            <v>8000</v>
          </cell>
          <cell r="DE19" t="str">
            <v>F6</v>
          </cell>
          <cell r="DF19">
            <v>20</v>
          </cell>
          <cell r="DH19" t="str">
            <v>MB</v>
          </cell>
          <cell r="DI19">
            <v>2000</v>
          </cell>
          <cell r="DJ19" t="str">
            <v>F5</v>
          </cell>
          <cell r="DK19">
            <v>20</v>
          </cell>
          <cell r="DL19" t="str">
            <v>MB</v>
          </cell>
          <cell r="DM19">
            <v>2000</v>
          </cell>
          <cell r="DN19" t="str">
            <v>MB</v>
          </cell>
          <cell r="DO19">
            <v>2000</v>
          </cell>
          <cell r="DP19" t="str">
            <v>F6</v>
          </cell>
          <cell r="DQ19">
            <v>20</v>
          </cell>
          <cell r="DS19" t="str">
            <v>MB</v>
          </cell>
          <cell r="DT19">
            <v>1</v>
          </cell>
          <cell r="DU19" t="str">
            <v>F5</v>
          </cell>
          <cell r="DV19">
            <v>20</v>
          </cell>
          <cell r="DW19" t="str">
            <v>MB</v>
          </cell>
          <cell r="DX19">
            <v>8000</v>
          </cell>
          <cell r="DY19" t="str">
            <v>MB</v>
          </cell>
          <cell r="DZ19">
            <v>8000</v>
          </cell>
          <cell r="EA19" t="str">
            <v>F6</v>
          </cell>
          <cell r="EB19">
            <v>20</v>
          </cell>
          <cell r="ED19" t="str">
            <v>MB</v>
          </cell>
          <cell r="EE19">
            <v>1</v>
          </cell>
          <cell r="EF19" t="str">
            <v>F5</v>
          </cell>
          <cell r="EG19">
            <v>20</v>
          </cell>
          <cell r="EH19" t="str">
            <v>MB</v>
          </cell>
          <cell r="EI19">
            <v>4000</v>
          </cell>
          <cell r="EJ19" t="str">
            <v>MB</v>
          </cell>
          <cell r="EK19">
            <v>4000</v>
          </cell>
          <cell r="EL19" t="str">
            <v>F6</v>
          </cell>
          <cell r="EM19">
            <v>20</v>
          </cell>
          <cell r="EO19" t="str">
            <v>MB</v>
          </cell>
          <cell r="EP19">
            <v>1</v>
          </cell>
          <cell r="EQ19" t="str">
            <v>F5</v>
          </cell>
          <cell r="ER19">
            <v>20</v>
          </cell>
          <cell r="ES19" t="str">
            <v>MB</v>
          </cell>
          <cell r="ET19">
            <v>1</v>
          </cell>
          <cell r="EU19" t="str">
            <v>MB</v>
          </cell>
          <cell r="EV19">
            <v>1</v>
          </cell>
          <cell r="EW19" t="str">
            <v>F6</v>
          </cell>
          <cell r="EX19">
            <v>20</v>
          </cell>
          <cell r="EZ19" t="str">
            <v>MB</v>
          </cell>
          <cell r="FA19">
            <v>10000</v>
          </cell>
          <cell r="FB19" t="str">
            <v>F5</v>
          </cell>
          <cell r="FC19">
            <v>20</v>
          </cell>
          <cell r="FD19" t="str">
            <v>MB</v>
          </cell>
          <cell r="FE19">
            <v>1</v>
          </cell>
          <cell r="FF19" t="str">
            <v>MB</v>
          </cell>
          <cell r="FG19">
            <v>10000</v>
          </cell>
          <cell r="FH19" t="str">
            <v>F6</v>
          </cell>
          <cell r="FI19">
            <v>20</v>
          </cell>
          <cell r="FK19" t="str">
            <v>MB</v>
          </cell>
          <cell r="FL19">
            <v>1</v>
          </cell>
          <cell r="FM19" t="str">
            <v>F5</v>
          </cell>
          <cell r="FN19">
            <v>20</v>
          </cell>
          <cell r="FO19" t="str">
            <v>MB</v>
          </cell>
          <cell r="FP19">
            <v>1</v>
          </cell>
          <cell r="FQ19" t="str">
            <v>MB</v>
          </cell>
          <cell r="FR19">
            <v>100000000</v>
          </cell>
          <cell r="FS19" t="str">
            <v>F6</v>
          </cell>
          <cell r="FT19">
            <v>20</v>
          </cell>
        </row>
        <row r="20">
          <cell r="B20" t="str">
            <v>MB</v>
          </cell>
          <cell r="C20">
            <v>1</v>
          </cell>
          <cell r="D20" t="str">
            <v>F7</v>
          </cell>
          <cell r="E20">
            <v>1</v>
          </cell>
          <cell r="F20" t="str">
            <v>MB</v>
          </cell>
          <cell r="G20">
            <v>1</v>
          </cell>
          <cell r="H20" t="str">
            <v>MB</v>
          </cell>
          <cell r="I20">
            <v>1</v>
          </cell>
          <cell r="J20" t="str">
            <v>M1</v>
          </cell>
          <cell r="K20">
            <v>20</v>
          </cell>
          <cell r="M20" t="str">
            <v>MB</v>
          </cell>
          <cell r="N20">
            <v>1</v>
          </cell>
          <cell r="O20" t="str">
            <v>F7</v>
          </cell>
          <cell r="P20">
            <v>1</v>
          </cell>
          <cell r="Q20" t="str">
            <v>MB</v>
          </cell>
          <cell r="R20">
            <v>1</v>
          </cell>
          <cell r="S20" t="str">
            <v>MB</v>
          </cell>
          <cell r="T20">
            <v>1</v>
          </cell>
          <cell r="U20" t="str">
            <v>M1</v>
          </cell>
          <cell r="V20">
            <v>20</v>
          </cell>
          <cell r="X20" t="str">
            <v>MB</v>
          </cell>
          <cell r="Y20">
            <v>1</v>
          </cell>
          <cell r="Z20" t="str">
            <v>F7</v>
          </cell>
          <cell r="AA20">
            <v>2000</v>
          </cell>
          <cell r="AB20" t="str">
            <v>MB</v>
          </cell>
          <cell r="AC20">
            <v>1</v>
          </cell>
          <cell r="AD20" t="str">
            <v>MB</v>
          </cell>
          <cell r="AE20">
            <v>1</v>
          </cell>
          <cell r="AF20" t="str">
            <v>M1</v>
          </cell>
          <cell r="AG20">
            <v>20</v>
          </cell>
          <cell r="AI20" t="str">
            <v>MB</v>
          </cell>
          <cell r="AJ20">
            <v>1</v>
          </cell>
          <cell r="AK20" t="str">
            <v>F7</v>
          </cell>
          <cell r="AL20">
            <v>4000</v>
          </cell>
          <cell r="AM20" t="str">
            <v>MB</v>
          </cell>
          <cell r="AN20">
            <v>1</v>
          </cell>
          <cell r="AO20" t="str">
            <v>MB</v>
          </cell>
          <cell r="AP20">
            <v>1</v>
          </cell>
          <cell r="AQ20" t="str">
            <v>M1</v>
          </cell>
          <cell r="AR20">
            <v>20</v>
          </cell>
          <cell r="AT20" t="str">
            <v>MB</v>
          </cell>
          <cell r="AU20">
            <v>1</v>
          </cell>
          <cell r="AV20" t="str">
            <v>F7</v>
          </cell>
          <cell r="AW20">
            <v>5000</v>
          </cell>
          <cell r="AX20" t="str">
            <v>MB</v>
          </cell>
          <cell r="AY20">
            <v>1</v>
          </cell>
          <cell r="AZ20" t="str">
            <v>MB</v>
          </cell>
          <cell r="BA20">
            <v>1</v>
          </cell>
          <cell r="BB20" t="str">
            <v>M1</v>
          </cell>
          <cell r="BC20">
            <v>20</v>
          </cell>
          <cell r="BE20" t="str">
            <v>MB</v>
          </cell>
          <cell r="BF20">
            <v>1</v>
          </cell>
          <cell r="BG20" t="str">
            <v>F7</v>
          </cell>
          <cell r="BH20">
            <v>4000</v>
          </cell>
          <cell r="BI20" t="str">
            <v>MB</v>
          </cell>
          <cell r="BJ20">
            <v>4000</v>
          </cell>
          <cell r="BK20" t="str">
            <v>MB</v>
          </cell>
          <cell r="BL20">
            <v>1</v>
          </cell>
          <cell r="BM20" t="str">
            <v>M1</v>
          </cell>
          <cell r="BN20">
            <v>20</v>
          </cell>
          <cell r="BP20" t="str">
            <v>MB</v>
          </cell>
          <cell r="BQ20">
            <v>4000</v>
          </cell>
          <cell r="BR20" t="str">
            <v>F7</v>
          </cell>
          <cell r="BS20">
            <v>1</v>
          </cell>
          <cell r="BT20" t="str">
            <v>MB</v>
          </cell>
          <cell r="BU20">
            <v>1</v>
          </cell>
          <cell r="BV20" t="str">
            <v>MB</v>
          </cell>
          <cell r="BW20">
            <v>1</v>
          </cell>
          <cell r="BX20" t="str">
            <v>M1</v>
          </cell>
          <cell r="BY20">
            <v>20</v>
          </cell>
          <cell r="CA20" t="str">
            <v>MB</v>
          </cell>
          <cell r="CB20">
            <v>1</v>
          </cell>
          <cell r="CC20" t="str">
            <v>F7</v>
          </cell>
          <cell r="CD20">
            <v>4000</v>
          </cell>
          <cell r="CE20" t="str">
            <v>MB</v>
          </cell>
          <cell r="CF20">
            <v>1</v>
          </cell>
          <cell r="CG20" t="str">
            <v>MB</v>
          </cell>
          <cell r="CH20">
            <v>1</v>
          </cell>
          <cell r="CI20" t="str">
            <v>M1</v>
          </cell>
          <cell r="CJ20">
            <v>20</v>
          </cell>
          <cell r="CL20" t="str">
            <v>MB</v>
          </cell>
          <cell r="CM20">
            <v>1</v>
          </cell>
          <cell r="CN20" t="str">
            <v>F7</v>
          </cell>
          <cell r="CO20">
            <v>1</v>
          </cell>
          <cell r="CP20" t="str">
            <v>MB</v>
          </cell>
          <cell r="CQ20">
            <v>1</v>
          </cell>
          <cell r="CR20" t="str">
            <v>MB</v>
          </cell>
          <cell r="CS20">
            <v>1</v>
          </cell>
          <cell r="CT20" t="str">
            <v>M1</v>
          </cell>
          <cell r="CU20">
            <v>20</v>
          </cell>
          <cell r="CW20" t="str">
            <v>MB</v>
          </cell>
          <cell r="CX20">
            <v>1</v>
          </cell>
          <cell r="CY20" t="str">
            <v>F7</v>
          </cell>
          <cell r="CZ20">
            <v>1</v>
          </cell>
          <cell r="DA20" t="str">
            <v>MB</v>
          </cell>
          <cell r="DB20">
            <v>8000</v>
          </cell>
          <cell r="DC20" t="str">
            <v>MB</v>
          </cell>
          <cell r="DD20">
            <v>1</v>
          </cell>
          <cell r="DE20" t="str">
            <v>M1</v>
          </cell>
          <cell r="DF20">
            <v>20</v>
          </cell>
          <cell r="DH20" t="str">
            <v>MB</v>
          </cell>
          <cell r="DI20">
            <v>2000</v>
          </cell>
          <cell r="DJ20" t="str">
            <v>F7</v>
          </cell>
          <cell r="DK20">
            <v>1</v>
          </cell>
          <cell r="DL20" t="str">
            <v>MB</v>
          </cell>
          <cell r="DM20">
            <v>2000</v>
          </cell>
          <cell r="DN20" t="str">
            <v>MB</v>
          </cell>
          <cell r="DO20">
            <v>1</v>
          </cell>
          <cell r="DP20" t="str">
            <v>M1</v>
          </cell>
          <cell r="DQ20">
            <v>20</v>
          </cell>
          <cell r="DS20" t="str">
            <v>MB</v>
          </cell>
          <cell r="DT20">
            <v>1</v>
          </cell>
          <cell r="DU20" t="str">
            <v>F7</v>
          </cell>
          <cell r="DV20">
            <v>1</v>
          </cell>
          <cell r="DW20" t="str">
            <v>MB</v>
          </cell>
          <cell r="DX20">
            <v>8000</v>
          </cell>
          <cell r="DY20" t="str">
            <v>MB</v>
          </cell>
          <cell r="DZ20">
            <v>1</v>
          </cell>
          <cell r="EA20" t="str">
            <v>M1</v>
          </cell>
          <cell r="EB20">
            <v>20</v>
          </cell>
          <cell r="ED20" t="str">
            <v>MB</v>
          </cell>
          <cell r="EE20">
            <v>1</v>
          </cell>
          <cell r="EF20" t="str">
            <v>F7</v>
          </cell>
          <cell r="EG20">
            <v>4000</v>
          </cell>
          <cell r="EH20" t="str">
            <v>MB</v>
          </cell>
          <cell r="EI20">
            <v>4000</v>
          </cell>
          <cell r="EJ20" t="str">
            <v>MB</v>
          </cell>
          <cell r="EK20">
            <v>1</v>
          </cell>
          <cell r="EL20" t="str">
            <v>M1</v>
          </cell>
          <cell r="EM20">
            <v>20</v>
          </cell>
          <cell r="EO20" t="str">
            <v>MB</v>
          </cell>
          <cell r="EP20">
            <v>1</v>
          </cell>
          <cell r="EQ20" t="str">
            <v>F7</v>
          </cell>
          <cell r="ER20">
            <v>1</v>
          </cell>
          <cell r="ES20" t="str">
            <v>MB</v>
          </cell>
          <cell r="ET20">
            <v>1</v>
          </cell>
          <cell r="EU20" t="str">
            <v>MB</v>
          </cell>
          <cell r="EV20">
            <v>1</v>
          </cell>
          <cell r="EW20" t="str">
            <v>M1</v>
          </cell>
          <cell r="EX20">
            <v>20</v>
          </cell>
          <cell r="EZ20" t="str">
            <v>MB</v>
          </cell>
          <cell r="FA20">
            <v>10000</v>
          </cell>
          <cell r="FB20" t="str">
            <v>F7</v>
          </cell>
          <cell r="FC20">
            <v>1</v>
          </cell>
          <cell r="FD20" t="str">
            <v>MB</v>
          </cell>
          <cell r="FE20">
            <v>1</v>
          </cell>
          <cell r="FF20" t="str">
            <v>MB</v>
          </cell>
          <cell r="FG20">
            <v>1</v>
          </cell>
          <cell r="FH20" t="str">
            <v>M1</v>
          </cell>
          <cell r="FI20">
            <v>20</v>
          </cell>
          <cell r="FK20" t="str">
            <v>MB</v>
          </cell>
          <cell r="FL20">
            <v>1</v>
          </cell>
          <cell r="FM20" t="str">
            <v>F7</v>
          </cell>
          <cell r="FN20">
            <v>1</v>
          </cell>
          <cell r="FO20" t="str">
            <v>MB</v>
          </cell>
          <cell r="FP20">
            <v>1</v>
          </cell>
          <cell r="FQ20" t="str">
            <v>MB</v>
          </cell>
          <cell r="FR20">
            <v>1</v>
          </cell>
          <cell r="FS20" t="str">
            <v>M1</v>
          </cell>
          <cell r="FT20">
            <v>20</v>
          </cell>
        </row>
        <row r="21">
          <cell r="B21" t="str">
            <v>F7</v>
          </cell>
          <cell r="C21">
            <v>1</v>
          </cell>
          <cell r="D21" t="str">
            <v>MB</v>
          </cell>
          <cell r="E21">
            <v>1</v>
          </cell>
          <cell r="F21" t="str">
            <v>F8</v>
          </cell>
          <cell r="G21">
            <v>1</v>
          </cell>
          <cell r="H21" t="str">
            <v>M2</v>
          </cell>
          <cell r="I21">
            <v>1</v>
          </cell>
          <cell r="J21" t="str">
            <v>F7</v>
          </cell>
          <cell r="K21">
            <v>20</v>
          </cell>
          <cell r="M21" t="str">
            <v>F7</v>
          </cell>
          <cell r="N21">
            <v>1</v>
          </cell>
          <cell r="O21" t="str">
            <v>MB</v>
          </cell>
          <cell r="P21">
            <v>1</v>
          </cell>
          <cell r="Q21" t="str">
            <v>F8</v>
          </cell>
          <cell r="R21">
            <v>1</v>
          </cell>
          <cell r="S21" t="str">
            <v>M2</v>
          </cell>
          <cell r="T21">
            <v>1</v>
          </cell>
          <cell r="U21" t="str">
            <v>F7</v>
          </cell>
          <cell r="V21">
            <v>20</v>
          </cell>
          <cell r="X21" t="str">
            <v>F7</v>
          </cell>
          <cell r="Y21">
            <v>1</v>
          </cell>
          <cell r="Z21" t="str">
            <v>MB</v>
          </cell>
          <cell r="AA21">
            <v>2000</v>
          </cell>
          <cell r="AB21" t="str">
            <v>F8</v>
          </cell>
          <cell r="AC21">
            <v>1</v>
          </cell>
          <cell r="AD21" t="str">
            <v>M2</v>
          </cell>
          <cell r="AE21">
            <v>1</v>
          </cell>
          <cell r="AF21" t="str">
            <v>F7</v>
          </cell>
          <cell r="AG21">
            <v>20</v>
          </cell>
          <cell r="AI21" t="str">
            <v>F7</v>
          </cell>
          <cell r="AJ21">
            <v>1</v>
          </cell>
          <cell r="AK21" t="str">
            <v>MB</v>
          </cell>
          <cell r="AL21">
            <v>4000</v>
          </cell>
          <cell r="AM21" t="str">
            <v>F8</v>
          </cell>
          <cell r="AN21">
            <v>1</v>
          </cell>
          <cell r="AO21" t="str">
            <v>M2</v>
          </cell>
          <cell r="AP21">
            <v>1</v>
          </cell>
          <cell r="AQ21" t="str">
            <v>F7</v>
          </cell>
          <cell r="AR21">
            <v>20</v>
          </cell>
          <cell r="AT21" t="str">
            <v>F7</v>
          </cell>
          <cell r="AU21">
            <v>1</v>
          </cell>
          <cell r="AV21" t="str">
            <v>MB</v>
          </cell>
          <cell r="AW21">
            <v>5000</v>
          </cell>
          <cell r="AX21" t="str">
            <v>F8</v>
          </cell>
          <cell r="AY21">
            <v>1</v>
          </cell>
          <cell r="AZ21" t="str">
            <v>M2</v>
          </cell>
          <cell r="BA21">
            <v>1</v>
          </cell>
          <cell r="BB21" t="str">
            <v>F7</v>
          </cell>
          <cell r="BC21">
            <v>20</v>
          </cell>
          <cell r="BE21" t="str">
            <v>F7</v>
          </cell>
          <cell r="BF21">
            <v>1</v>
          </cell>
          <cell r="BG21" t="str">
            <v>MB</v>
          </cell>
          <cell r="BH21">
            <v>4000</v>
          </cell>
          <cell r="BI21" t="str">
            <v>F8</v>
          </cell>
          <cell r="BJ21">
            <v>1</v>
          </cell>
          <cell r="BK21" t="str">
            <v>M2</v>
          </cell>
          <cell r="BL21">
            <v>1</v>
          </cell>
          <cell r="BM21" t="str">
            <v>F7</v>
          </cell>
          <cell r="BN21">
            <v>20</v>
          </cell>
          <cell r="BP21" t="str">
            <v>F7</v>
          </cell>
          <cell r="BQ21">
            <v>1</v>
          </cell>
          <cell r="BR21" t="str">
            <v>MB</v>
          </cell>
          <cell r="BS21">
            <v>1</v>
          </cell>
          <cell r="BT21" t="str">
            <v>F8</v>
          </cell>
          <cell r="BU21">
            <v>1</v>
          </cell>
          <cell r="BV21" t="str">
            <v>M2</v>
          </cell>
          <cell r="BW21">
            <v>1</v>
          </cell>
          <cell r="BX21" t="str">
            <v>F7</v>
          </cell>
          <cell r="BY21">
            <v>20</v>
          </cell>
          <cell r="CA21" t="str">
            <v>F7</v>
          </cell>
          <cell r="CB21">
            <v>1</v>
          </cell>
          <cell r="CC21" t="str">
            <v>MB</v>
          </cell>
          <cell r="CD21">
            <v>4000</v>
          </cell>
          <cell r="CE21" t="str">
            <v>F8</v>
          </cell>
          <cell r="CF21">
            <v>1</v>
          </cell>
          <cell r="CG21" t="str">
            <v>M2</v>
          </cell>
          <cell r="CH21">
            <v>1</v>
          </cell>
          <cell r="CI21" t="str">
            <v>F7</v>
          </cell>
          <cell r="CJ21">
            <v>20</v>
          </cell>
          <cell r="CL21" t="str">
            <v>F7</v>
          </cell>
          <cell r="CM21">
            <v>1</v>
          </cell>
          <cell r="CN21" t="str">
            <v>MB</v>
          </cell>
          <cell r="CO21">
            <v>1</v>
          </cell>
          <cell r="CP21" t="str">
            <v>F8</v>
          </cell>
          <cell r="CQ21">
            <v>1</v>
          </cell>
          <cell r="CR21" t="str">
            <v>M2</v>
          </cell>
          <cell r="CS21">
            <v>1</v>
          </cell>
          <cell r="CT21" t="str">
            <v>F7</v>
          </cell>
          <cell r="CU21">
            <v>20</v>
          </cell>
          <cell r="CW21" t="str">
            <v>F7</v>
          </cell>
          <cell r="CX21">
            <v>1</v>
          </cell>
          <cell r="CY21" t="str">
            <v>MB</v>
          </cell>
          <cell r="CZ21">
            <v>1</v>
          </cell>
          <cell r="DA21" t="str">
            <v>F8</v>
          </cell>
          <cell r="DB21">
            <v>1</v>
          </cell>
          <cell r="DC21" t="str">
            <v>M2</v>
          </cell>
          <cell r="DD21">
            <v>1</v>
          </cell>
          <cell r="DE21" t="str">
            <v>F7</v>
          </cell>
          <cell r="DF21">
            <v>20</v>
          </cell>
          <cell r="DH21" t="str">
            <v>F7</v>
          </cell>
          <cell r="DI21">
            <v>1</v>
          </cell>
          <cell r="DJ21" t="str">
            <v>MB</v>
          </cell>
          <cell r="DK21">
            <v>1</v>
          </cell>
          <cell r="DL21" t="str">
            <v>F8</v>
          </cell>
          <cell r="DM21">
            <v>1</v>
          </cell>
          <cell r="DN21" t="str">
            <v>M2</v>
          </cell>
          <cell r="DO21">
            <v>1</v>
          </cell>
          <cell r="DP21" t="str">
            <v>F7</v>
          </cell>
          <cell r="DQ21">
            <v>20</v>
          </cell>
          <cell r="DS21" t="str">
            <v>F7</v>
          </cell>
          <cell r="DT21">
            <v>1</v>
          </cell>
          <cell r="DU21" t="str">
            <v>MB</v>
          </cell>
          <cell r="DV21">
            <v>1</v>
          </cell>
          <cell r="DW21" t="str">
            <v>F8</v>
          </cell>
          <cell r="DX21">
            <v>1</v>
          </cell>
          <cell r="DY21" t="str">
            <v>M2</v>
          </cell>
          <cell r="DZ21">
            <v>1</v>
          </cell>
          <cell r="EA21" t="str">
            <v>F7</v>
          </cell>
          <cell r="EB21">
            <v>20</v>
          </cell>
          <cell r="ED21" t="str">
            <v>F7</v>
          </cell>
          <cell r="EE21">
            <v>1</v>
          </cell>
          <cell r="EF21" t="str">
            <v>MB</v>
          </cell>
          <cell r="EG21">
            <v>4000</v>
          </cell>
          <cell r="EH21" t="str">
            <v>F8</v>
          </cell>
          <cell r="EI21">
            <v>1</v>
          </cell>
          <cell r="EJ21" t="str">
            <v>M2</v>
          </cell>
          <cell r="EK21">
            <v>1</v>
          </cell>
          <cell r="EL21" t="str">
            <v>F7</v>
          </cell>
          <cell r="EM21">
            <v>20</v>
          </cell>
          <cell r="EO21" t="str">
            <v>F7</v>
          </cell>
          <cell r="EP21">
            <v>1</v>
          </cell>
          <cell r="EQ21" t="str">
            <v>MB</v>
          </cell>
          <cell r="ER21">
            <v>1</v>
          </cell>
          <cell r="ES21" t="str">
            <v>F8</v>
          </cell>
          <cell r="ET21">
            <v>1</v>
          </cell>
          <cell r="EU21" t="str">
            <v>M2</v>
          </cell>
          <cell r="EV21">
            <v>1</v>
          </cell>
          <cell r="EW21" t="str">
            <v>F7</v>
          </cell>
          <cell r="EX21">
            <v>20</v>
          </cell>
          <cell r="EZ21" t="str">
            <v>F7</v>
          </cell>
          <cell r="FA21">
            <v>1</v>
          </cell>
          <cell r="FB21" t="str">
            <v>MB</v>
          </cell>
          <cell r="FC21">
            <v>1</v>
          </cell>
          <cell r="FD21" t="str">
            <v>F8</v>
          </cell>
          <cell r="FE21">
            <v>1</v>
          </cell>
          <cell r="FF21" t="str">
            <v>M2</v>
          </cell>
          <cell r="FG21">
            <v>1</v>
          </cell>
          <cell r="FH21" t="str">
            <v>F7</v>
          </cell>
          <cell r="FI21">
            <v>20</v>
          </cell>
          <cell r="FK21" t="str">
            <v>F7</v>
          </cell>
          <cell r="FL21">
            <v>1</v>
          </cell>
          <cell r="FM21" t="str">
            <v>MB</v>
          </cell>
          <cell r="FN21">
            <v>1</v>
          </cell>
          <cell r="FO21" t="str">
            <v>F8</v>
          </cell>
          <cell r="FP21">
            <v>1</v>
          </cell>
          <cell r="FQ21" t="str">
            <v>M2</v>
          </cell>
          <cell r="FR21">
            <v>1</v>
          </cell>
          <cell r="FS21" t="str">
            <v>F7</v>
          </cell>
          <cell r="FT21">
            <v>20</v>
          </cell>
        </row>
        <row r="22">
          <cell r="B22" t="str">
            <v>F8</v>
          </cell>
          <cell r="C22">
            <v>20</v>
          </cell>
          <cell r="D22" t="str">
            <v>F8</v>
          </cell>
          <cell r="E22">
            <v>1</v>
          </cell>
          <cell r="F22" t="str">
            <v>F6</v>
          </cell>
          <cell r="G22">
            <v>20</v>
          </cell>
          <cell r="H22" t="str">
            <v>F8</v>
          </cell>
          <cell r="I22">
            <v>20</v>
          </cell>
          <cell r="J22" t="str">
            <v>M4</v>
          </cell>
          <cell r="K22">
            <v>20</v>
          </cell>
          <cell r="M22" t="str">
            <v>F8</v>
          </cell>
          <cell r="N22">
            <v>20</v>
          </cell>
          <cell r="O22" t="str">
            <v>F8</v>
          </cell>
          <cell r="P22">
            <v>1</v>
          </cell>
          <cell r="Q22" t="str">
            <v>F6</v>
          </cell>
          <cell r="R22">
            <v>20</v>
          </cell>
          <cell r="S22" t="str">
            <v>F8</v>
          </cell>
          <cell r="T22">
            <v>20</v>
          </cell>
          <cell r="U22" t="str">
            <v>M4</v>
          </cell>
          <cell r="V22">
            <v>20</v>
          </cell>
          <cell r="X22" t="str">
            <v>F8</v>
          </cell>
          <cell r="Y22">
            <v>20</v>
          </cell>
          <cell r="Z22" t="str">
            <v>F8</v>
          </cell>
          <cell r="AA22">
            <v>2000</v>
          </cell>
          <cell r="AB22" t="str">
            <v>F6</v>
          </cell>
          <cell r="AC22">
            <v>20</v>
          </cell>
          <cell r="AD22" t="str">
            <v>F8</v>
          </cell>
          <cell r="AE22">
            <v>20</v>
          </cell>
          <cell r="AF22" t="str">
            <v>M4</v>
          </cell>
          <cell r="AG22">
            <v>20</v>
          </cell>
          <cell r="AI22" t="str">
            <v>F8</v>
          </cell>
          <cell r="AJ22">
            <v>20</v>
          </cell>
          <cell r="AK22" t="str">
            <v>F8</v>
          </cell>
          <cell r="AL22">
            <v>4000</v>
          </cell>
          <cell r="AM22" t="str">
            <v>F6</v>
          </cell>
          <cell r="AN22">
            <v>20</v>
          </cell>
          <cell r="AO22" t="str">
            <v>F8</v>
          </cell>
          <cell r="AP22">
            <v>20</v>
          </cell>
          <cell r="AQ22" t="str">
            <v>M4</v>
          </cell>
          <cell r="AR22">
            <v>20</v>
          </cell>
          <cell r="AT22" t="str">
            <v>F8</v>
          </cell>
          <cell r="AU22">
            <v>20</v>
          </cell>
          <cell r="AV22" t="str">
            <v>F8</v>
          </cell>
          <cell r="AW22">
            <v>5000</v>
          </cell>
          <cell r="AX22" t="str">
            <v>F6</v>
          </cell>
          <cell r="AY22">
            <v>20</v>
          </cell>
          <cell r="AZ22" t="str">
            <v>F8</v>
          </cell>
          <cell r="BA22">
            <v>20</v>
          </cell>
          <cell r="BB22" t="str">
            <v>M4</v>
          </cell>
          <cell r="BC22">
            <v>20</v>
          </cell>
          <cell r="BE22" t="str">
            <v>F8</v>
          </cell>
          <cell r="BF22">
            <v>20</v>
          </cell>
          <cell r="BG22" t="str">
            <v>F8</v>
          </cell>
          <cell r="BH22">
            <v>4000</v>
          </cell>
          <cell r="BI22" t="str">
            <v>F6</v>
          </cell>
          <cell r="BJ22">
            <v>20</v>
          </cell>
          <cell r="BK22" t="str">
            <v>F8</v>
          </cell>
          <cell r="BL22">
            <v>20</v>
          </cell>
          <cell r="BM22" t="str">
            <v>M4</v>
          </cell>
          <cell r="BN22">
            <v>20</v>
          </cell>
          <cell r="BP22" t="str">
            <v>F8</v>
          </cell>
          <cell r="BQ22">
            <v>20</v>
          </cell>
          <cell r="BR22" t="str">
            <v>F8</v>
          </cell>
          <cell r="BS22">
            <v>1</v>
          </cell>
          <cell r="BT22" t="str">
            <v>F6</v>
          </cell>
          <cell r="BU22">
            <v>20</v>
          </cell>
          <cell r="BV22" t="str">
            <v>F8</v>
          </cell>
          <cell r="BW22">
            <v>20</v>
          </cell>
          <cell r="BX22" t="str">
            <v>M4</v>
          </cell>
          <cell r="BY22">
            <v>20</v>
          </cell>
          <cell r="CA22" t="str">
            <v>F8</v>
          </cell>
          <cell r="CB22">
            <v>20</v>
          </cell>
          <cell r="CC22" t="str">
            <v>F8</v>
          </cell>
          <cell r="CD22">
            <v>4000</v>
          </cell>
          <cell r="CE22" t="str">
            <v>F6</v>
          </cell>
          <cell r="CF22">
            <v>20</v>
          </cell>
          <cell r="CG22" t="str">
            <v>F8</v>
          </cell>
          <cell r="CH22">
            <v>20</v>
          </cell>
          <cell r="CI22" t="str">
            <v>M4</v>
          </cell>
          <cell r="CJ22">
            <v>20</v>
          </cell>
          <cell r="CL22" t="str">
            <v>F8</v>
          </cell>
          <cell r="CM22">
            <v>20</v>
          </cell>
          <cell r="CN22" t="str">
            <v>F8</v>
          </cell>
          <cell r="CO22">
            <v>1</v>
          </cell>
          <cell r="CP22" t="str">
            <v>F6</v>
          </cell>
          <cell r="CQ22">
            <v>20</v>
          </cell>
          <cell r="CR22" t="str">
            <v>F8</v>
          </cell>
          <cell r="CS22">
            <v>20</v>
          </cell>
          <cell r="CT22" t="str">
            <v>M4</v>
          </cell>
          <cell r="CU22">
            <v>20</v>
          </cell>
          <cell r="CW22" t="str">
            <v>F8</v>
          </cell>
          <cell r="CX22">
            <v>20</v>
          </cell>
          <cell r="CY22" t="str">
            <v>F8</v>
          </cell>
          <cell r="CZ22">
            <v>1</v>
          </cell>
          <cell r="DA22" t="str">
            <v>F6</v>
          </cell>
          <cell r="DB22">
            <v>20</v>
          </cell>
          <cell r="DC22" t="str">
            <v>F8</v>
          </cell>
          <cell r="DD22">
            <v>20</v>
          </cell>
          <cell r="DE22" t="str">
            <v>M4</v>
          </cell>
          <cell r="DF22">
            <v>20</v>
          </cell>
          <cell r="DH22" t="str">
            <v>F8</v>
          </cell>
          <cell r="DI22">
            <v>20</v>
          </cell>
          <cell r="DJ22" t="str">
            <v>F8</v>
          </cell>
          <cell r="DK22">
            <v>1</v>
          </cell>
          <cell r="DL22" t="str">
            <v>F6</v>
          </cell>
          <cell r="DM22">
            <v>20</v>
          </cell>
          <cell r="DN22" t="str">
            <v>F8</v>
          </cell>
          <cell r="DO22">
            <v>20</v>
          </cell>
          <cell r="DP22" t="str">
            <v>M4</v>
          </cell>
          <cell r="DQ22">
            <v>20</v>
          </cell>
          <cell r="DS22" t="str">
            <v>F8</v>
          </cell>
          <cell r="DT22">
            <v>20</v>
          </cell>
          <cell r="DU22" t="str">
            <v>F8</v>
          </cell>
          <cell r="DV22">
            <v>1</v>
          </cell>
          <cell r="DW22" t="str">
            <v>F6</v>
          </cell>
          <cell r="DX22">
            <v>20</v>
          </cell>
          <cell r="DY22" t="str">
            <v>F8</v>
          </cell>
          <cell r="DZ22">
            <v>20</v>
          </cell>
          <cell r="EA22" t="str">
            <v>M4</v>
          </cell>
          <cell r="EB22">
            <v>20</v>
          </cell>
          <cell r="ED22" t="str">
            <v>F8</v>
          </cell>
          <cell r="EE22">
            <v>20</v>
          </cell>
          <cell r="EF22" t="str">
            <v>F8</v>
          </cell>
          <cell r="EG22">
            <v>4000</v>
          </cell>
          <cell r="EH22" t="str">
            <v>F6</v>
          </cell>
          <cell r="EI22">
            <v>20</v>
          </cell>
          <cell r="EJ22" t="str">
            <v>F8</v>
          </cell>
          <cell r="EK22">
            <v>20</v>
          </cell>
          <cell r="EL22" t="str">
            <v>M4</v>
          </cell>
          <cell r="EM22">
            <v>20</v>
          </cell>
          <cell r="EO22" t="str">
            <v>F8</v>
          </cell>
          <cell r="EP22">
            <v>20</v>
          </cell>
          <cell r="EQ22" t="str">
            <v>F8</v>
          </cell>
          <cell r="ER22">
            <v>1</v>
          </cell>
          <cell r="ES22" t="str">
            <v>F6</v>
          </cell>
          <cell r="ET22">
            <v>20</v>
          </cell>
          <cell r="EU22" t="str">
            <v>F8</v>
          </cell>
          <cell r="EV22">
            <v>20</v>
          </cell>
          <cell r="EW22" t="str">
            <v>M4</v>
          </cell>
          <cell r="EX22">
            <v>20</v>
          </cell>
          <cell r="EZ22" t="str">
            <v>F8</v>
          </cell>
          <cell r="FA22">
            <v>20</v>
          </cell>
          <cell r="FB22" t="str">
            <v>F8</v>
          </cell>
          <cell r="FC22">
            <v>1</v>
          </cell>
          <cell r="FD22" t="str">
            <v>F6</v>
          </cell>
          <cell r="FE22">
            <v>20</v>
          </cell>
          <cell r="FF22" t="str">
            <v>F8</v>
          </cell>
          <cell r="FG22">
            <v>20</v>
          </cell>
          <cell r="FH22" t="str">
            <v>M4</v>
          </cell>
          <cell r="FI22">
            <v>20</v>
          </cell>
          <cell r="FK22" t="str">
            <v>F8</v>
          </cell>
          <cell r="FL22">
            <v>20</v>
          </cell>
          <cell r="FM22" t="str">
            <v>F8</v>
          </cell>
          <cell r="FN22">
            <v>1</v>
          </cell>
          <cell r="FO22" t="str">
            <v>F6</v>
          </cell>
          <cell r="FP22">
            <v>20</v>
          </cell>
          <cell r="FQ22" t="str">
            <v>F8</v>
          </cell>
          <cell r="FR22">
            <v>20</v>
          </cell>
          <cell r="FS22" t="str">
            <v>M4</v>
          </cell>
          <cell r="FT22">
            <v>20</v>
          </cell>
        </row>
        <row r="23">
          <cell r="B23" t="str">
            <v>F8</v>
          </cell>
          <cell r="C23">
            <v>20</v>
          </cell>
          <cell r="D23" t="str">
            <v>F5</v>
          </cell>
          <cell r="E23">
            <v>20</v>
          </cell>
          <cell r="F23" t="str">
            <v>F9</v>
          </cell>
          <cell r="G23">
            <v>20</v>
          </cell>
          <cell r="H23" t="str">
            <v>M1</v>
          </cell>
          <cell r="I23">
            <v>20</v>
          </cell>
          <cell r="J23" t="str">
            <v>F8</v>
          </cell>
          <cell r="K23">
            <v>20</v>
          </cell>
          <cell r="M23" t="str">
            <v>F8</v>
          </cell>
          <cell r="N23">
            <v>20</v>
          </cell>
          <cell r="O23" t="str">
            <v>F5</v>
          </cell>
          <cell r="P23">
            <v>20</v>
          </cell>
          <cell r="Q23" t="str">
            <v>F9</v>
          </cell>
          <cell r="R23">
            <v>20</v>
          </cell>
          <cell r="S23" t="str">
            <v>M1</v>
          </cell>
          <cell r="T23">
            <v>20</v>
          </cell>
          <cell r="U23" t="str">
            <v>F8</v>
          </cell>
          <cell r="V23">
            <v>20</v>
          </cell>
          <cell r="X23" t="str">
            <v>F8</v>
          </cell>
          <cell r="Y23">
            <v>20</v>
          </cell>
          <cell r="Z23" t="str">
            <v>F5</v>
          </cell>
          <cell r="AA23">
            <v>20</v>
          </cell>
          <cell r="AB23" t="str">
            <v>F9</v>
          </cell>
          <cell r="AC23">
            <v>20</v>
          </cell>
          <cell r="AD23" t="str">
            <v>M1</v>
          </cell>
          <cell r="AE23">
            <v>20</v>
          </cell>
          <cell r="AF23" t="str">
            <v>F8</v>
          </cell>
          <cell r="AG23">
            <v>20</v>
          </cell>
          <cell r="AI23" t="str">
            <v>F8</v>
          </cell>
          <cell r="AJ23">
            <v>20</v>
          </cell>
          <cell r="AK23" t="str">
            <v>F5</v>
          </cell>
          <cell r="AL23">
            <v>20</v>
          </cell>
          <cell r="AM23" t="str">
            <v>F9</v>
          </cell>
          <cell r="AN23">
            <v>20</v>
          </cell>
          <cell r="AO23" t="str">
            <v>M1</v>
          </cell>
          <cell r="AP23">
            <v>20</v>
          </cell>
          <cell r="AQ23" t="str">
            <v>F8</v>
          </cell>
          <cell r="AR23">
            <v>20</v>
          </cell>
          <cell r="AT23" t="str">
            <v>F8</v>
          </cell>
          <cell r="AU23">
            <v>20</v>
          </cell>
          <cell r="AV23" t="str">
            <v>F5</v>
          </cell>
          <cell r="AW23">
            <v>20</v>
          </cell>
          <cell r="AX23" t="str">
            <v>F9</v>
          </cell>
          <cell r="AY23">
            <v>20</v>
          </cell>
          <cell r="AZ23" t="str">
            <v>M1</v>
          </cell>
          <cell r="BA23">
            <v>20</v>
          </cell>
          <cell r="BB23" t="str">
            <v>F8</v>
          </cell>
          <cell r="BC23">
            <v>20</v>
          </cell>
          <cell r="BE23" t="str">
            <v>F8</v>
          </cell>
          <cell r="BF23">
            <v>20</v>
          </cell>
          <cell r="BG23" t="str">
            <v>F5</v>
          </cell>
          <cell r="BH23">
            <v>20</v>
          </cell>
          <cell r="BI23" t="str">
            <v>F9</v>
          </cell>
          <cell r="BJ23">
            <v>20</v>
          </cell>
          <cell r="BK23" t="str">
            <v>M1</v>
          </cell>
          <cell r="BL23">
            <v>20</v>
          </cell>
          <cell r="BM23" t="str">
            <v>F8</v>
          </cell>
          <cell r="BN23">
            <v>20</v>
          </cell>
          <cell r="BP23" t="str">
            <v>F8</v>
          </cell>
          <cell r="BQ23">
            <v>20</v>
          </cell>
          <cell r="BR23" t="str">
            <v>F5</v>
          </cell>
          <cell r="BS23">
            <v>20</v>
          </cell>
          <cell r="BT23" t="str">
            <v>F9</v>
          </cell>
          <cell r="BU23">
            <v>20</v>
          </cell>
          <cell r="BV23" t="str">
            <v>M1</v>
          </cell>
          <cell r="BW23">
            <v>20</v>
          </cell>
          <cell r="BX23" t="str">
            <v>F8</v>
          </cell>
          <cell r="BY23">
            <v>20</v>
          </cell>
          <cell r="CA23" t="str">
            <v>F8</v>
          </cell>
          <cell r="CB23">
            <v>20</v>
          </cell>
          <cell r="CC23" t="str">
            <v>F5</v>
          </cell>
          <cell r="CD23">
            <v>20</v>
          </cell>
          <cell r="CE23" t="str">
            <v>F9</v>
          </cell>
          <cell r="CF23">
            <v>20</v>
          </cell>
          <cell r="CG23" t="str">
            <v>M1</v>
          </cell>
          <cell r="CH23">
            <v>20</v>
          </cell>
          <cell r="CI23" t="str">
            <v>F8</v>
          </cell>
          <cell r="CJ23">
            <v>20</v>
          </cell>
          <cell r="CL23" t="str">
            <v>F8</v>
          </cell>
          <cell r="CM23">
            <v>20</v>
          </cell>
          <cell r="CN23" t="str">
            <v>F5</v>
          </cell>
          <cell r="CO23">
            <v>20</v>
          </cell>
          <cell r="CP23" t="str">
            <v>F9</v>
          </cell>
          <cell r="CQ23">
            <v>20</v>
          </cell>
          <cell r="CR23" t="str">
            <v>M1</v>
          </cell>
          <cell r="CS23">
            <v>20</v>
          </cell>
          <cell r="CT23" t="str">
            <v>F8</v>
          </cell>
          <cell r="CU23">
            <v>20</v>
          </cell>
          <cell r="CW23" t="str">
            <v>F8</v>
          </cell>
          <cell r="CX23">
            <v>20</v>
          </cell>
          <cell r="CY23" t="str">
            <v>F5</v>
          </cell>
          <cell r="CZ23">
            <v>20</v>
          </cell>
          <cell r="DA23" t="str">
            <v>F9</v>
          </cell>
          <cell r="DB23">
            <v>20</v>
          </cell>
          <cell r="DC23" t="str">
            <v>M1</v>
          </cell>
          <cell r="DD23">
            <v>20</v>
          </cell>
          <cell r="DE23" t="str">
            <v>F8</v>
          </cell>
          <cell r="DF23">
            <v>20</v>
          </cell>
          <cell r="DH23" t="str">
            <v>F8</v>
          </cell>
          <cell r="DI23">
            <v>20</v>
          </cell>
          <cell r="DJ23" t="str">
            <v>F5</v>
          </cell>
          <cell r="DK23">
            <v>20</v>
          </cell>
          <cell r="DL23" t="str">
            <v>F9</v>
          </cell>
          <cell r="DM23">
            <v>20</v>
          </cell>
          <cell r="DN23" t="str">
            <v>M1</v>
          </cell>
          <cell r="DO23">
            <v>20</v>
          </cell>
          <cell r="DP23" t="str">
            <v>F8</v>
          </cell>
          <cell r="DQ23">
            <v>20</v>
          </cell>
          <cell r="DS23" t="str">
            <v>F8</v>
          </cell>
          <cell r="DT23">
            <v>20</v>
          </cell>
          <cell r="DU23" t="str">
            <v>F5</v>
          </cell>
          <cell r="DV23">
            <v>20</v>
          </cell>
          <cell r="DW23" t="str">
            <v>F9</v>
          </cell>
          <cell r="DX23">
            <v>20</v>
          </cell>
          <cell r="DY23" t="str">
            <v>M1</v>
          </cell>
          <cell r="DZ23">
            <v>20</v>
          </cell>
          <cell r="EA23" t="str">
            <v>F8</v>
          </cell>
          <cell r="EB23">
            <v>20</v>
          </cell>
          <cell r="ED23" t="str">
            <v>F8</v>
          </cell>
          <cell r="EE23">
            <v>20</v>
          </cell>
          <cell r="EF23" t="str">
            <v>F5</v>
          </cell>
          <cell r="EG23">
            <v>20</v>
          </cell>
          <cell r="EH23" t="str">
            <v>F9</v>
          </cell>
          <cell r="EI23">
            <v>20</v>
          </cell>
          <cell r="EJ23" t="str">
            <v>M1</v>
          </cell>
          <cell r="EK23">
            <v>20</v>
          </cell>
          <cell r="EL23" t="str">
            <v>F8</v>
          </cell>
          <cell r="EM23">
            <v>20</v>
          </cell>
          <cell r="EO23" t="str">
            <v>F8</v>
          </cell>
          <cell r="EP23">
            <v>20</v>
          </cell>
          <cell r="EQ23" t="str">
            <v>F5</v>
          </cell>
          <cell r="ER23">
            <v>20</v>
          </cell>
          <cell r="ES23" t="str">
            <v>F9</v>
          </cell>
          <cell r="ET23">
            <v>20</v>
          </cell>
          <cell r="EU23" t="str">
            <v>M1</v>
          </cell>
          <cell r="EV23">
            <v>20</v>
          </cell>
          <cell r="EW23" t="str">
            <v>F8</v>
          </cell>
          <cell r="EX23">
            <v>20</v>
          </cell>
          <cell r="EZ23" t="str">
            <v>F8</v>
          </cell>
          <cell r="FA23">
            <v>20</v>
          </cell>
          <cell r="FB23" t="str">
            <v>F5</v>
          </cell>
          <cell r="FC23">
            <v>20</v>
          </cell>
          <cell r="FD23" t="str">
            <v>F9</v>
          </cell>
          <cell r="FE23">
            <v>20</v>
          </cell>
          <cell r="FF23" t="str">
            <v>M1</v>
          </cell>
          <cell r="FG23">
            <v>20</v>
          </cell>
          <cell r="FH23" t="str">
            <v>F8</v>
          </cell>
          <cell r="FI23">
            <v>20</v>
          </cell>
          <cell r="FK23" t="str">
            <v>F8</v>
          </cell>
          <cell r="FL23">
            <v>20</v>
          </cell>
          <cell r="FM23" t="str">
            <v>F5</v>
          </cell>
          <cell r="FN23">
            <v>20</v>
          </cell>
          <cell r="FO23" t="str">
            <v>F9</v>
          </cell>
          <cell r="FP23">
            <v>20</v>
          </cell>
          <cell r="FQ23" t="str">
            <v>M1</v>
          </cell>
          <cell r="FR23">
            <v>20</v>
          </cell>
          <cell r="FS23" t="str">
            <v>F8</v>
          </cell>
          <cell r="FT23">
            <v>20</v>
          </cell>
        </row>
        <row r="24">
          <cell r="B24" t="str">
            <v>F5</v>
          </cell>
          <cell r="C24">
            <v>1</v>
          </cell>
          <cell r="D24" t="str">
            <v>M2</v>
          </cell>
          <cell r="E24">
            <v>1</v>
          </cell>
          <cell r="F24" t="str">
            <v>BN</v>
          </cell>
          <cell r="G24">
            <v>20</v>
          </cell>
          <cell r="H24" t="str">
            <v>F5</v>
          </cell>
          <cell r="I24">
            <v>20</v>
          </cell>
          <cell r="J24" t="str">
            <v>M3</v>
          </cell>
          <cell r="K24">
            <v>1</v>
          </cell>
          <cell r="M24" t="str">
            <v>F5</v>
          </cell>
          <cell r="N24">
            <v>1</v>
          </cell>
          <cell r="O24" t="str">
            <v>M2</v>
          </cell>
          <cell r="P24">
            <v>1</v>
          </cell>
          <cell r="Q24" t="str">
            <v>BN</v>
          </cell>
          <cell r="R24">
            <v>20</v>
          </cell>
          <cell r="S24" t="str">
            <v>F5</v>
          </cell>
          <cell r="T24">
            <v>20</v>
          </cell>
          <cell r="U24" t="str">
            <v>M3</v>
          </cell>
          <cell r="V24">
            <v>1</v>
          </cell>
          <cell r="X24" t="str">
            <v>F5</v>
          </cell>
          <cell r="Y24">
            <v>1</v>
          </cell>
          <cell r="Z24" t="str">
            <v>M2</v>
          </cell>
          <cell r="AA24">
            <v>1</v>
          </cell>
          <cell r="AB24" t="str">
            <v>BN</v>
          </cell>
          <cell r="AC24">
            <v>20</v>
          </cell>
          <cell r="AD24" t="str">
            <v>F5</v>
          </cell>
          <cell r="AE24">
            <v>20</v>
          </cell>
          <cell r="AF24" t="str">
            <v>M3</v>
          </cell>
          <cell r="AG24">
            <v>1</v>
          </cell>
          <cell r="AI24" t="str">
            <v>F5</v>
          </cell>
          <cell r="AJ24">
            <v>1</v>
          </cell>
          <cell r="AK24" t="str">
            <v>M2</v>
          </cell>
          <cell r="AL24">
            <v>1</v>
          </cell>
          <cell r="AM24" t="str">
            <v>BN</v>
          </cell>
          <cell r="AN24">
            <v>20</v>
          </cell>
          <cell r="AO24" t="str">
            <v>F5</v>
          </cell>
          <cell r="AP24">
            <v>20</v>
          </cell>
          <cell r="AQ24" t="str">
            <v>M3</v>
          </cell>
          <cell r="AR24">
            <v>1</v>
          </cell>
          <cell r="AT24" t="str">
            <v>F5</v>
          </cell>
          <cell r="AU24">
            <v>5000</v>
          </cell>
          <cell r="AV24" t="str">
            <v>M2</v>
          </cell>
          <cell r="AW24">
            <v>1</v>
          </cell>
          <cell r="AX24" t="str">
            <v>BN</v>
          </cell>
          <cell r="AY24">
            <v>20</v>
          </cell>
          <cell r="AZ24" t="str">
            <v>F5</v>
          </cell>
          <cell r="BA24">
            <v>20</v>
          </cell>
          <cell r="BB24" t="str">
            <v>M3</v>
          </cell>
          <cell r="BC24">
            <v>1</v>
          </cell>
          <cell r="BE24" t="str">
            <v>F5</v>
          </cell>
          <cell r="BF24">
            <v>1</v>
          </cell>
          <cell r="BG24" t="str">
            <v>M2</v>
          </cell>
          <cell r="BH24">
            <v>1</v>
          </cell>
          <cell r="BI24" t="str">
            <v>BN</v>
          </cell>
          <cell r="BJ24">
            <v>20</v>
          </cell>
          <cell r="BK24" t="str">
            <v>F5</v>
          </cell>
          <cell r="BL24">
            <v>20</v>
          </cell>
          <cell r="BM24" t="str">
            <v>M3</v>
          </cell>
          <cell r="BN24">
            <v>1</v>
          </cell>
          <cell r="BP24" t="str">
            <v>F5</v>
          </cell>
          <cell r="BQ24">
            <v>1</v>
          </cell>
          <cell r="BR24" t="str">
            <v>M2</v>
          </cell>
          <cell r="BS24">
            <v>1</v>
          </cell>
          <cell r="BT24" t="str">
            <v>BN</v>
          </cell>
          <cell r="BU24">
            <v>20</v>
          </cell>
          <cell r="BV24" t="str">
            <v>F5</v>
          </cell>
          <cell r="BW24">
            <v>20</v>
          </cell>
          <cell r="BX24" t="str">
            <v>M3</v>
          </cell>
          <cell r="BY24">
            <v>1</v>
          </cell>
          <cell r="CA24" t="str">
            <v>F5</v>
          </cell>
          <cell r="CB24">
            <v>1</v>
          </cell>
          <cell r="CC24" t="str">
            <v>M2</v>
          </cell>
          <cell r="CD24">
            <v>1</v>
          </cell>
          <cell r="CE24" t="str">
            <v>BN</v>
          </cell>
          <cell r="CF24">
            <v>20</v>
          </cell>
          <cell r="CG24" t="str">
            <v>F5</v>
          </cell>
          <cell r="CH24">
            <v>20</v>
          </cell>
          <cell r="CI24" t="str">
            <v>M3</v>
          </cell>
          <cell r="CJ24">
            <v>1</v>
          </cell>
          <cell r="CL24" t="str">
            <v>F5</v>
          </cell>
          <cell r="CM24">
            <v>4000</v>
          </cell>
          <cell r="CN24" t="str">
            <v>M2</v>
          </cell>
          <cell r="CO24">
            <v>1</v>
          </cell>
          <cell r="CP24" t="str">
            <v>BN</v>
          </cell>
          <cell r="CQ24">
            <v>20</v>
          </cell>
          <cell r="CR24" t="str">
            <v>F5</v>
          </cell>
          <cell r="CS24">
            <v>20</v>
          </cell>
          <cell r="CT24" t="str">
            <v>M3</v>
          </cell>
          <cell r="CU24">
            <v>1</v>
          </cell>
          <cell r="CW24" t="str">
            <v>F5</v>
          </cell>
          <cell r="CX24">
            <v>8000</v>
          </cell>
          <cell r="CY24" t="str">
            <v>M2</v>
          </cell>
          <cell r="CZ24">
            <v>1</v>
          </cell>
          <cell r="DA24" t="str">
            <v>BN</v>
          </cell>
          <cell r="DB24">
            <v>20</v>
          </cell>
          <cell r="DC24" t="str">
            <v>F5</v>
          </cell>
          <cell r="DD24">
            <v>20</v>
          </cell>
          <cell r="DE24" t="str">
            <v>M3</v>
          </cell>
          <cell r="DF24">
            <v>1</v>
          </cell>
          <cell r="DH24" t="str">
            <v>F5</v>
          </cell>
          <cell r="DI24">
            <v>1</v>
          </cell>
          <cell r="DJ24" t="str">
            <v>M2</v>
          </cell>
          <cell r="DK24">
            <v>1</v>
          </cell>
          <cell r="DL24" t="str">
            <v>BN</v>
          </cell>
          <cell r="DM24">
            <v>20</v>
          </cell>
          <cell r="DN24" t="str">
            <v>F5</v>
          </cell>
          <cell r="DO24">
            <v>20</v>
          </cell>
          <cell r="DP24" t="str">
            <v>M3</v>
          </cell>
          <cell r="DQ24">
            <v>1</v>
          </cell>
          <cell r="DS24" t="str">
            <v>F5</v>
          </cell>
          <cell r="DT24">
            <v>1</v>
          </cell>
          <cell r="DU24" t="str">
            <v>M2</v>
          </cell>
          <cell r="DV24">
            <v>1</v>
          </cell>
          <cell r="DW24" t="str">
            <v>BN</v>
          </cell>
          <cell r="DX24">
            <v>20</v>
          </cell>
          <cell r="DY24" t="str">
            <v>F5</v>
          </cell>
          <cell r="DZ24">
            <v>20</v>
          </cell>
          <cell r="EA24" t="str">
            <v>M3</v>
          </cell>
          <cell r="EB24">
            <v>1</v>
          </cell>
          <cell r="ED24" t="str">
            <v>F5</v>
          </cell>
          <cell r="EE24">
            <v>1</v>
          </cell>
          <cell r="EF24" t="str">
            <v>M2</v>
          </cell>
          <cell r="EG24">
            <v>1</v>
          </cell>
          <cell r="EH24" t="str">
            <v>BN</v>
          </cell>
          <cell r="EI24">
            <v>20</v>
          </cell>
          <cell r="EJ24" t="str">
            <v>F5</v>
          </cell>
          <cell r="EK24">
            <v>20</v>
          </cell>
          <cell r="EL24" t="str">
            <v>M3</v>
          </cell>
          <cell r="EM24">
            <v>1</v>
          </cell>
          <cell r="EO24" t="str">
            <v>F5</v>
          </cell>
          <cell r="EP24">
            <v>1</v>
          </cell>
          <cell r="EQ24" t="str">
            <v>M2</v>
          </cell>
          <cell r="ER24">
            <v>1</v>
          </cell>
          <cell r="ES24" t="str">
            <v>BN</v>
          </cell>
          <cell r="ET24">
            <v>20</v>
          </cell>
          <cell r="EU24" t="str">
            <v>F5</v>
          </cell>
          <cell r="EV24">
            <v>20</v>
          </cell>
          <cell r="EW24" t="str">
            <v>M3</v>
          </cell>
          <cell r="EX24">
            <v>1</v>
          </cell>
          <cell r="EZ24" t="str">
            <v>F5</v>
          </cell>
          <cell r="FA24">
            <v>1</v>
          </cell>
          <cell r="FB24" t="str">
            <v>M2</v>
          </cell>
          <cell r="FC24">
            <v>1</v>
          </cell>
          <cell r="FD24" t="str">
            <v>BN</v>
          </cell>
          <cell r="FE24">
            <v>20</v>
          </cell>
          <cell r="FF24" t="str">
            <v>F5</v>
          </cell>
          <cell r="FG24">
            <v>20</v>
          </cell>
          <cell r="FH24" t="str">
            <v>M3</v>
          </cell>
          <cell r="FI24">
            <v>1</v>
          </cell>
          <cell r="FK24" t="str">
            <v>F5</v>
          </cell>
          <cell r="FL24">
            <v>1</v>
          </cell>
          <cell r="FM24" t="str">
            <v>M2</v>
          </cell>
          <cell r="FN24">
            <v>1</v>
          </cell>
          <cell r="FO24" t="str">
            <v>BN</v>
          </cell>
          <cell r="FP24">
            <v>20</v>
          </cell>
          <cell r="FQ24" t="str">
            <v>F5</v>
          </cell>
          <cell r="FR24">
            <v>20</v>
          </cell>
          <cell r="FS24" t="str">
            <v>M3</v>
          </cell>
          <cell r="FT24">
            <v>1</v>
          </cell>
        </row>
        <row r="25">
          <cell r="B25" t="str">
            <v>MB</v>
          </cell>
          <cell r="C25">
            <v>1</v>
          </cell>
          <cell r="D25" t="str">
            <v>MB</v>
          </cell>
          <cell r="E25">
            <v>1</v>
          </cell>
          <cell r="F25" t="str">
            <v>F5</v>
          </cell>
          <cell r="G25">
            <v>20</v>
          </cell>
          <cell r="H25" t="str">
            <v>M3</v>
          </cell>
          <cell r="I25">
            <v>20</v>
          </cell>
          <cell r="J25" t="str">
            <v>MB</v>
          </cell>
          <cell r="K25">
            <v>1</v>
          </cell>
          <cell r="M25" t="str">
            <v>MB</v>
          </cell>
          <cell r="N25">
            <v>1</v>
          </cell>
          <cell r="O25" t="str">
            <v>MB</v>
          </cell>
          <cell r="P25">
            <v>1</v>
          </cell>
          <cell r="Q25" t="str">
            <v>F5</v>
          </cell>
          <cell r="R25">
            <v>20</v>
          </cell>
          <cell r="S25" t="str">
            <v>M3</v>
          </cell>
          <cell r="T25">
            <v>20</v>
          </cell>
          <cell r="U25" t="str">
            <v>MB</v>
          </cell>
          <cell r="V25">
            <v>1</v>
          </cell>
          <cell r="X25" t="str">
            <v>MB</v>
          </cell>
          <cell r="Y25">
            <v>1</v>
          </cell>
          <cell r="Z25" t="str">
            <v>MB</v>
          </cell>
          <cell r="AA25">
            <v>1</v>
          </cell>
          <cell r="AB25" t="str">
            <v>F5</v>
          </cell>
          <cell r="AC25">
            <v>20</v>
          </cell>
          <cell r="AD25" t="str">
            <v>M3</v>
          </cell>
          <cell r="AE25">
            <v>20</v>
          </cell>
          <cell r="AF25" t="str">
            <v>MB</v>
          </cell>
          <cell r="AG25">
            <v>1</v>
          </cell>
          <cell r="AI25" t="str">
            <v>MB</v>
          </cell>
          <cell r="AJ25">
            <v>1</v>
          </cell>
          <cell r="AK25" t="str">
            <v>MB</v>
          </cell>
          <cell r="AL25">
            <v>1</v>
          </cell>
          <cell r="AM25" t="str">
            <v>F5</v>
          </cell>
          <cell r="AN25">
            <v>20</v>
          </cell>
          <cell r="AO25" t="str">
            <v>M3</v>
          </cell>
          <cell r="AP25">
            <v>20</v>
          </cell>
          <cell r="AQ25" t="str">
            <v>MB</v>
          </cell>
          <cell r="AR25">
            <v>1</v>
          </cell>
          <cell r="AT25" t="str">
            <v>MB</v>
          </cell>
          <cell r="AU25">
            <v>5000</v>
          </cell>
          <cell r="AV25" t="str">
            <v>MB</v>
          </cell>
          <cell r="AW25">
            <v>1</v>
          </cell>
          <cell r="AX25" t="str">
            <v>F5</v>
          </cell>
          <cell r="AY25">
            <v>20</v>
          </cell>
          <cell r="AZ25" t="str">
            <v>M3</v>
          </cell>
          <cell r="BA25">
            <v>20</v>
          </cell>
          <cell r="BB25" t="str">
            <v>MB</v>
          </cell>
          <cell r="BC25">
            <v>1</v>
          </cell>
          <cell r="BE25" t="str">
            <v>MB</v>
          </cell>
          <cell r="BF25">
            <v>1</v>
          </cell>
          <cell r="BG25" t="str">
            <v>MB</v>
          </cell>
          <cell r="BH25">
            <v>1</v>
          </cell>
          <cell r="BI25" t="str">
            <v>F5</v>
          </cell>
          <cell r="BJ25">
            <v>20</v>
          </cell>
          <cell r="BK25" t="str">
            <v>M3</v>
          </cell>
          <cell r="BL25">
            <v>20</v>
          </cell>
          <cell r="BM25" t="str">
            <v>MB</v>
          </cell>
          <cell r="BN25">
            <v>1</v>
          </cell>
          <cell r="BP25" t="str">
            <v>MB</v>
          </cell>
          <cell r="BQ25">
            <v>1</v>
          </cell>
          <cell r="BR25" t="str">
            <v>MB</v>
          </cell>
          <cell r="BS25">
            <v>1</v>
          </cell>
          <cell r="BT25" t="str">
            <v>F5</v>
          </cell>
          <cell r="BU25">
            <v>20</v>
          </cell>
          <cell r="BV25" t="str">
            <v>M3</v>
          </cell>
          <cell r="BW25">
            <v>20</v>
          </cell>
          <cell r="BX25" t="str">
            <v>MB</v>
          </cell>
          <cell r="BY25">
            <v>1</v>
          </cell>
          <cell r="CA25" t="str">
            <v>MB</v>
          </cell>
          <cell r="CB25">
            <v>1</v>
          </cell>
          <cell r="CC25" t="str">
            <v>MB</v>
          </cell>
          <cell r="CD25">
            <v>1</v>
          </cell>
          <cell r="CE25" t="str">
            <v>F5</v>
          </cell>
          <cell r="CF25">
            <v>20</v>
          </cell>
          <cell r="CG25" t="str">
            <v>M3</v>
          </cell>
          <cell r="CH25">
            <v>20</v>
          </cell>
          <cell r="CI25" t="str">
            <v>MB</v>
          </cell>
          <cell r="CJ25">
            <v>1</v>
          </cell>
          <cell r="CL25" t="str">
            <v>MB</v>
          </cell>
          <cell r="CM25">
            <v>4000</v>
          </cell>
          <cell r="CN25" t="str">
            <v>MB</v>
          </cell>
          <cell r="CO25">
            <v>1</v>
          </cell>
          <cell r="CP25" t="str">
            <v>F5</v>
          </cell>
          <cell r="CQ25">
            <v>20</v>
          </cell>
          <cell r="CR25" t="str">
            <v>M3</v>
          </cell>
          <cell r="CS25">
            <v>20</v>
          </cell>
          <cell r="CT25" t="str">
            <v>MB</v>
          </cell>
          <cell r="CU25">
            <v>1</v>
          </cell>
          <cell r="CW25" t="str">
            <v>MB</v>
          </cell>
          <cell r="CX25">
            <v>8000</v>
          </cell>
          <cell r="CY25" t="str">
            <v>MB</v>
          </cell>
          <cell r="CZ25">
            <v>1</v>
          </cell>
          <cell r="DA25" t="str">
            <v>F5</v>
          </cell>
          <cell r="DB25">
            <v>20</v>
          </cell>
          <cell r="DC25" t="str">
            <v>M3</v>
          </cell>
          <cell r="DD25">
            <v>20</v>
          </cell>
          <cell r="DE25" t="str">
            <v>MB</v>
          </cell>
          <cell r="DF25">
            <v>1</v>
          </cell>
          <cell r="DH25" t="str">
            <v>MB</v>
          </cell>
          <cell r="DI25">
            <v>1</v>
          </cell>
          <cell r="DJ25" t="str">
            <v>MB</v>
          </cell>
          <cell r="DK25">
            <v>1</v>
          </cell>
          <cell r="DL25" t="str">
            <v>F5</v>
          </cell>
          <cell r="DM25">
            <v>20</v>
          </cell>
          <cell r="DN25" t="str">
            <v>M3</v>
          </cell>
          <cell r="DO25">
            <v>20</v>
          </cell>
          <cell r="DP25" t="str">
            <v>MB</v>
          </cell>
          <cell r="DQ25">
            <v>1</v>
          </cell>
          <cell r="DS25" t="str">
            <v>MB</v>
          </cell>
          <cell r="DT25">
            <v>1</v>
          </cell>
          <cell r="DU25" t="str">
            <v>MB</v>
          </cell>
          <cell r="DV25">
            <v>1</v>
          </cell>
          <cell r="DW25" t="str">
            <v>F5</v>
          </cell>
          <cell r="DX25">
            <v>20</v>
          </cell>
          <cell r="DY25" t="str">
            <v>M3</v>
          </cell>
          <cell r="DZ25">
            <v>20</v>
          </cell>
          <cell r="EA25" t="str">
            <v>MB</v>
          </cell>
          <cell r="EB25">
            <v>1</v>
          </cell>
          <cell r="ED25" t="str">
            <v>MB</v>
          </cell>
          <cell r="EE25">
            <v>1</v>
          </cell>
          <cell r="EF25" t="str">
            <v>MB</v>
          </cell>
          <cell r="EG25">
            <v>1</v>
          </cell>
          <cell r="EH25" t="str">
            <v>F5</v>
          </cell>
          <cell r="EI25">
            <v>20</v>
          </cell>
          <cell r="EJ25" t="str">
            <v>M3</v>
          </cell>
          <cell r="EK25">
            <v>20</v>
          </cell>
          <cell r="EL25" t="str">
            <v>MB</v>
          </cell>
          <cell r="EM25">
            <v>1</v>
          </cell>
          <cell r="EO25" t="str">
            <v>MB</v>
          </cell>
          <cell r="EP25">
            <v>1</v>
          </cell>
          <cell r="EQ25" t="str">
            <v>MB</v>
          </cell>
          <cell r="ER25">
            <v>1</v>
          </cell>
          <cell r="ES25" t="str">
            <v>F5</v>
          </cell>
          <cell r="ET25">
            <v>20</v>
          </cell>
          <cell r="EU25" t="str">
            <v>M3</v>
          </cell>
          <cell r="EV25">
            <v>20</v>
          </cell>
          <cell r="EW25" t="str">
            <v>MB</v>
          </cell>
          <cell r="EX25">
            <v>1</v>
          </cell>
          <cell r="EZ25" t="str">
            <v>MB</v>
          </cell>
          <cell r="FA25">
            <v>1</v>
          </cell>
          <cell r="FB25" t="str">
            <v>MB</v>
          </cell>
          <cell r="FC25">
            <v>1</v>
          </cell>
          <cell r="FD25" t="str">
            <v>F5</v>
          </cell>
          <cell r="FE25">
            <v>20</v>
          </cell>
          <cell r="FF25" t="str">
            <v>M3</v>
          </cell>
          <cell r="FG25">
            <v>20</v>
          </cell>
          <cell r="FH25" t="str">
            <v>MB</v>
          </cell>
          <cell r="FI25">
            <v>1</v>
          </cell>
          <cell r="FK25" t="str">
            <v>MB</v>
          </cell>
          <cell r="FL25">
            <v>1</v>
          </cell>
          <cell r="FM25" t="str">
            <v>MB</v>
          </cell>
          <cell r="FN25">
            <v>1</v>
          </cell>
          <cell r="FO25" t="str">
            <v>F5</v>
          </cell>
          <cell r="FP25">
            <v>20</v>
          </cell>
          <cell r="FQ25" t="str">
            <v>M3</v>
          </cell>
          <cell r="FR25">
            <v>20</v>
          </cell>
          <cell r="FS25" t="str">
            <v>MB</v>
          </cell>
          <cell r="FT25">
            <v>1</v>
          </cell>
        </row>
        <row r="26">
          <cell r="B26" t="str">
            <v>F9</v>
          </cell>
          <cell r="C26">
            <v>1</v>
          </cell>
          <cell r="D26" t="str">
            <v>MB</v>
          </cell>
          <cell r="E26">
            <v>1</v>
          </cell>
          <cell r="F26" t="str">
            <v>M1</v>
          </cell>
          <cell r="G26">
            <v>20</v>
          </cell>
          <cell r="H26" t="str">
            <v>M3</v>
          </cell>
          <cell r="I26">
            <v>20</v>
          </cell>
          <cell r="J26" t="str">
            <v>MB</v>
          </cell>
          <cell r="K26">
            <v>1</v>
          </cell>
          <cell r="M26" t="str">
            <v>F9</v>
          </cell>
          <cell r="N26">
            <v>1</v>
          </cell>
          <cell r="O26" t="str">
            <v>MB</v>
          </cell>
          <cell r="P26">
            <v>1</v>
          </cell>
          <cell r="Q26" t="str">
            <v>M1</v>
          </cell>
          <cell r="R26">
            <v>20</v>
          </cell>
          <cell r="S26" t="str">
            <v>M3</v>
          </cell>
          <cell r="T26">
            <v>20</v>
          </cell>
          <cell r="U26" t="str">
            <v>MB</v>
          </cell>
          <cell r="V26">
            <v>1</v>
          </cell>
          <cell r="X26" t="str">
            <v>F9</v>
          </cell>
          <cell r="Y26">
            <v>1</v>
          </cell>
          <cell r="Z26" t="str">
            <v>MB</v>
          </cell>
          <cell r="AA26">
            <v>1</v>
          </cell>
          <cell r="AB26" t="str">
            <v>M1</v>
          </cell>
          <cell r="AC26">
            <v>20</v>
          </cell>
          <cell r="AD26" t="str">
            <v>M3</v>
          </cell>
          <cell r="AE26">
            <v>20</v>
          </cell>
          <cell r="AF26" t="str">
            <v>MB</v>
          </cell>
          <cell r="AG26">
            <v>1</v>
          </cell>
          <cell r="AI26" t="str">
            <v>F9</v>
          </cell>
          <cell r="AJ26">
            <v>1</v>
          </cell>
          <cell r="AK26" t="str">
            <v>MB</v>
          </cell>
          <cell r="AL26">
            <v>1</v>
          </cell>
          <cell r="AM26" t="str">
            <v>M1</v>
          </cell>
          <cell r="AN26">
            <v>20</v>
          </cell>
          <cell r="AO26" t="str">
            <v>M3</v>
          </cell>
          <cell r="AP26">
            <v>20</v>
          </cell>
          <cell r="AQ26" t="str">
            <v>MB</v>
          </cell>
          <cell r="AR26">
            <v>1</v>
          </cell>
          <cell r="AT26" t="str">
            <v>F9</v>
          </cell>
          <cell r="AU26">
            <v>5000</v>
          </cell>
          <cell r="AV26" t="str">
            <v>MB</v>
          </cell>
          <cell r="AW26">
            <v>1</v>
          </cell>
          <cell r="AX26" t="str">
            <v>M1</v>
          </cell>
          <cell r="AY26">
            <v>20</v>
          </cell>
          <cell r="AZ26" t="str">
            <v>M3</v>
          </cell>
          <cell r="BA26">
            <v>20</v>
          </cell>
          <cell r="BB26" t="str">
            <v>MB</v>
          </cell>
          <cell r="BC26">
            <v>1</v>
          </cell>
          <cell r="BE26" t="str">
            <v>F9</v>
          </cell>
          <cell r="BF26">
            <v>1</v>
          </cell>
          <cell r="BG26" t="str">
            <v>MB</v>
          </cell>
          <cell r="BH26">
            <v>1</v>
          </cell>
          <cell r="BI26" t="str">
            <v>M1</v>
          </cell>
          <cell r="BJ26">
            <v>20</v>
          </cell>
          <cell r="BK26" t="str">
            <v>M3</v>
          </cell>
          <cell r="BL26">
            <v>20</v>
          </cell>
          <cell r="BM26" t="str">
            <v>MB</v>
          </cell>
          <cell r="BN26">
            <v>1</v>
          </cell>
          <cell r="BP26" t="str">
            <v>F9</v>
          </cell>
          <cell r="BQ26">
            <v>1</v>
          </cell>
          <cell r="BR26" t="str">
            <v>MB</v>
          </cell>
          <cell r="BS26">
            <v>1</v>
          </cell>
          <cell r="BT26" t="str">
            <v>M1</v>
          </cell>
          <cell r="BU26">
            <v>20</v>
          </cell>
          <cell r="BV26" t="str">
            <v>M3</v>
          </cell>
          <cell r="BW26">
            <v>20</v>
          </cell>
          <cell r="BX26" t="str">
            <v>MB</v>
          </cell>
          <cell r="BY26">
            <v>1</v>
          </cell>
          <cell r="CA26" t="str">
            <v>F9</v>
          </cell>
          <cell r="CB26">
            <v>1</v>
          </cell>
          <cell r="CC26" t="str">
            <v>MB</v>
          </cell>
          <cell r="CD26">
            <v>1</v>
          </cell>
          <cell r="CE26" t="str">
            <v>M1</v>
          </cell>
          <cell r="CF26">
            <v>20</v>
          </cell>
          <cell r="CG26" t="str">
            <v>M3</v>
          </cell>
          <cell r="CH26">
            <v>20</v>
          </cell>
          <cell r="CI26" t="str">
            <v>MB</v>
          </cell>
          <cell r="CJ26">
            <v>4000</v>
          </cell>
          <cell r="CL26" t="str">
            <v>F9</v>
          </cell>
          <cell r="CM26">
            <v>4000</v>
          </cell>
          <cell r="CN26" t="str">
            <v>MB</v>
          </cell>
          <cell r="CO26">
            <v>1</v>
          </cell>
          <cell r="CP26" t="str">
            <v>M1</v>
          </cell>
          <cell r="CQ26">
            <v>20</v>
          </cell>
          <cell r="CR26" t="str">
            <v>M3</v>
          </cell>
          <cell r="CS26">
            <v>20</v>
          </cell>
          <cell r="CT26" t="str">
            <v>MB</v>
          </cell>
          <cell r="CU26">
            <v>1</v>
          </cell>
          <cell r="CW26" t="str">
            <v>F9</v>
          </cell>
          <cell r="CX26">
            <v>8000</v>
          </cell>
          <cell r="CY26" t="str">
            <v>MB</v>
          </cell>
          <cell r="CZ26">
            <v>1</v>
          </cell>
          <cell r="DA26" t="str">
            <v>M1</v>
          </cell>
          <cell r="DB26">
            <v>20</v>
          </cell>
          <cell r="DC26" t="str">
            <v>M3</v>
          </cell>
          <cell r="DD26">
            <v>20</v>
          </cell>
          <cell r="DE26" t="str">
            <v>MB</v>
          </cell>
          <cell r="DF26">
            <v>8000</v>
          </cell>
          <cell r="DH26" t="str">
            <v>F9</v>
          </cell>
          <cell r="DI26">
            <v>1</v>
          </cell>
          <cell r="DJ26" t="str">
            <v>MB</v>
          </cell>
          <cell r="DK26">
            <v>1</v>
          </cell>
          <cell r="DL26" t="str">
            <v>M1</v>
          </cell>
          <cell r="DM26">
            <v>20</v>
          </cell>
          <cell r="DN26" t="str">
            <v>M3</v>
          </cell>
          <cell r="DO26">
            <v>20</v>
          </cell>
          <cell r="DP26" t="str">
            <v>MB</v>
          </cell>
          <cell r="DQ26">
            <v>2000</v>
          </cell>
          <cell r="DS26" t="str">
            <v>F9</v>
          </cell>
          <cell r="DT26">
            <v>1</v>
          </cell>
          <cell r="DU26" t="str">
            <v>MB</v>
          </cell>
          <cell r="DV26">
            <v>1</v>
          </cell>
          <cell r="DW26" t="str">
            <v>M1</v>
          </cell>
          <cell r="DX26">
            <v>20</v>
          </cell>
          <cell r="DY26" t="str">
            <v>M3</v>
          </cell>
          <cell r="DZ26">
            <v>20</v>
          </cell>
          <cell r="EA26" t="str">
            <v>MB</v>
          </cell>
          <cell r="EB26">
            <v>8000</v>
          </cell>
          <cell r="ED26" t="str">
            <v>F9</v>
          </cell>
          <cell r="EE26">
            <v>1</v>
          </cell>
          <cell r="EF26" t="str">
            <v>MB</v>
          </cell>
          <cell r="EG26">
            <v>1</v>
          </cell>
          <cell r="EH26" t="str">
            <v>M1</v>
          </cell>
          <cell r="EI26">
            <v>20</v>
          </cell>
          <cell r="EJ26" t="str">
            <v>M3</v>
          </cell>
          <cell r="EK26">
            <v>20</v>
          </cell>
          <cell r="EL26" t="str">
            <v>MB</v>
          </cell>
          <cell r="EM26">
            <v>4000</v>
          </cell>
          <cell r="EO26" t="str">
            <v>F9</v>
          </cell>
          <cell r="EP26">
            <v>1</v>
          </cell>
          <cell r="EQ26" t="str">
            <v>MB</v>
          </cell>
          <cell r="ER26">
            <v>1</v>
          </cell>
          <cell r="ES26" t="str">
            <v>M1</v>
          </cell>
          <cell r="ET26">
            <v>20</v>
          </cell>
          <cell r="EU26" t="str">
            <v>M3</v>
          </cell>
          <cell r="EV26">
            <v>20</v>
          </cell>
          <cell r="EW26" t="str">
            <v>MB</v>
          </cell>
          <cell r="EX26">
            <v>4000</v>
          </cell>
          <cell r="EZ26" t="str">
            <v>F9</v>
          </cell>
          <cell r="FA26">
            <v>1</v>
          </cell>
          <cell r="FB26" t="str">
            <v>MB</v>
          </cell>
          <cell r="FC26">
            <v>10000</v>
          </cell>
          <cell r="FD26" t="str">
            <v>M1</v>
          </cell>
          <cell r="FE26">
            <v>20</v>
          </cell>
          <cell r="FF26" t="str">
            <v>M3</v>
          </cell>
          <cell r="FG26">
            <v>20</v>
          </cell>
          <cell r="FH26" t="str">
            <v>MB</v>
          </cell>
          <cell r="FI26">
            <v>10000</v>
          </cell>
          <cell r="FK26" t="str">
            <v>F9</v>
          </cell>
          <cell r="FL26">
            <v>1</v>
          </cell>
          <cell r="FM26" t="str">
            <v>MB</v>
          </cell>
          <cell r="FN26">
            <v>100000000</v>
          </cell>
          <cell r="FO26" t="str">
            <v>M1</v>
          </cell>
          <cell r="FP26">
            <v>20</v>
          </cell>
          <cell r="FQ26" t="str">
            <v>M3</v>
          </cell>
          <cell r="FR26">
            <v>20</v>
          </cell>
          <cell r="FS26" t="str">
            <v>MB</v>
          </cell>
          <cell r="FT26">
            <v>100000000</v>
          </cell>
        </row>
        <row r="27">
          <cell r="B27" t="str">
            <v>F8</v>
          </cell>
          <cell r="C27">
            <v>20</v>
          </cell>
          <cell r="D27" t="str">
            <v>MB</v>
          </cell>
          <cell r="E27">
            <v>1</v>
          </cell>
          <cell r="F27" t="str">
            <v>M3</v>
          </cell>
          <cell r="G27">
            <v>20</v>
          </cell>
          <cell r="H27" t="str">
            <v>F6</v>
          </cell>
          <cell r="I27">
            <v>20</v>
          </cell>
          <cell r="J27" t="str">
            <v>MB</v>
          </cell>
          <cell r="K27">
            <v>1</v>
          </cell>
          <cell r="M27" t="str">
            <v>F8</v>
          </cell>
          <cell r="N27">
            <v>20</v>
          </cell>
          <cell r="O27" t="str">
            <v>MB</v>
          </cell>
          <cell r="P27">
            <v>1</v>
          </cell>
          <cell r="Q27" t="str">
            <v>M3</v>
          </cell>
          <cell r="R27">
            <v>20</v>
          </cell>
          <cell r="S27" t="str">
            <v>F6</v>
          </cell>
          <cell r="T27">
            <v>20</v>
          </cell>
          <cell r="U27" t="str">
            <v>MB</v>
          </cell>
          <cell r="V27">
            <v>1</v>
          </cell>
          <cell r="X27" t="str">
            <v>F8</v>
          </cell>
          <cell r="Y27">
            <v>20</v>
          </cell>
          <cell r="Z27" t="str">
            <v>MB</v>
          </cell>
          <cell r="AA27">
            <v>1</v>
          </cell>
          <cell r="AB27" t="str">
            <v>M3</v>
          </cell>
          <cell r="AC27">
            <v>20</v>
          </cell>
          <cell r="AD27" t="str">
            <v>F6</v>
          </cell>
          <cell r="AE27">
            <v>20</v>
          </cell>
          <cell r="AF27" t="str">
            <v>MB</v>
          </cell>
          <cell r="AG27">
            <v>1</v>
          </cell>
          <cell r="AI27" t="str">
            <v>F8</v>
          </cell>
          <cell r="AJ27">
            <v>20</v>
          </cell>
          <cell r="AK27" t="str">
            <v>MB</v>
          </cell>
          <cell r="AL27">
            <v>1</v>
          </cell>
          <cell r="AM27" t="str">
            <v>M3</v>
          </cell>
          <cell r="AN27">
            <v>20</v>
          </cell>
          <cell r="AO27" t="str">
            <v>F6</v>
          </cell>
          <cell r="AP27">
            <v>20</v>
          </cell>
          <cell r="AQ27" t="str">
            <v>MB</v>
          </cell>
          <cell r="AR27">
            <v>1</v>
          </cell>
          <cell r="AT27" t="str">
            <v>F8</v>
          </cell>
          <cell r="AU27">
            <v>20</v>
          </cell>
          <cell r="AV27" t="str">
            <v>MB</v>
          </cell>
          <cell r="AW27">
            <v>1</v>
          </cell>
          <cell r="AX27" t="str">
            <v>M3</v>
          </cell>
          <cell r="AY27">
            <v>20</v>
          </cell>
          <cell r="AZ27" t="str">
            <v>F6</v>
          </cell>
          <cell r="BA27">
            <v>20</v>
          </cell>
          <cell r="BB27" t="str">
            <v>MB</v>
          </cell>
          <cell r="BC27">
            <v>1</v>
          </cell>
          <cell r="BE27" t="str">
            <v>F8</v>
          </cell>
          <cell r="BF27">
            <v>20</v>
          </cell>
          <cell r="BG27" t="str">
            <v>MB</v>
          </cell>
          <cell r="BH27">
            <v>1</v>
          </cell>
          <cell r="BI27" t="str">
            <v>M3</v>
          </cell>
          <cell r="BJ27">
            <v>20</v>
          </cell>
          <cell r="BK27" t="str">
            <v>F6</v>
          </cell>
          <cell r="BL27">
            <v>20</v>
          </cell>
          <cell r="BM27" t="str">
            <v>MB</v>
          </cell>
          <cell r="BN27">
            <v>1</v>
          </cell>
          <cell r="BP27" t="str">
            <v>F8</v>
          </cell>
          <cell r="BQ27">
            <v>20</v>
          </cell>
          <cell r="BR27" t="str">
            <v>MB</v>
          </cell>
          <cell r="BS27">
            <v>1</v>
          </cell>
          <cell r="BT27" t="str">
            <v>M3</v>
          </cell>
          <cell r="BU27">
            <v>20</v>
          </cell>
          <cell r="BV27" t="str">
            <v>F6</v>
          </cell>
          <cell r="BW27">
            <v>20</v>
          </cell>
          <cell r="BX27" t="str">
            <v>MB</v>
          </cell>
          <cell r="BY27">
            <v>1</v>
          </cell>
          <cell r="CA27" t="str">
            <v>F8</v>
          </cell>
          <cell r="CB27">
            <v>20</v>
          </cell>
          <cell r="CC27" t="str">
            <v>MB</v>
          </cell>
          <cell r="CD27">
            <v>1</v>
          </cell>
          <cell r="CE27" t="str">
            <v>M3</v>
          </cell>
          <cell r="CF27">
            <v>20</v>
          </cell>
          <cell r="CG27" t="str">
            <v>F6</v>
          </cell>
          <cell r="CH27">
            <v>20</v>
          </cell>
          <cell r="CI27" t="str">
            <v>MB</v>
          </cell>
          <cell r="CJ27">
            <v>1</v>
          </cell>
          <cell r="CL27" t="str">
            <v>F8</v>
          </cell>
          <cell r="CM27">
            <v>20</v>
          </cell>
          <cell r="CN27" t="str">
            <v>MB</v>
          </cell>
          <cell r="CO27">
            <v>1</v>
          </cell>
          <cell r="CP27" t="str">
            <v>M3</v>
          </cell>
          <cell r="CQ27">
            <v>20</v>
          </cell>
          <cell r="CR27" t="str">
            <v>F6</v>
          </cell>
          <cell r="CS27">
            <v>20</v>
          </cell>
          <cell r="CT27" t="str">
            <v>MB</v>
          </cell>
          <cell r="CU27">
            <v>1</v>
          </cell>
          <cell r="CW27" t="str">
            <v>F8</v>
          </cell>
          <cell r="CX27">
            <v>20</v>
          </cell>
          <cell r="CY27" t="str">
            <v>MB</v>
          </cell>
          <cell r="CZ27">
            <v>1</v>
          </cell>
          <cell r="DA27" t="str">
            <v>M3</v>
          </cell>
          <cell r="DB27">
            <v>20</v>
          </cell>
          <cell r="DC27" t="str">
            <v>F6</v>
          </cell>
          <cell r="DD27">
            <v>20</v>
          </cell>
          <cell r="DE27" t="str">
            <v>MB</v>
          </cell>
          <cell r="DF27">
            <v>1</v>
          </cell>
          <cell r="DH27" t="str">
            <v>F8</v>
          </cell>
          <cell r="DI27">
            <v>20</v>
          </cell>
          <cell r="DJ27" t="str">
            <v>MB</v>
          </cell>
          <cell r="DK27">
            <v>1</v>
          </cell>
          <cell r="DL27" t="str">
            <v>M3</v>
          </cell>
          <cell r="DM27">
            <v>20</v>
          </cell>
          <cell r="DN27" t="str">
            <v>F6</v>
          </cell>
          <cell r="DO27">
            <v>20</v>
          </cell>
          <cell r="DP27" t="str">
            <v>MB</v>
          </cell>
          <cell r="DQ27">
            <v>1</v>
          </cell>
          <cell r="DS27" t="str">
            <v>F8</v>
          </cell>
          <cell r="DT27">
            <v>20</v>
          </cell>
          <cell r="DU27" t="str">
            <v>MB</v>
          </cell>
          <cell r="DV27">
            <v>1</v>
          </cell>
          <cell r="DW27" t="str">
            <v>M3</v>
          </cell>
          <cell r="DX27">
            <v>20</v>
          </cell>
          <cell r="DY27" t="str">
            <v>F6</v>
          </cell>
          <cell r="DZ27">
            <v>20</v>
          </cell>
          <cell r="EA27" t="str">
            <v>MB</v>
          </cell>
          <cell r="EB27">
            <v>1</v>
          </cell>
          <cell r="ED27" t="str">
            <v>F8</v>
          </cell>
          <cell r="EE27">
            <v>20</v>
          </cell>
          <cell r="EF27" t="str">
            <v>MB</v>
          </cell>
          <cell r="EG27">
            <v>1</v>
          </cell>
          <cell r="EH27" t="str">
            <v>M3</v>
          </cell>
          <cell r="EI27">
            <v>20</v>
          </cell>
          <cell r="EJ27" t="str">
            <v>F6</v>
          </cell>
          <cell r="EK27">
            <v>20</v>
          </cell>
          <cell r="EL27" t="str">
            <v>MB</v>
          </cell>
          <cell r="EM27">
            <v>1</v>
          </cell>
          <cell r="EO27" t="str">
            <v>F8</v>
          </cell>
          <cell r="EP27">
            <v>20</v>
          </cell>
          <cell r="EQ27" t="str">
            <v>MB</v>
          </cell>
          <cell r="ER27">
            <v>1</v>
          </cell>
          <cell r="ES27" t="str">
            <v>M3</v>
          </cell>
          <cell r="ET27">
            <v>20</v>
          </cell>
          <cell r="EU27" t="str">
            <v>F6</v>
          </cell>
          <cell r="EV27">
            <v>20</v>
          </cell>
          <cell r="EW27" t="str">
            <v>MB</v>
          </cell>
          <cell r="EX27">
            <v>1</v>
          </cell>
          <cell r="EZ27" t="str">
            <v>F8</v>
          </cell>
          <cell r="FA27">
            <v>20</v>
          </cell>
          <cell r="FB27" t="str">
            <v>MB</v>
          </cell>
          <cell r="FC27">
            <v>1</v>
          </cell>
          <cell r="FD27" t="str">
            <v>M3</v>
          </cell>
          <cell r="FE27">
            <v>20</v>
          </cell>
          <cell r="FF27" t="str">
            <v>F6</v>
          </cell>
          <cell r="FG27">
            <v>20</v>
          </cell>
          <cell r="FH27" t="str">
            <v>MB</v>
          </cell>
          <cell r="FI27">
            <v>1</v>
          </cell>
          <cell r="FK27" t="str">
            <v>F8</v>
          </cell>
          <cell r="FL27">
            <v>20</v>
          </cell>
          <cell r="FM27" t="str">
            <v>MB</v>
          </cell>
          <cell r="FN27">
            <v>1</v>
          </cell>
          <cell r="FO27" t="str">
            <v>M3</v>
          </cell>
          <cell r="FP27">
            <v>20</v>
          </cell>
          <cell r="FQ27" t="str">
            <v>F6</v>
          </cell>
          <cell r="FR27">
            <v>20</v>
          </cell>
          <cell r="FS27" t="str">
            <v>MB</v>
          </cell>
          <cell r="FT27">
            <v>1</v>
          </cell>
        </row>
        <row r="28">
          <cell r="B28" t="str">
            <v>M3</v>
          </cell>
          <cell r="C28">
            <v>20</v>
          </cell>
          <cell r="D28" t="str">
            <v>M4</v>
          </cell>
          <cell r="E28">
            <v>1</v>
          </cell>
          <cell r="F28" t="str">
            <v>F7</v>
          </cell>
          <cell r="G28">
            <v>1</v>
          </cell>
          <cell r="H28" t="str">
            <v>F6</v>
          </cell>
          <cell r="I28">
            <v>1</v>
          </cell>
          <cell r="J28" t="str">
            <v>M4</v>
          </cell>
          <cell r="K28">
            <v>1</v>
          </cell>
          <cell r="M28" t="str">
            <v>M3</v>
          </cell>
          <cell r="N28">
            <v>20</v>
          </cell>
          <cell r="O28" t="str">
            <v>M4</v>
          </cell>
          <cell r="P28">
            <v>1</v>
          </cell>
          <cell r="Q28" t="str">
            <v>F7</v>
          </cell>
          <cell r="R28">
            <v>1</v>
          </cell>
          <cell r="S28" t="str">
            <v>F6</v>
          </cell>
          <cell r="T28">
            <v>1</v>
          </cell>
          <cell r="U28" t="str">
            <v>M4</v>
          </cell>
          <cell r="V28">
            <v>1</v>
          </cell>
          <cell r="X28" t="str">
            <v>M3</v>
          </cell>
          <cell r="Y28">
            <v>20</v>
          </cell>
          <cell r="Z28" t="str">
            <v>M4</v>
          </cell>
          <cell r="AA28">
            <v>1</v>
          </cell>
          <cell r="AB28" t="str">
            <v>F7</v>
          </cell>
          <cell r="AC28">
            <v>1</v>
          </cell>
          <cell r="AD28" t="str">
            <v>F6</v>
          </cell>
          <cell r="AE28">
            <v>2000</v>
          </cell>
          <cell r="AF28" t="str">
            <v>M4</v>
          </cell>
          <cell r="AG28">
            <v>1</v>
          </cell>
          <cell r="AI28" t="str">
            <v>M3</v>
          </cell>
          <cell r="AJ28">
            <v>20</v>
          </cell>
          <cell r="AK28" t="str">
            <v>M4</v>
          </cell>
          <cell r="AL28">
            <v>1</v>
          </cell>
          <cell r="AM28" t="str">
            <v>F7</v>
          </cell>
          <cell r="AN28">
            <v>1</v>
          </cell>
          <cell r="AO28" t="str">
            <v>F6</v>
          </cell>
          <cell r="AP28">
            <v>1</v>
          </cell>
          <cell r="AQ28" t="str">
            <v>M4</v>
          </cell>
          <cell r="AR28">
            <v>1</v>
          </cell>
          <cell r="AT28" t="str">
            <v>M3</v>
          </cell>
          <cell r="AU28">
            <v>20</v>
          </cell>
          <cell r="AV28" t="str">
            <v>M4</v>
          </cell>
          <cell r="AW28">
            <v>1</v>
          </cell>
          <cell r="AX28" t="str">
            <v>F7</v>
          </cell>
          <cell r="AY28">
            <v>1</v>
          </cell>
          <cell r="AZ28" t="str">
            <v>F6</v>
          </cell>
          <cell r="BA28">
            <v>1</v>
          </cell>
          <cell r="BB28" t="str">
            <v>M4</v>
          </cell>
          <cell r="BC28">
            <v>1</v>
          </cell>
          <cell r="BE28" t="str">
            <v>M3</v>
          </cell>
          <cell r="BF28">
            <v>20</v>
          </cell>
          <cell r="BG28" t="str">
            <v>M4</v>
          </cell>
          <cell r="BH28">
            <v>1</v>
          </cell>
          <cell r="BI28" t="str">
            <v>F7</v>
          </cell>
          <cell r="BJ28">
            <v>1</v>
          </cell>
          <cell r="BK28" t="str">
            <v>F6</v>
          </cell>
          <cell r="BL28">
            <v>4000</v>
          </cell>
          <cell r="BM28" t="str">
            <v>M4</v>
          </cell>
          <cell r="BN28">
            <v>1</v>
          </cell>
          <cell r="BP28" t="str">
            <v>M3</v>
          </cell>
          <cell r="BQ28">
            <v>20</v>
          </cell>
          <cell r="BR28" t="str">
            <v>M4</v>
          </cell>
          <cell r="BS28">
            <v>1</v>
          </cell>
          <cell r="BT28" t="str">
            <v>F7</v>
          </cell>
          <cell r="BU28">
            <v>1</v>
          </cell>
          <cell r="BV28" t="str">
            <v>F6</v>
          </cell>
          <cell r="BW28">
            <v>1</v>
          </cell>
          <cell r="BX28" t="str">
            <v>M4</v>
          </cell>
          <cell r="BY28">
            <v>1</v>
          </cell>
          <cell r="CA28" t="str">
            <v>M3</v>
          </cell>
          <cell r="CB28">
            <v>20</v>
          </cell>
          <cell r="CC28" t="str">
            <v>M4</v>
          </cell>
          <cell r="CD28">
            <v>1</v>
          </cell>
          <cell r="CE28" t="str">
            <v>F7</v>
          </cell>
          <cell r="CF28">
            <v>1</v>
          </cell>
          <cell r="CG28" t="str">
            <v>F6</v>
          </cell>
          <cell r="CH28">
            <v>1</v>
          </cell>
          <cell r="CI28" t="str">
            <v>M4</v>
          </cell>
          <cell r="CJ28">
            <v>1</v>
          </cell>
          <cell r="CL28" t="str">
            <v>M3</v>
          </cell>
          <cell r="CM28">
            <v>20</v>
          </cell>
          <cell r="CN28" t="str">
            <v>M4</v>
          </cell>
          <cell r="CO28">
            <v>1</v>
          </cell>
          <cell r="CP28" t="str">
            <v>F7</v>
          </cell>
          <cell r="CQ28">
            <v>1</v>
          </cell>
          <cell r="CR28" t="str">
            <v>F6</v>
          </cell>
          <cell r="CS28">
            <v>1</v>
          </cell>
          <cell r="CT28" t="str">
            <v>M4</v>
          </cell>
          <cell r="CU28">
            <v>1</v>
          </cell>
          <cell r="CW28" t="str">
            <v>M3</v>
          </cell>
          <cell r="CX28">
            <v>20</v>
          </cell>
          <cell r="CY28" t="str">
            <v>M4</v>
          </cell>
          <cell r="CZ28">
            <v>1</v>
          </cell>
          <cell r="DA28" t="str">
            <v>F7</v>
          </cell>
          <cell r="DB28">
            <v>1</v>
          </cell>
          <cell r="DC28" t="str">
            <v>F6</v>
          </cell>
          <cell r="DD28">
            <v>1</v>
          </cell>
          <cell r="DE28" t="str">
            <v>M4</v>
          </cell>
          <cell r="DF28">
            <v>1</v>
          </cell>
          <cell r="DH28" t="str">
            <v>M3</v>
          </cell>
          <cell r="DI28">
            <v>20</v>
          </cell>
          <cell r="DJ28" t="str">
            <v>M4</v>
          </cell>
          <cell r="DK28">
            <v>1</v>
          </cell>
          <cell r="DL28" t="str">
            <v>F7</v>
          </cell>
          <cell r="DM28">
            <v>1</v>
          </cell>
          <cell r="DN28" t="str">
            <v>F6</v>
          </cell>
          <cell r="DO28">
            <v>1</v>
          </cell>
          <cell r="DP28" t="str">
            <v>M4</v>
          </cell>
          <cell r="DQ28">
            <v>1</v>
          </cell>
          <cell r="DS28" t="str">
            <v>M3</v>
          </cell>
          <cell r="DT28">
            <v>20</v>
          </cell>
          <cell r="DU28" t="str">
            <v>M4</v>
          </cell>
          <cell r="DV28">
            <v>1</v>
          </cell>
          <cell r="DW28" t="str">
            <v>F7</v>
          </cell>
          <cell r="DX28">
            <v>1</v>
          </cell>
          <cell r="DY28" t="str">
            <v>F6</v>
          </cell>
          <cell r="DZ28">
            <v>1</v>
          </cell>
          <cell r="EA28" t="str">
            <v>M4</v>
          </cell>
          <cell r="EB28">
            <v>1</v>
          </cell>
          <cell r="ED28" t="str">
            <v>M3</v>
          </cell>
          <cell r="EE28">
            <v>20</v>
          </cell>
          <cell r="EF28" t="str">
            <v>M4</v>
          </cell>
          <cell r="EG28">
            <v>1</v>
          </cell>
          <cell r="EH28" t="str">
            <v>F7</v>
          </cell>
          <cell r="EI28">
            <v>1</v>
          </cell>
          <cell r="EJ28" t="str">
            <v>F6</v>
          </cell>
          <cell r="EK28">
            <v>1</v>
          </cell>
          <cell r="EL28" t="str">
            <v>M4</v>
          </cell>
          <cell r="EM28">
            <v>1</v>
          </cell>
          <cell r="EO28" t="str">
            <v>M3</v>
          </cell>
          <cell r="EP28">
            <v>20</v>
          </cell>
          <cell r="EQ28" t="str">
            <v>M4</v>
          </cell>
          <cell r="ER28">
            <v>1</v>
          </cell>
          <cell r="ES28" t="str">
            <v>F7</v>
          </cell>
          <cell r="ET28">
            <v>1</v>
          </cell>
          <cell r="EU28" t="str">
            <v>F6</v>
          </cell>
          <cell r="EV28">
            <v>1</v>
          </cell>
          <cell r="EW28" t="str">
            <v>M4</v>
          </cell>
          <cell r="EX28">
            <v>1</v>
          </cell>
          <cell r="EZ28" t="str">
            <v>M3</v>
          </cell>
          <cell r="FA28">
            <v>20</v>
          </cell>
          <cell r="FB28" t="str">
            <v>M4</v>
          </cell>
          <cell r="FC28">
            <v>1</v>
          </cell>
          <cell r="FD28" t="str">
            <v>F7</v>
          </cell>
          <cell r="FE28">
            <v>1</v>
          </cell>
          <cell r="FF28" t="str">
            <v>F6</v>
          </cell>
          <cell r="FG28">
            <v>1</v>
          </cell>
          <cell r="FH28" t="str">
            <v>M4</v>
          </cell>
          <cell r="FI28">
            <v>1</v>
          </cell>
          <cell r="FK28" t="str">
            <v>M3</v>
          </cell>
          <cell r="FL28">
            <v>20</v>
          </cell>
          <cell r="FM28" t="str">
            <v>M4</v>
          </cell>
          <cell r="FN28">
            <v>1</v>
          </cell>
          <cell r="FO28" t="str">
            <v>F7</v>
          </cell>
          <cell r="FP28">
            <v>1</v>
          </cell>
          <cell r="FQ28" t="str">
            <v>F6</v>
          </cell>
          <cell r="FR28">
            <v>1</v>
          </cell>
          <cell r="FS28" t="str">
            <v>M4</v>
          </cell>
          <cell r="FT28">
            <v>1</v>
          </cell>
        </row>
        <row r="29">
          <cell r="B29" t="str">
            <v>M3</v>
          </cell>
          <cell r="C29">
            <v>1</v>
          </cell>
          <cell r="D29" t="str">
            <v>F7</v>
          </cell>
          <cell r="E29">
            <v>20</v>
          </cell>
          <cell r="F29" t="str">
            <v>MB</v>
          </cell>
          <cell r="G29">
            <v>1</v>
          </cell>
          <cell r="H29" t="str">
            <v>MB</v>
          </cell>
          <cell r="I29">
            <v>1</v>
          </cell>
          <cell r="J29" t="str">
            <v>F6</v>
          </cell>
          <cell r="K29">
            <v>20</v>
          </cell>
          <cell r="M29" t="str">
            <v>M3</v>
          </cell>
          <cell r="N29">
            <v>1</v>
          </cell>
          <cell r="O29" t="str">
            <v>F7</v>
          </cell>
          <cell r="P29">
            <v>20</v>
          </cell>
          <cell r="Q29" t="str">
            <v>MB</v>
          </cell>
          <cell r="R29">
            <v>1</v>
          </cell>
          <cell r="S29" t="str">
            <v>MB</v>
          </cell>
          <cell r="T29">
            <v>1</v>
          </cell>
          <cell r="U29" t="str">
            <v>F6</v>
          </cell>
          <cell r="V29">
            <v>20</v>
          </cell>
          <cell r="X29" t="str">
            <v>M3</v>
          </cell>
          <cell r="Y29">
            <v>1</v>
          </cell>
          <cell r="Z29" t="str">
            <v>F7</v>
          </cell>
          <cell r="AA29">
            <v>20</v>
          </cell>
          <cell r="AB29" t="str">
            <v>MB</v>
          </cell>
          <cell r="AC29">
            <v>1</v>
          </cell>
          <cell r="AD29" t="str">
            <v>MB</v>
          </cell>
          <cell r="AE29">
            <v>2000</v>
          </cell>
          <cell r="AF29" t="str">
            <v>F6</v>
          </cell>
          <cell r="AG29">
            <v>20</v>
          </cell>
          <cell r="AI29" t="str">
            <v>M3</v>
          </cell>
          <cell r="AJ29">
            <v>1</v>
          </cell>
          <cell r="AK29" t="str">
            <v>F7</v>
          </cell>
          <cell r="AL29">
            <v>20</v>
          </cell>
          <cell r="AM29" t="str">
            <v>MB</v>
          </cell>
          <cell r="AN29">
            <v>1</v>
          </cell>
          <cell r="AO29" t="str">
            <v>MB</v>
          </cell>
          <cell r="AP29">
            <v>1</v>
          </cell>
          <cell r="AQ29" t="str">
            <v>F6</v>
          </cell>
          <cell r="AR29">
            <v>20</v>
          </cell>
          <cell r="AT29" t="str">
            <v>M3</v>
          </cell>
          <cell r="AU29">
            <v>1</v>
          </cell>
          <cell r="AV29" t="str">
            <v>F7</v>
          </cell>
          <cell r="AW29">
            <v>20</v>
          </cell>
          <cell r="AX29" t="str">
            <v>MB</v>
          </cell>
          <cell r="AY29">
            <v>1</v>
          </cell>
          <cell r="AZ29" t="str">
            <v>MB</v>
          </cell>
          <cell r="BA29">
            <v>1</v>
          </cell>
          <cell r="BB29" t="str">
            <v>F6</v>
          </cell>
          <cell r="BC29">
            <v>20</v>
          </cell>
          <cell r="BE29" t="str">
            <v>M3</v>
          </cell>
          <cell r="BF29">
            <v>1</v>
          </cell>
          <cell r="BG29" t="str">
            <v>F7</v>
          </cell>
          <cell r="BH29">
            <v>20</v>
          </cell>
          <cell r="BI29" t="str">
            <v>MB</v>
          </cell>
          <cell r="BJ29">
            <v>1</v>
          </cell>
          <cell r="BK29" t="str">
            <v>MB</v>
          </cell>
          <cell r="BL29">
            <v>4000</v>
          </cell>
          <cell r="BM29" t="str">
            <v>F6</v>
          </cell>
          <cell r="BN29">
            <v>20</v>
          </cell>
          <cell r="BP29" t="str">
            <v>M3</v>
          </cell>
          <cell r="BQ29">
            <v>1</v>
          </cell>
          <cell r="BR29" t="str">
            <v>F7</v>
          </cell>
          <cell r="BS29">
            <v>20</v>
          </cell>
          <cell r="BT29" t="str">
            <v>MB</v>
          </cell>
          <cell r="BU29">
            <v>1</v>
          </cell>
          <cell r="BV29" t="str">
            <v>MB</v>
          </cell>
          <cell r="BW29">
            <v>1</v>
          </cell>
          <cell r="BX29" t="str">
            <v>F6</v>
          </cell>
          <cell r="BY29">
            <v>20</v>
          </cell>
          <cell r="CA29" t="str">
            <v>M3</v>
          </cell>
          <cell r="CB29">
            <v>1</v>
          </cell>
          <cell r="CC29" t="str">
            <v>F7</v>
          </cell>
          <cell r="CD29">
            <v>20</v>
          </cell>
          <cell r="CE29" t="str">
            <v>MB</v>
          </cell>
          <cell r="CF29">
            <v>1</v>
          </cell>
          <cell r="CG29" t="str">
            <v>MB</v>
          </cell>
          <cell r="CH29">
            <v>1</v>
          </cell>
          <cell r="CI29" t="str">
            <v>F6</v>
          </cell>
          <cell r="CJ29">
            <v>20</v>
          </cell>
          <cell r="CL29" t="str">
            <v>M3</v>
          </cell>
          <cell r="CM29">
            <v>1</v>
          </cell>
          <cell r="CN29" t="str">
            <v>F7</v>
          </cell>
          <cell r="CO29">
            <v>20</v>
          </cell>
          <cell r="CP29" t="str">
            <v>MB</v>
          </cell>
          <cell r="CQ29">
            <v>1</v>
          </cell>
          <cell r="CR29" t="str">
            <v>MB</v>
          </cell>
          <cell r="CS29">
            <v>1</v>
          </cell>
          <cell r="CT29" t="str">
            <v>F6</v>
          </cell>
          <cell r="CU29">
            <v>20</v>
          </cell>
          <cell r="CW29" t="str">
            <v>M3</v>
          </cell>
          <cell r="CX29">
            <v>1</v>
          </cell>
          <cell r="CY29" t="str">
            <v>F7</v>
          </cell>
          <cell r="CZ29">
            <v>20</v>
          </cell>
          <cell r="DA29" t="str">
            <v>MB</v>
          </cell>
          <cell r="DB29">
            <v>1</v>
          </cell>
          <cell r="DC29" t="str">
            <v>MB</v>
          </cell>
          <cell r="DD29">
            <v>1</v>
          </cell>
          <cell r="DE29" t="str">
            <v>F6</v>
          </cell>
          <cell r="DF29">
            <v>20</v>
          </cell>
          <cell r="DH29" t="str">
            <v>M3</v>
          </cell>
          <cell r="DI29">
            <v>1</v>
          </cell>
          <cell r="DJ29" t="str">
            <v>F7</v>
          </cell>
          <cell r="DK29">
            <v>20</v>
          </cell>
          <cell r="DL29" t="str">
            <v>MB</v>
          </cell>
          <cell r="DM29">
            <v>1</v>
          </cell>
          <cell r="DN29" t="str">
            <v>MB</v>
          </cell>
          <cell r="DO29">
            <v>1</v>
          </cell>
          <cell r="DP29" t="str">
            <v>F6</v>
          </cell>
          <cell r="DQ29">
            <v>20</v>
          </cell>
          <cell r="DS29" t="str">
            <v>M3</v>
          </cell>
          <cell r="DT29">
            <v>1</v>
          </cell>
          <cell r="DU29" t="str">
            <v>F7</v>
          </cell>
          <cell r="DV29">
            <v>20</v>
          </cell>
          <cell r="DW29" t="str">
            <v>MB</v>
          </cell>
          <cell r="DX29">
            <v>1</v>
          </cell>
          <cell r="DY29" t="str">
            <v>MB</v>
          </cell>
          <cell r="DZ29">
            <v>1</v>
          </cell>
          <cell r="EA29" t="str">
            <v>F6</v>
          </cell>
          <cell r="EB29">
            <v>20</v>
          </cell>
          <cell r="ED29" t="str">
            <v>M3</v>
          </cell>
          <cell r="EE29">
            <v>1</v>
          </cell>
          <cell r="EF29" t="str">
            <v>F7</v>
          </cell>
          <cell r="EG29">
            <v>20</v>
          </cell>
          <cell r="EH29" t="str">
            <v>MB</v>
          </cell>
          <cell r="EI29">
            <v>1</v>
          </cell>
          <cell r="EJ29" t="str">
            <v>MB</v>
          </cell>
          <cell r="EK29">
            <v>1</v>
          </cell>
          <cell r="EL29" t="str">
            <v>F6</v>
          </cell>
          <cell r="EM29">
            <v>20</v>
          </cell>
          <cell r="EO29" t="str">
            <v>M3</v>
          </cell>
          <cell r="EP29">
            <v>1</v>
          </cell>
          <cell r="EQ29" t="str">
            <v>F7</v>
          </cell>
          <cell r="ER29">
            <v>20</v>
          </cell>
          <cell r="ES29" t="str">
            <v>MB</v>
          </cell>
          <cell r="ET29">
            <v>1</v>
          </cell>
          <cell r="EU29" t="str">
            <v>MB</v>
          </cell>
          <cell r="EV29">
            <v>1</v>
          </cell>
          <cell r="EW29" t="str">
            <v>F6</v>
          </cell>
          <cell r="EX29">
            <v>20</v>
          </cell>
          <cell r="EZ29" t="str">
            <v>M3</v>
          </cell>
          <cell r="FA29">
            <v>1</v>
          </cell>
          <cell r="FB29" t="str">
            <v>F7</v>
          </cell>
          <cell r="FC29">
            <v>20</v>
          </cell>
          <cell r="FD29" t="str">
            <v>MB</v>
          </cell>
          <cell r="FE29">
            <v>1</v>
          </cell>
          <cell r="FF29" t="str">
            <v>MB</v>
          </cell>
          <cell r="FG29">
            <v>1</v>
          </cell>
          <cell r="FH29" t="str">
            <v>F6</v>
          </cell>
          <cell r="FI29">
            <v>20</v>
          </cell>
          <cell r="FK29" t="str">
            <v>M3</v>
          </cell>
          <cell r="FL29">
            <v>1</v>
          </cell>
          <cell r="FM29" t="str">
            <v>F7</v>
          </cell>
          <cell r="FN29">
            <v>20</v>
          </cell>
          <cell r="FO29" t="str">
            <v>MB</v>
          </cell>
          <cell r="FP29">
            <v>1</v>
          </cell>
          <cell r="FQ29" t="str">
            <v>MB</v>
          </cell>
          <cell r="FR29">
            <v>1</v>
          </cell>
          <cell r="FS29" t="str">
            <v>F6</v>
          </cell>
          <cell r="FT29">
            <v>20</v>
          </cell>
        </row>
        <row r="30">
          <cell r="B30" t="str">
            <v>F9</v>
          </cell>
          <cell r="C30">
            <v>1</v>
          </cell>
          <cell r="D30" t="str">
            <v>M2</v>
          </cell>
          <cell r="E30">
            <v>20</v>
          </cell>
          <cell r="F30" t="str">
            <v>MB</v>
          </cell>
          <cell r="G30">
            <v>1</v>
          </cell>
          <cell r="H30" t="str">
            <v>M3</v>
          </cell>
          <cell r="I30">
            <v>1</v>
          </cell>
          <cell r="J30" t="str">
            <v>M4</v>
          </cell>
          <cell r="K30">
            <v>20</v>
          </cell>
          <cell r="M30" t="str">
            <v>F9</v>
          </cell>
          <cell r="N30">
            <v>1</v>
          </cell>
          <cell r="O30" t="str">
            <v>M2</v>
          </cell>
          <cell r="P30">
            <v>20</v>
          </cell>
          <cell r="Q30" t="str">
            <v>MB</v>
          </cell>
          <cell r="R30">
            <v>1</v>
          </cell>
          <cell r="S30" t="str">
            <v>M3</v>
          </cell>
          <cell r="T30">
            <v>10</v>
          </cell>
          <cell r="U30" t="str">
            <v>M4</v>
          </cell>
          <cell r="V30">
            <v>20</v>
          </cell>
          <cell r="X30" t="str">
            <v>F9</v>
          </cell>
          <cell r="Y30">
            <v>1</v>
          </cell>
          <cell r="Z30" t="str">
            <v>M2</v>
          </cell>
          <cell r="AA30">
            <v>20</v>
          </cell>
          <cell r="AB30" t="str">
            <v>MB</v>
          </cell>
          <cell r="AC30">
            <v>1</v>
          </cell>
          <cell r="AD30" t="str">
            <v>M3</v>
          </cell>
          <cell r="AE30">
            <v>2000</v>
          </cell>
          <cell r="AF30" t="str">
            <v>M4</v>
          </cell>
          <cell r="AG30">
            <v>20</v>
          </cell>
          <cell r="AI30" t="str">
            <v>F9</v>
          </cell>
          <cell r="AJ30">
            <v>1</v>
          </cell>
          <cell r="AK30" t="str">
            <v>M2</v>
          </cell>
          <cell r="AL30">
            <v>20</v>
          </cell>
          <cell r="AM30" t="str">
            <v>MB</v>
          </cell>
          <cell r="AN30">
            <v>1</v>
          </cell>
          <cell r="AO30" t="str">
            <v>M3</v>
          </cell>
          <cell r="AP30">
            <v>10</v>
          </cell>
          <cell r="AQ30" t="str">
            <v>M4</v>
          </cell>
          <cell r="AR30">
            <v>20</v>
          </cell>
          <cell r="AT30" t="str">
            <v>F9</v>
          </cell>
          <cell r="AU30">
            <v>1</v>
          </cell>
          <cell r="AV30" t="str">
            <v>M2</v>
          </cell>
          <cell r="AW30">
            <v>20</v>
          </cell>
          <cell r="AX30" t="str">
            <v>MB</v>
          </cell>
          <cell r="AY30">
            <v>1</v>
          </cell>
          <cell r="AZ30" t="str">
            <v>M3</v>
          </cell>
          <cell r="BA30">
            <v>10</v>
          </cell>
          <cell r="BB30" t="str">
            <v>M4</v>
          </cell>
          <cell r="BC30">
            <v>20</v>
          </cell>
          <cell r="BE30" t="str">
            <v>F9</v>
          </cell>
          <cell r="BF30">
            <v>1</v>
          </cell>
          <cell r="BG30" t="str">
            <v>M2</v>
          </cell>
          <cell r="BH30">
            <v>20</v>
          </cell>
          <cell r="BI30" t="str">
            <v>MB</v>
          </cell>
          <cell r="BJ30">
            <v>1</v>
          </cell>
          <cell r="BK30" t="str">
            <v>M3</v>
          </cell>
          <cell r="BL30">
            <v>4000</v>
          </cell>
          <cell r="BM30" t="str">
            <v>M4</v>
          </cell>
          <cell r="BN30">
            <v>20</v>
          </cell>
          <cell r="BP30" t="str">
            <v>F9</v>
          </cell>
          <cell r="BQ30">
            <v>1</v>
          </cell>
          <cell r="BR30" t="str">
            <v>M2</v>
          </cell>
          <cell r="BS30">
            <v>20</v>
          </cell>
          <cell r="BT30" t="str">
            <v>MB</v>
          </cell>
          <cell r="BU30">
            <v>1</v>
          </cell>
          <cell r="BV30" t="str">
            <v>M3</v>
          </cell>
          <cell r="BW30">
            <v>10</v>
          </cell>
          <cell r="BX30" t="str">
            <v>M4</v>
          </cell>
          <cell r="BY30">
            <v>20</v>
          </cell>
          <cell r="CA30" t="str">
            <v>F9</v>
          </cell>
          <cell r="CB30">
            <v>1</v>
          </cell>
          <cell r="CC30" t="str">
            <v>M2</v>
          </cell>
          <cell r="CD30">
            <v>20</v>
          </cell>
          <cell r="CE30" t="str">
            <v>MB</v>
          </cell>
          <cell r="CF30">
            <v>4000</v>
          </cell>
          <cell r="CG30" t="str">
            <v>M3</v>
          </cell>
          <cell r="CH30">
            <v>10</v>
          </cell>
          <cell r="CI30" t="str">
            <v>M4</v>
          </cell>
          <cell r="CJ30">
            <v>20</v>
          </cell>
          <cell r="CL30" t="str">
            <v>F9</v>
          </cell>
          <cell r="CM30">
            <v>1</v>
          </cell>
          <cell r="CN30" t="str">
            <v>M2</v>
          </cell>
          <cell r="CO30">
            <v>20</v>
          </cell>
          <cell r="CP30" t="str">
            <v>MB</v>
          </cell>
          <cell r="CQ30">
            <v>1</v>
          </cell>
          <cell r="CR30" t="str">
            <v>M3</v>
          </cell>
          <cell r="CS30">
            <v>10</v>
          </cell>
          <cell r="CT30" t="str">
            <v>M4</v>
          </cell>
          <cell r="CU30">
            <v>20</v>
          </cell>
          <cell r="CW30" t="str">
            <v>F9</v>
          </cell>
          <cell r="CX30">
            <v>1</v>
          </cell>
          <cell r="CY30" t="str">
            <v>M2</v>
          </cell>
          <cell r="CZ30">
            <v>20</v>
          </cell>
          <cell r="DA30" t="str">
            <v>MB</v>
          </cell>
          <cell r="DB30">
            <v>1</v>
          </cell>
          <cell r="DC30" t="str">
            <v>M3</v>
          </cell>
          <cell r="DD30">
            <v>10</v>
          </cell>
          <cell r="DE30" t="str">
            <v>M4</v>
          </cell>
          <cell r="DF30">
            <v>20</v>
          </cell>
          <cell r="DH30" t="str">
            <v>F9</v>
          </cell>
          <cell r="DI30">
            <v>1</v>
          </cell>
          <cell r="DJ30" t="str">
            <v>M2</v>
          </cell>
          <cell r="DK30">
            <v>20</v>
          </cell>
          <cell r="DL30" t="str">
            <v>MB</v>
          </cell>
          <cell r="DM30">
            <v>1</v>
          </cell>
          <cell r="DN30" t="str">
            <v>M3</v>
          </cell>
          <cell r="DO30">
            <v>10</v>
          </cell>
          <cell r="DP30" t="str">
            <v>M4</v>
          </cell>
          <cell r="DQ30">
            <v>20</v>
          </cell>
          <cell r="DS30" t="str">
            <v>F9</v>
          </cell>
          <cell r="DT30">
            <v>1</v>
          </cell>
          <cell r="DU30" t="str">
            <v>M2</v>
          </cell>
          <cell r="DV30">
            <v>20</v>
          </cell>
          <cell r="DW30" t="str">
            <v>MB</v>
          </cell>
          <cell r="DX30">
            <v>1</v>
          </cell>
          <cell r="DY30" t="str">
            <v>M3</v>
          </cell>
          <cell r="DZ30">
            <v>10</v>
          </cell>
          <cell r="EA30" t="str">
            <v>M4</v>
          </cell>
          <cell r="EB30">
            <v>20</v>
          </cell>
          <cell r="ED30" t="str">
            <v>F9</v>
          </cell>
          <cell r="EE30">
            <v>1</v>
          </cell>
          <cell r="EF30" t="str">
            <v>M2</v>
          </cell>
          <cell r="EG30">
            <v>20</v>
          </cell>
          <cell r="EH30" t="str">
            <v>MB</v>
          </cell>
          <cell r="EI30">
            <v>1</v>
          </cell>
          <cell r="EJ30" t="str">
            <v>M3</v>
          </cell>
          <cell r="EK30">
            <v>10</v>
          </cell>
          <cell r="EL30" t="str">
            <v>M4</v>
          </cell>
          <cell r="EM30">
            <v>20</v>
          </cell>
          <cell r="EO30" t="str">
            <v>F9</v>
          </cell>
          <cell r="EP30">
            <v>1</v>
          </cell>
          <cell r="EQ30" t="str">
            <v>M2</v>
          </cell>
          <cell r="ER30">
            <v>20</v>
          </cell>
          <cell r="ES30" t="str">
            <v>MB</v>
          </cell>
          <cell r="ET30">
            <v>4000</v>
          </cell>
          <cell r="EU30" t="str">
            <v>M3</v>
          </cell>
          <cell r="EV30">
            <v>10</v>
          </cell>
          <cell r="EW30" t="str">
            <v>M4</v>
          </cell>
          <cell r="EX30">
            <v>20</v>
          </cell>
          <cell r="EZ30" t="str">
            <v>F9</v>
          </cell>
          <cell r="FA30">
            <v>1</v>
          </cell>
          <cell r="FB30" t="str">
            <v>M2</v>
          </cell>
          <cell r="FC30">
            <v>20</v>
          </cell>
          <cell r="FD30" t="str">
            <v>MB</v>
          </cell>
          <cell r="FE30">
            <v>10000</v>
          </cell>
          <cell r="FF30" t="str">
            <v>M3</v>
          </cell>
          <cell r="FG30">
            <v>10</v>
          </cell>
          <cell r="FH30" t="str">
            <v>M4</v>
          </cell>
          <cell r="FI30">
            <v>20</v>
          </cell>
          <cell r="FK30" t="str">
            <v>F9</v>
          </cell>
          <cell r="FL30">
            <v>1</v>
          </cell>
          <cell r="FM30" t="str">
            <v>M2</v>
          </cell>
          <cell r="FN30">
            <v>20</v>
          </cell>
          <cell r="FO30" t="str">
            <v>MB</v>
          </cell>
          <cell r="FP30">
            <v>100000000</v>
          </cell>
          <cell r="FQ30" t="str">
            <v>M3</v>
          </cell>
          <cell r="FR30">
            <v>10</v>
          </cell>
          <cell r="FS30" t="str">
            <v>M4</v>
          </cell>
          <cell r="FT30">
            <v>20</v>
          </cell>
        </row>
        <row r="31">
          <cell r="B31" t="str">
            <v>MB</v>
          </cell>
          <cell r="C31">
            <v>1</v>
          </cell>
          <cell r="D31" t="str">
            <v>F6</v>
          </cell>
          <cell r="E31">
            <v>20</v>
          </cell>
          <cell r="F31" t="str">
            <v>MB</v>
          </cell>
          <cell r="G31">
            <v>1</v>
          </cell>
          <cell r="H31" t="str">
            <v>BN</v>
          </cell>
          <cell r="I31">
            <v>10</v>
          </cell>
          <cell r="J31" t="str">
            <v>F8</v>
          </cell>
          <cell r="K31">
            <v>20</v>
          </cell>
          <cell r="M31" t="str">
            <v>MB</v>
          </cell>
          <cell r="N31">
            <v>1</v>
          </cell>
          <cell r="O31" t="str">
            <v>F6</v>
          </cell>
          <cell r="P31">
            <v>20</v>
          </cell>
          <cell r="Q31" t="str">
            <v>MB</v>
          </cell>
          <cell r="R31">
            <v>1</v>
          </cell>
          <cell r="S31" t="str">
            <v>BN</v>
          </cell>
          <cell r="T31">
            <v>10</v>
          </cell>
          <cell r="U31" t="str">
            <v>F8</v>
          </cell>
          <cell r="V31">
            <v>20</v>
          </cell>
          <cell r="X31" t="str">
            <v>MB</v>
          </cell>
          <cell r="Y31">
            <v>1</v>
          </cell>
          <cell r="Z31" t="str">
            <v>F6</v>
          </cell>
          <cell r="AA31">
            <v>20</v>
          </cell>
          <cell r="AB31" t="str">
            <v>MB</v>
          </cell>
          <cell r="AC31">
            <v>1</v>
          </cell>
          <cell r="AD31" t="str">
            <v>BN</v>
          </cell>
          <cell r="AE31">
            <v>10</v>
          </cell>
          <cell r="AF31" t="str">
            <v>F8</v>
          </cell>
          <cell r="AG31">
            <v>20</v>
          </cell>
          <cell r="AI31" t="str">
            <v>MB</v>
          </cell>
          <cell r="AJ31">
            <v>1</v>
          </cell>
          <cell r="AK31" t="str">
            <v>F6</v>
          </cell>
          <cell r="AL31">
            <v>20</v>
          </cell>
          <cell r="AM31" t="str">
            <v>MB</v>
          </cell>
          <cell r="AN31">
            <v>1</v>
          </cell>
          <cell r="AO31" t="str">
            <v>BN</v>
          </cell>
          <cell r="AP31">
            <v>10</v>
          </cell>
          <cell r="AQ31" t="str">
            <v>F8</v>
          </cell>
          <cell r="AR31">
            <v>20</v>
          </cell>
          <cell r="AT31" t="str">
            <v>MB</v>
          </cell>
          <cell r="AU31">
            <v>1</v>
          </cell>
          <cell r="AV31" t="str">
            <v>F6</v>
          </cell>
          <cell r="AW31">
            <v>20</v>
          </cell>
          <cell r="AX31" t="str">
            <v>MB</v>
          </cell>
          <cell r="AY31">
            <v>1</v>
          </cell>
          <cell r="AZ31" t="str">
            <v>BN</v>
          </cell>
          <cell r="BA31">
            <v>10</v>
          </cell>
          <cell r="BB31" t="str">
            <v>F8</v>
          </cell>
          <cell r="BC31">
            <v>20</v>
          </cell>
          <cell r="BE31" t="str">
            <v>MB</v>
          </cell>
          <cell r="BF31">
            <v>1</v>
          </cell>
          <cell r="BG31" t="str">
            <v>F6</v>
          </cell>
          <cell r="BH31">
            <v>20</v>
          </cell>
          <cell r="BI31" t="str">
            <v>MB</v>
          </cell>
          <cell r="BJ31">
            <v>1</v>
          </cell>
          <cell r="BK31" t="str">
            <v>BN</v>
          </cell>
          <cell r="BL31">
            <v>10</v>
          </cell>
          <cell r="BM31" t="str">
            <v>F8</v>
          </cell>
          <cell r="BN31">
            <v>20</v>
          </cell>
          <cell r="BP31" t="str">
            <v>MB</v>
          </cell>
          <cell r="BQ31">
            <v>1</v>
          </cell>
          <cell r="BR31" t="str">
            <v>F6</v>
          </cell>
          <cell r="BS31">
            <v>20</v>
          </cell>
          <cell r="BT31" t="str">
            <v>MB</v>
          </cell>
          <cell r="BU31">
            <v>1</v>
          </cell>
          <cell r="BV31" t="str">
            <v>BN</v>
          </cell>
          <cell r="BW31">
            <v>10</v>
          </cell>
          <cell r="BX31" t="str">
            <v>F8</v>
          </cell>
          <cell r="BY31">
            <v>20</v>
          </cell>
          <cell r="CA31" t="str">
            <v>MB</v>
          </cell>
          <cell r="CB31">
            <v>1</v>
          </cell>
          <cell r="CC31" t="str">
            <v>F6</v>
          </cell>
          <cell r="CD31">
            <v>20</v>
          </cell>
          <cell r="CE31" t="str">
            <v>MB</v>
          </cell>
          <cell r="CF31">
            <v>1</v>
          </cell>
          <cell r="CG31" t="str">
            <v>BN</v>
          </cell>
          <cell r="CH31">
            <v>10</v>
          </cell>
          <cell r="CI31" t="str">
            <v>F8</v>
          </cell>
          <cell r="CJ31">
            <v>20</v>
          </cell>
          <cell r="CL31" t="str">
            <v>MB</v>
          </cell>
          <cell r="CM31">
            <v>1</v>
          </cell>
          <cell r="CN31" t="str">
            <v>F6</v>
          </cell>
          <cell r="CO31">
            <v>20</v>
          </cell>
          <cell r="CP31" t="str">
            <v>MB</v>
          </cell>
          <cell r="CQ31">
            <v>1</v>
          </cell>
          <cell r="CR31" t="str">
            <v>BN</v>
          </cell>
          <cell r="CS31">
            <v>10</v>
          </cell>
          <cell r="CT31" t="str">
            <v>F8</v>
          </cell>
          <cell r="CU31">
            <v>20</v>
          </cell>
          <cell r="CW31" t="str">
            <v>MB</v>
          </cell>
          <cell r="CX31">
            <v>1</v>
          </cell>
          <cell r="CY31" t="str">
            <v>F6</v>
          </cell>
          <cell r="CZ31">
            <v>20</v>
          </cell>
          <cell r="DA31" t="str">
            <v>MB</v>
          </cell>
          <cell r="DB31">
            <v>1</v>
          </cell>
          <cell r="DC31" t="str">
            <v>BN</v>
          </cell>
          <cell r="DD31">
            <v>10</v>
          </cell>
          <cell r="DE31" t="str">
            <v>F8</v>
          </cell>
          <cell r="DF31">
            <v>20</v>
          </cell>
          <cell r="DH31" t="str">
            <v>MB</v>
          </cell>
          <cell r="DI31">
            <v>1</v>
          </cell>
          <cell r="DJ31" t="str">
            <v>F6</v>
          </cell>
          <cell r="DK31">
            <v>20</v>
          </cell>
          <cell r="DL31" t="str">
            <v>MB</v>
          </cell>
          <cell r="DM31">
            <v>1</v>
          </cell>
          <cell r="DN31" t="str">
            <v>BN</v>
          </cell>
          <cell r="DO31">
            <v>10</v>
          </cell>
          <cell r="DP31" t="str">
            <v>F8</v>
          </cell>
          <cell r="DQ31">
            <v>20</v>
          </cell>
          <cell r="DS31" t="str">
            <v>MB</v>
          </cell>
          <cell r="DT31">
            <v>1</v>
          </cell>
          <cell r="DU31" t="str">
            <v>F6</v>
          </cell>
          <cell r="DV31">
            <v>20</v>
          </cell>
          <cell r="DW31" t="str">
            <v>MB</v>
          </cell>
          <cell r="DX31">
            <v>1</v>
          </cell>
          <cell r="DY31" t="str">
            <v>BN</v>
          </cell>
          <cell r="DZ31">
            <v>10</v>
          </cell>
          <cell r="EA31" t="str">
            <v>F8</v>
          </cell>
          <cell r="EB31">
            <v>20</v>
          </cell>
          <cell r="ED31" t="str">
            <v>MB</v>
          </cell>
          <cell r="EE31">
            <v>1</v>
          </cell>
          <cell r="EF31" t="str">
            <v>F6</v>
          </cell>
          <cell r="EG31">
            <v>20</v>
          </cell>
          <cell r="EH31" t="str">
            <v>MB</v>
          </cell>
          <cell r="EI31">
            <v>1</v>
          </cell>
          <cell r="EJ31" t="str">
            <v>BN</v>
          </cell>
          <cell r="EK31">
            <v>10</v>
          </cell>
          <cell r="EL31" t="str">
            <v>F8</v>
          </cell>
          <cell r="EM31">
            <v>20</v>
          </cell>
          <cell r="EO31" t="str">
            <v>MB</v>
          </cell>
          <cell r="EP31">
            <v>1</v>
          </cell>
          <cell r="EQ31" t="str">
            <v>F6</v>
          </cell>
          <cell r="ER31">
            <v>20</v>
          </cell>
          <cell r="ES31" t="str">
            <v>MB</v>
          </cell>
          <cell r="ET31">
            <v>1</v>
          </cell>
          <cell r="EU31" t="str">
            <v>BN</v>
          </cell>
          <cell r="EV31">
            <v>10</v>
          </cell>
          <cell r="EW31" t="str">
            <v>F8</v>
          </cell>
          <cell r="EX31">
            <v>20</v>
          </cell>
          <cell r="EZ31" t="str">
            <v>MB</v>
          </cell>
          <cell r="FA31">
            <v>1</v>
          </cell>
          <cell r="FB31" t="str">
            <v>F6</v>
          </cell>
          <cell r="FC31">
            <v>20</v>
          </cell>
          <cell r="FD31" t="str">
            <v>MB</v>
          </cell>
          <cell r="FE31">
            <v>1</v>
          </cell>
          <cell r="FF31" t="str">
            <v>BN</v>
          </cell>
          <cell r="FG31">
            <v>10</v>
          </cell>
          <cell r="FH31" t="str">
            <v>F8</v>
          </cell>
          <cell r="FI31">
            <v>20</v>
          </cell>
          <cell r="FK31" t="str">
            <v>MB</v>
          </cell>
          <cell r="FL31">
            <v>1</v>
          </cell>
          <cell r="FM31" t="str">
            <v>F6</v>
          </cell>
          <cell r="FN31">
            <v>20</v>
          </cell>
          <cell r="FO31" t="str">
            <v>MB</v>
          </cell>
          <cell r="FP31">
            <v>1</v>
          </cell>
          <cell r="FQ31" t="str">
            <v>BN</v>
          </cell>
          <cell r="FR31">
            <v>10</v>
          </cell>
          <cell r="FS31" t="str">
            <v>F8</v>
          </cell>
          <cell r="FT31">
            <v>20</v>
          </cell>
        </row>
        <row r="32">
          <cell r="B32" t="str">
            <v>MB</v>
          </cell>
          <cell r="C32">
            <v>1</v>
          </cell>
          <cell r="D32" t="str">
            <v>M3</v>
          </cell>
          <cell r="E32">
            <v>1</v>
          </cell>
          <cell r="F32" t="str">
            <v>F5</v>
          </cell>
          <cell r="G32">
            <v>1</v>
          </cell>
          <cell r="H32" t="str">
            <v>F9</v>
          </cell>
          <cell r="I32">
            <v>10</v>
          </cell>
          <cell r="J32" t="str">
            <v>F7</v>
          </cell>
          <cell r="K32">
            <v>20</v>
          </cell>
          <cell r="M32" t="str">
            <v>MB</v>
          </cell>
          <cell r="N32">
            <v>1</v>
          </cell>
          <cell r="O32" t="str">
            <v>M3</v>
          </cell>
          <cell r="P32">
            <v>1</v>
          </cell>
          <cell r="Q32" t="str">
            <v>F5</v>
          </cell>
          <cell r="R32">
            <v>1</v>
          </cell>
          <cell r="S32" t="str">
            <v>F9</v>
          </cell>
          <cell r="T32">
            <v>10</v>
          </cell>
          <cell r="U32" t="str">
            <v>F7</v>
          </cell>
          <cell r="V32">
            <v>20</v>
          </cell>
          <cell r="X32" t="str">
            <v>MB</v>
          </cell>
          <cell r="Y32">
            <v>1</v>
          </cell>
          <cell r="Z32" t="str">
            <v>M3</v>
          </cell>
          <cell r="AA32">
            <v>1</v>
          </cell>
          <cell r="AB32" t="str">
            <v>F5</v>
          </cell>
          <cell r="AC32">
            <v>1</v>
          </cell>
          <cell r="AD32" t="str">
            <v>F9</v>
          </cell>
          <cell r="AE32">
            <v>10</v>
          </cell>
          <cell r="AF32" t="str">
            <v>F7</v>
          </cell>
          <cell r="AG32">
            <v>20</v>
          </cell>
          <cell r="AI32" t="str">
            <v>MB</v>
          </cell>
          <cell r="AJ32">
            <v>1</v>
          </cell>
          <cell r="AK32" t="str">
            <v>M3</v>
          </cell>
          <cell r="AL32">
            <v>1</v>
          </cell>
          <cell r="AM32" t="str">
            <v>F5</v>
          </cell>
          <cell r="AN32">
            <v>1</v>
          </cell>
          <cell r="AO32" t="str">
            <v>F9</v>
          </cell>
          <cell r="AP32">
            <v>10</v>
          </cell>
          <cell r="AQ32" t="str">
            <v>F7</v>
          </cell>
          <cell r="AR32">
            <v>20</v>
          </cell>
          <cell r="AT32" t="str">
            <v>MB</v>
          </cell>
          <cell r="AU32">
            <v>1</v>
          </cell>
          <cell r="AV32" t="str">
            <v>M3</v>
          </cell>
          <cell r="AW32">
            <v>1</v>
          </cell>
          <cell r="AX32" t="str">
            <v>F5</v>
          </cell>
          <cell r="AY32">
            <v>1</v>
          </cell>
          <cell r="AZ32" t="str">
            <v>F9</v>
          </cell>
          <cell r="BA32">
            <v>10</v>
          </cell>
          <cell r="BB32" t="str">
            <v>F7</v>
          </cell>
          <cell r="BC32">
            <v>20</v>
          </cell>
          <cell r="BE32" t="str">
            <v>MB</v>
          </cell>
          <cell r="BF32">
            <v>1</v>
          </cell>
          <cell r="BG32" t="str">
            <v>M3</v>
          </cell>
          <cell r="BH32">
            <v>1</v>
          </cell>
          <cell r="BI32" t="str">
            <v>F5</v>
          </cell>
          <cell r="BJ32">
            <v>1</v>
          </cell>
          <cell r="BK32" t="str">
            <v>F9</v>
          </cell>
          <cell r="BL32">
            <v>10</v>
          </cell>
          <cell r="BM32" t="str">
            <v>F7</v>
          </cell>
          <cell r="BN32">
            <v>20</v>
          </cell>
          <cell r="BP32" t="str">
            <v>MB</v>
          </cell>
          <cell r="BQ32">
            <v>1</v>
          </cell>
          <cell r="BR32" t="str">
            <v>M3</v>
          </cell>
          <cell r="BS32">
            <v>1</v>
          </cell>
          <cell r="BT32" t="str">
            <v>F5</v>
          </cell>
          <cell r="BU32">
            <v>1</v>
          </cell>
          <cell r="BV32" t="str">
            <v>F9</v>
          </cell>
          <cell r="BW32">
            <v>10</v>
          </cell>
          <cell r="BX32" t="str">
            <v>F7</v>
          </cell>
          <cell r="BY32">
            <v>20</v>
          </cell>
          <cell r="CA32" t="str">
            <v>MB</v>
          </cell>
          <cell r="CB32">
            <v>1</v>
          </cell>
          <cell r="CC32" t="str">
            <v>M3</v>
          </cell>
          <cell r="CD32">
            <v>1</v>
          </cell>
          <cell r="CE32" t="str">
            <v>F5</v>
          </cell>
          <cell r="CF32">
            <v>1</v>
          </cell>
          <cell r="CG32" t="str">
            <v>F9</v>
          </cell>
          <cell r="CH32">
            <v>10</v>
          </cell>
          <cell r="CI32" t="str">
            <v>F7</v>
          </cell>
          <cell r="CJ32">
            <v>20</v>
          </cell>
          <cell r="CL32" t="str">
            <v>MB</v>
          </cell>
          <cell r="CM32">
            <v>1</v>
          </cell>
          <cell r="CN32" t="str">
            <v>M3</v>
          </cell>
          <cell r="CO32">
            <v>1</v>
          </cell>
          <cell r="CP32" t="str">
            <v>F5</v>
          </cell>
          <cell r="CQ32">
            <v>1</v>
          </cell>
          <cell r="CR32" t="str">
            <v>F9</v>
          </cell>
          <cell r="CS32">
            <v>10</v>
          </cell>
          <cell r="CT32" t="str">
            <v>F7</v>
          </cell>
          <cell r="CU32">
            <v>20</v>
          </cell>
          <cell r="CW32" t="str">
            <v>MB</v>
          </cell>
          <cell r="CX32">
            <v>1</v>
          </cell>
          <cell r="CY32" t="str">
            <v>M3</v>
          </cell>
          <cell r="CZ32">
            <v>1</v>
          </cell>
          <cell r="DA32" t="str">
            <v>F5</v>
          </cell>
          <cell r="DB32">
            <v>1</v>
          </cell>
          <cell r="DC32" t="str">
            <v>F9</v>
          </cell>
          <cell r="DD32">
            <v>10</v>
          </cell>
          <cell r="DE32" t="str">
            <v>F7</v>
          </cell>
          <cell r="DF32">
            <v>20</v>
          </cell>
          <cell r="DH32" t="str">
            <v>MB</v>
          </cell>
          <cell r="DI32">
            <v>1</v>
          </cell>
          <cell r="DJ32" t="str">
            <v>M3</v>
          </cell>
          <cell r="DK32">
            <v>1</v>
          </cell>
          <cell r="DL32" t="str">
            <v>F5</v>
          </cell>
          <cell r="DM32">
            <v>1</v>
          </cell>
          <cell r="DN32" t="str">
            <v>F9</v>
          </cell>
          <cell r="DO32">
            <v>10</v>
          </cell>
          <cell r="DP32" t="str">
            <v>F7</v>
          </cell>
          <cell r="DQ32">
            <v>20</v>
          </cell>
          <cell r="DS32" t="str">
            <v>MB</v>
          </cell>
          <cell r="DT32">
            <v>1</v>
          </cell>
          <cell r="DU32" t="str">
            <v>M3</v>
          </cell>
          <cell r="DV32">
            <v>1</v>
          </cell>
          <cell r="DW32" t="str">
            <v>F5</v>
          </cell>
          <cell r="DX32">
            <v>1</v>
          </cell>
          <cell r="DY32" t="str">
            <v>F9</v>
          </cell>
          <cell r="DZ32">
            <v>10</v>
          </cell>
          <cell r="EA32" t="str">
            <v>F7</v>
          </cell>
          <cell r="EB32">
            <v>20</v>
          </cell>
          <cell r="ED32" t="str">
            <v>MB</v>
          </cell>
          <cell r="EE32">
            <v>4000</v>
          </cell>
          <cell r="EF32" t="str">
            <v>M3</v>
          </cell>
          <cell r="EG32">
            <v>1</v>
          </cell>
          <cell r="EH32" t="str">
            <v>F5</v>
          </cell>
          <cell r="EI32">
            <v>1</v>
          </cell>
          <cell r="EJ32" t="str">
            <v>F9</v>
          </cell>
          <cell r="EK32">
            <v>10</v>
          </cell>
          <cell r="EL32" t="str">
            <v>F7</v>
          </cell>
          <cell r="EM32">
            <v>20</v>
          </cell>
          <cell r="EO32" t="str">
            <v>MB</v>
          </cell>
          <cell r="EP32">
            <v>4000</v>
          </cell>
          <cell r="EQ32" t="str">
            <v>M3</v>
          </cell>
          <cell r="ER32">
            <v>1</v>
          </cell>
          <cell r="ES32" t="str">
            <v>F5</v>
          </cell>
          <cell r="ET32">
            <v>1</v>
          </cell>
          <cell r="EU32" t="str">
            <v>F9</v>
          </cell>
          <cell r="EV32">
            <v>10</v>
          </cell>
          <cell r="EW32" t="str">
            <v>F7</v>
          </cell>
          <cell r="EX32">
            <v>20</v>
          </cell>
          <cell r="EZ32" t="str">
            <v>MB</v>
          </cell>
          <cell r="FA32">
            <v>1</v>
          </cell>
          <cell r="FB32" t="str">
            <v>M3</v>
          </cell>
          <cell r="FC32">
            <v>1</v>
          </cell>
          <cell r="FD32" t="str">
            <v>F5</v>
          </cell>
          <cell r="FE32">
            <v>1</v>
          </cell>
          <cell r="FF32" t="str">
            <v>F9</v>
          </cell>
          <cell r="FG32">
            <v>10</v>
          </cell>
          <cell r="FH32" t="str">
            <v>F7</v>
          </cell>
          <cell r="FI32">
            <v>20</v>
          </cell>
          <cell r="FK32" t="str">
            <v>MB</v>
          </cell>
          <cell r="FL32">
            <v>100000000</v>
          </cell>
          <cell r="FM32" t="str">
            <v>M3</v>
          </cell>
          <cell r="FN32">
            <v>1</v>
          </cell>
          <cell r="FO32" t="str">
            <v>F5</v>
          </cell>
          <cell r="FP32">
            <v>1</v>
          </cell>
          <cell r="FQ32" t="str">
            <v>F9</v>
          </cell>
          <cell r="FR32">
            <v>10</v>
          </cell>
          <cell r="FS32" t="str">
            <v>F7</v>
          </cell>
          <cell r="FT32">
            <v>20</v>
          </cell>
        </row>
        <row r="33">
          <cell r="B33" t="str">
            <v>MB</v>
          </cell>
          <cell r="C33">
            <v>1</v>
          </cell>
          <cell r="D33" t="str">
            <v>MB</v>
          </cell>
          <cell r="E33">
            <v>1</v>
          </cell>
          <cell r="F33" t="str">
            <v>M4</v>
          </cell>
          <cell r="G33">
            <v>20</v>
          </cell>
          <cell r="H33" t="str">
            <v>M2</v>
          </cell>
          <cell r="I33">
            <v>1</v>
          </cell>
          <cell r="J33" t="str">
            <v>M3</v>
          </cell>
          <cell r="K33">
            <v>20</v>
          </cell>
          <cell r="M33" t="str">
            <v>MB</v>
          </cell>
          <cell r="N33">
            <v>1</v>
          </cell>
          <cell r="O33" t="str">
            <v>MB</v>
          </cell>
          <cell r="P33">
            <v>1</v>
          </cell>
          <cell r="Q33" t="str">
            <v>M4</v>
          </cell>
          <cell r="R33">
            <v>20</v>
          </cell>
          <cell r="S33" t="str">
            <v>M2</v>
          </cell>
          <cell r="T33">
            <v>1</v>
          </cell>
          <cell r="U33" t="str">
            <v>M3</v>
          </cell>
          <cell r="V33">
            <v>20</v>
          </cell>
          <cell r="X33" t="str">
            <v>MB</v>
          </cell>
          <cell r="Y33">
            <v>1</v>
          </cell>
          <cell r="Z33" t="str">
            <v>MB</v>
          </cell>
          <cell r="AA33">
            <v>1</v>
          </cell>
          <cell r="AB33" t="str">
            <v>M4</v>
          </cell>
          <cell r="AC33">
            <v>20</v>
          </cell>
          <cell r="AD33" t="str">
            <v>M2</v>
          </cell>
          <cell r="AE33">
            <v>2000</v>
          </cell>
          <cell r="AF33" t="str">
            <v>M3</v>
          </cell>
          <cell r="AG33">
            <v>20</v>
          </cell>
          <cell r="AI33" t="str">
            <v>MB</v>
          </cell>
          <cell r="AJ33">
            <v>1</v>
          </cell>
          <cell r="AK33" t="str">
            <v>MB</v>
          </cell>
          <cell r="AL33">
            <v>1</v>
          </cell>
          <cell r="AM33" t="str">
            <v>M4</v>
          </cell>
          <cell r="AN33">
            <v>20</v>
          </cell>
          <cell r="AO33" t="str">
            <v>M2</v>
          </cell>
          <cell r="AP33">
            <v>1</v>
          </cell>
          <cell r="AQ33" t="str">
            <v>M3</v>
          </cell>
          <cell r="AR33">
            <v>20</v>
          </cell>
          <cell r="AT33" t="str">
            <v>MB</v>
          </cell>
          <cell r="AU33">
            <v>1</v>
          </cell>
          <cell r="AV33" t="str">
            <v>MB</v>
          </cell>
          <cell r="AW33">
            <v>1</v>
          </cell>
          <cell r="AX33" t="str">
            <v>M4</v>
          </cell>
          <cell r="AY33">
            <v>20</v>
          </cell>
          <cell r="AZ33" t="str">
            <v>M2</v>
          </cell>
          <cell r="BA33">
            <v>1</v>
          </cell>
          <cell r="BB33" t="str">
            <v>M3</v>
          </cell>
          <cell r="BC33">
            <v>20</v>
          </cell>
          <cell r="BE33" t="str">
            <v>MB</v>
          </cell>
          <cell r="BF33">
            <v>1</v>
          </cell>
          <cell r="BG33" t="str">
            <v>MB</v>
          </cell>
          <cell r="BH33">
            <v>1</v>
          </cell>
          <cell r="BI33" t="str">
            <v>M4</v>
          </cell>
          <cell r="BJ33">
            <v>20</v>
          </cell>
          <cell r="BK33" t="str">
            <v>M2</v>
          </cell>
          <cell r="BL33">
            <v>4000</v>
          </cell>
          <cell r="BM33" t="str">
            <v>M3</v>
          </cell>
          <cell r="BN33">
            <v>20</v>
          </cell>
          <cell r="BP33" t="str">
            <v>MB</v>
          </cell>
          <cell r="BQ33">
            <v>1</v>
          </cell>
          <cell r="BR33" t="str">
            <v>MB</v>
          </cell>
          <cell r="BS33">
            <v>1</v>
          </cell>
          <cell r="BT33" t="str">
            <v>M4</v>
          </cell>
          <cell r="BU33">
            <v>20</v>
          </cell>
          <cell r="BV33" t="str">
            <v>M2</v>
          </cell>
          <cell r="BW33">
            <v>1</v>
          </cell>
          <cell r="BX33" t="str">
            <v>M3</v>
          </cell>
          <cell r="BY33">
            <v>20</v>
          </cell>
          <cell r="CA33" t="str">
            <v>MB</v>
          </cell>
          <cell r="CB33">
            <v>1</v>
          </cell>
          <cell r="CC33" t="str">
            <v>MB</v>
          </cell>
          <cell r="CD33">
            <v>1</v>
          </cell>
          <cell r="CE33" t="str">
            <v>M4</v>
          </cell>
          <cell r="CF33">
            <v>20</v>
          </cell>
          <cell r="CG33" t="str">
            <v>M2</v>
          </cell>
          <cell r="CH33">
            <v>1</v>
          </cell>
          <cell r="CI33" t="str">
            <v>M3</v>
          </cell>
          <cell r="CJ33">
            <v>20</v>
          </cell>
          <cell r="CL33" t="str">
            <v>MB</v>
          </cell>
          <cell r="CM33">
            <v>1</v>
          </cell>
          <cell r="CN33" t="str">
            <v>MB</v>
          </cell>
          <cell r="CO33">
            <v>4000</v>
          </cell>
          <cell r="CP33" t="str">
            <v>M4</v>
          </cell>
          <cell r="CQ33">
            <v>20</v>
          </cell>
          <cell r="CR33" t="str">
            <v>M2</v>
          </cell>
          <cell r="CS33">
            <v>1</v>
          </cell>
          <cell r="CT33" t="str">
            <v>M3</v>
          </cell>
          <cell r="CU33">
            <v>20</v>
          </cell>
          <cell r="CW33" t="str">
            <v>MB</v>
          </cell>
          <cell r="CX33">
            <v>1</v>
          </cell>
          <cell r="CY33" t="str">
            <v>MB</v>
          </cell>
          <cell r="CZ33">
            <v>1</v>
          </cell>
          <cell r="DA33" t="str">
            <v>M4</v>
          </cell>
          <cell r="DB33">
            <v>20</v>
          </cell>
          <cell r="DC33" t="str">
            <v>M2</v>
          </cell>
          <cell r="DD33">
            <v>1</v>
          </cell>
          <cell r="DE33" t="str">
            <v>M3</v>
          </cell>
          <cell r="DF33">
            <v>20</v>
          </cell>
          <cell r="DH33" t="str">
            <v>MB</v>
          </cell>
          <cell r="DI33">
            <v>1</v>
          </cell>
          <cell r="DJ33" t="str">
            <v>MB</v>
          </cell>
          <cell r="DK33">
            <v>1</v>
          </cell>
          <cell r="DL33" t="str">
            <v>M4</v>
          </cell>
          <cell r="DM33">
            <v>20</v>
          </cell>
          <cell r="DN33" t="str">
            <v>M2</v>
          </cell>
          <cell r="DO33">
            <v>1</v>
          </cell>
          <cell r="DP33" t="str">
            <v>M3</v>
          </cell>
          <cell r="DQ33">
            <v>20</v>
          </cell>
          <cell r="DS33" t="str">
            <v>MB</v>
          </cell>
          <cell r="DT33">
            <v>1</v>
          </cell>
          <cell r="DU33" t="str">
            <v>MB</v>
          </cell>
          <cell r="DV33">
            <v>8000</v>
          </cell>
          <cell r="DW33" t="str">
            <v>M4</v>
          </cell>
          <cell r="DX33">
            <v>20</v>
          </cell>
          <cell r="DY33" t="str">
            <v>M2</v>
          </cell>
          <cell r="DZ33">
            <v>1</v>
          </cell>
          <cell r="EA33" t="str">
            <v>M3</v>
          </cell>
          <cell r="EB33">
            <v>20</v>
          </cell>
          <cell r="ED33" t="str">
            <v>MB</v>
          </cell>
          <cell r="EE33">
            <v>1</v>
          </cell>
          <cell r="EF33" t="str">
            <v>MB</v>
          </cell>
          <cell r="EG33">
            <v>1</v>
          </cell>
          <cell r="EH33" t="str">
            <v>M4</v>
          </cell>
          <cell r="EI33">
            <v>20</v>
          </cell>
          <cell r="EJ33" t="str">
            <v>M2</v>
          </cell>
          <cell r="EK33">
            <v>1</v>
          </cell>
          <cell r="EL33" t="str">
            <v>M3</v>
          </cell>
          <cell r="EM33">
            <v>20</v>
          </cell>
          <cell r="EO33" t="str">
            <v>MB</v>
          </cell>
          <cell r="EP33">
            <v>1</v>
          </cell>
          <cell r="EQ33" t="str">
            <v>MB</v>
          </cell>
          <cell r="ER33">
            <v>4000</v>
          </cell>
          <cell r="ES33" t="str">
            <v>M4</v>
          </cell>
          <cell r="ET33">
            <v>20</v>
          </cell>
          <cell r="EU33" t="str">
            <v>M2</v>
          </cell>
          <cell r="EV33">
            <v>1</v>
          </cell>
          <cell r="EW33" t="str">
            <v>M3</v>
          </cell>
          <cell r="EX33">
            <v>20</v>
          </cell>
          <cell r="EZ33" t="str">
            <v>MB</v>
          </cell>
          <cell r="FA33">
            <v>1</v>
          </cell>
          <cell r="FB33" t="str">
            <v>MB</v>
          </cell>
          <cell r="FC33">
            <v>1</v>
          </cell>
          <cell r="FD33" t="str">
            <v>M4</v>
          </cell>
          <cell r="FE33">
            <v>20</v>
          </cell>
          <cell r="FF33" t="str">
            <v>M2</v>
          </cell>
          <cell r="FG33">
            <v>1</v>
          </cell>
          <cell r="FH33" t="str">
            <v>M3</v>
          </cell>
          <cell r="FI33">
            <v>20</v>
          </cell>
          <cell r="FK33" t="str">
            <v>MB</v>
          </cell>
          <cell r="FL33">
            <v>1</v>
          </cell>
          <cell r="FM33" t="str">
            <v>MB</v>
          </cell>
          <cell r="FN33">
            <v>1</v>
          </cell>
          <cell r="FO33" t="str">
            <v>M4</v>
          </cell>
          <cell r="FP33">
            <v>20</v>
          </cell>
          <cell r="FQ33" t="str">
            <v>M2</v>
          </cell>
          <cell r="FR33">
            <v>1</v>
          </cell>
          <cell r="FS33" t="str">
            <v>M3</v>
          </cell>
          <cell r="FT33">
            <v>20</v>
          </cell>
        </row>
        <row r="34">
          <cell r="B34" t="str">
            <v>F9</v>
          </cell>
          <cell r="C34">
            <v>1</v>
          </cell>
          <cell r="D34" t="str">
            <v>MB</v>
          </cell>
          <cell r="E34">
            <v>1</v>
          </cell>
          <cell r="F34" t="str">
            <v>M3</v>
          </cell>
          <cell r="G34">
            <v>15</v>
          </cell>
          <cell r="H34" t="str">
            <v>MB</v>
          </cell>
          <cell r="I34">
            <v>1</v>
          </cell>
          <cell r="J34" t="str">
            <v>F9</v>
          </cell>
          <cell r="K34">
            <v>20</v>
          </cell>
          <cell r="M34" t="str">
            <v>F9</v>
          </cell>
          <cell r="N34">
            <v>1</v>
          </cell>
          <cell r="O34" t="str">
            <v>MB</v>
          </cell>
          <cell r="P34">
            <v>1</v>
          </cell>
          <cell r="Q34" t="str">
            <v>M3</v>
          </cell>
          <cell r="R34">
            <v>15</v>
          </cell>
          <cell r="S34" t="str">
            <v>MB</v>
          </cell>
          <cell r="T34">
            <v>1</v>
          </cell>
          <cell r="U34" t="str">
            <v>F9</v>
          </cell>
          <cell r="V34">
            <v>20</v>
          </cell>
          <cell r="X34" t="str">
            <v>F9</v>
          </cell>
          <cell r="Y34">
            <v>1</v>
          </cell>
          <cell r="Z34" t="str">
            <v>MB</v>
          </cell>
          <cell r="AA34">
            <v>1</v>
          </cell>
          <cell r="AB34" t="str">
            <v>M3</v>
          </cell>
          <cell r="AC34">
            <v>15</v>
          </cell>
          <cell r="AD34" t="str">
            <v>MB</v>
          </cell>
          <cell r="AE34">
            <v>2000</v>
          </cell>
          <cell r="AF34" t="str">
            <v>F9</v>
          </cell>
          <cell r="AG34">
            <v>20</v>
          </cell>
          <cell r="AI34" t="str">
            <v>F9</v>
          </cell>
          <cell r="AJ34">
            <v>1</v>
          </cell>
          <cell r="AK34" t="str">
            <v>MB</v>
          </cell>
          <cell r="AL34">
            <v>1</v>
          </cell>
          <cell r="AM34" t="str">
            <v>M3</v>
          </cell>
          <cell r="AN34">
            <v>15</v>
          </cell>
          <cell r="AO34" t="str">
            <v>MB</v>
          </cell>
          <cell r="AP34">
            <v>1</v>
          </cell>
          <cell r="AQ34" t="str">
            <v>F9</v>
          </cell>
          <cell r="AR34">
            <v>20</v>
          </cell>
          <cell r="AT34" t="str">
            <v>F9</v>
          </cell>
          <cell r="AU34">
            <v>1</v>
          </cell>
          <cell r="AV34" t="str">
            <v>MB</v>
          </cell>
          <cell r="AW34">
            <v>1</v>
          </cell>
          <cell r="AX34" t="str">
            <v>M3</v>
          </cell>
          <cell r="AY34">
            <v>15</v>
          </cell>
          <cell r="AZ34" t="str">
            <v>MB</v>
          </cell>
          <cell r="BA34">
            <v>1</v>
          </cell>
          <cell r="BB34" t="str">
            <v>F9</v>
          </cell>
          <cell r="BC34">
            <v>20</v>
          </cell>
          <cell r="BE34" t="str">
            <v>F9</v>
          </cell>
          <cell r="BF34">
            <v>1</v>
          </cell>
          <cell r="BG34" t="str">
            <v>MB</v>
          </cell>
          <cell r="BH34">
            <v>1</v>
          </cell>
          <cell r="BI34" t="str">
            <v>M3</v>
          </cell>
          <cell r="BJ34">
            <v>15</v>
          </cell>
          <cell r="BK34" t="str">
            <v>MB</v>
          </cell>
          <cell r="BL34">
            <v>4000</v>
          </cell>
          <cell r="BM34" t="str">
            <v>F9</v>
          </cell>
          <cell r="BN34">
            <v>20</v>
          </cell>
          <cell r="BP34" t="str">
            <v>F9</v>
          </cell>
          <cell r="BQ34">
            <v>1</v>
          </cell>
          <cell r="BR34" t="str">
            <v>MB</v>
          </cell>
          <cell r="BS34">
            <v>1</v>
          </cell>
          <cell r="BT34" t="str">
            <v>M3</v>
          </cell>
          <cell r="BU34">
            <v>15</v>
          </cell>
          <cell r="BV34" t="str">
            <v>MB</v>
          </cell>
          <cell r="BW34">
            <v>1</v>
          </cell>
          <cell r="BX34" t="str">
            <v>F9</v>
          </cell>
          <cell r="BY34">
            <v>20</v>
          </cell>
          <cell r="CA34" t="str">
            <v>F9</v>
          </cell>
          <cell r="CB34">
            <v>1</v>
          </cell>
          <cell r="CC34" t="str">
            <v>MB</v>
          </cell>
          <cell r="CD34">
            <v>1</v>
          </cell>
          <cell r="CE34" t="str">
            <v>M3</v>
          </cell>
          <cell r="CF34">
            <v>15</v>
          </cell>
          <cell r="CG34" t="str">
            <v>MB</v>
          </cell>
          <cell r="CH34">
            <v>1</v>
          </cell>
          <cell r="CI34" t="str">
            <v>F9</v>
          </cell>
          <cell r="CJ34">
            <v>20</v>
          </cell>
          <cell r="CL34" t="str">
            <v>F9</v>
          </cell>
          <cell r="CM34">
            <v>1</v>
          </cell>
          <cell r="CN34" t="str">
            <v>MB</v>
          </cell>
          <cell r="CO34">
            <v>4000</v>
          </cell>
          <cell r="CP34" t="str">
            <v>M3</v>
          </cell>
          <cell r="CQ34">
            <v>15</v>
          </cell>
          <cell r="CR34" t="str">
            <v>MB</v>
          </cell>
          <cell r="CS34">
            <v>1</v>
          </cell>
          <cell r="CT34" t="str">
            <v>F9</v>
          </cell>
          <cell r="CU34">
            <v>20</v>
          </cell>
          <cell r="CW34" t="str">
            <v>F9</v>
          </cell>
          <cell r="CX34">
            <v>1</v>
          </cell>
          <cell r="CY34" t="str">
            <v>MB</v>
          </cell>
          <cell r="CZ34">
            <v>1</v>
          </cell>
          <cell r="DA34" t="str">
            <v>M3</v>
          </cell>
          <cell r="DB34">
            <v>15</v>
          </cell>
          <cell r="DC34" t="str">
            <v>MB</v>
          </cell>
          <cell r="DD34">
            <v>1</v>
          </cell>
          <cell r="DE34" t="str">
            <v>F9</v>
          </cell>
          <cell r="DF34">
            <v>20</v>
          </cell>
          <cell r="DH34" t="str">
            <v>F9</v>
          </cell>
          <cell r="DI34">
            <v>1</v>
          </cell>
          <cell r="DJ34" t="str">
            <v>MB</v>
          </cell>
          <cell r="DK34">
            <v>1</v>
          </cell>
          <cell r="DL34" t="str">
            <v>M3</v>
          </cell>
          <cell r="DM34">
            <v>15</v>
          </cell>
          <cell r="DN34" t="str">
            <v>MB</v>
          </cell>
          <cell r="DO34">
            <v>1</v>
          </cell>
          <cell r="DP34" t="str">
            <v>F9</v>
          </cell>
          <cell r="DQ34">
            <v>20</v>
          </cell>
          <cell r="DS34" t="str">
            <v>F9</v>
          </cell>
          <cell r="DT34">
            <v>1</v>
          </cell>
          <cell r="DU34" t="str">
            <v>MB</v>
          </cell>
          <cell r="DV34">
            <v>8000</v>
          </cell>
          <cell r="DW34" t="str">
            <v>M3</v>
          </cell>
          <cell r="DX34">
            <v>15</v>
          </cell>
          <cell r="DY34" t="str">
            <v>MB</v>
          </cell>
          <cell r="DZ34">
            <v>1</v>
          </cell>
          <cell r="EA34" t="str">
            <v>F9</v>
          </cell>
          <cell r="EB34">
            <v>20</v>
          </cell>
          <cell r="ED34" t="str">
            <v>F9</v>
          </cell>
          <cell r="EE34">
            <v>1</v>
          </cell>
          <cell r="EF34" t="str">
            <v>MB</v>
          </cell>
          <cell r="EG34">
            <v>1</v>
          </cell>
          <cell r="EH34" t="str">
            <v>M3</v>
          </cell>
          <cell r="EI34">
            <v>15</v>
          </cell>
          <cell r="EJ34" t="str">
            <v>MB</v>
          </cell>
          <cell r="EK34">
            <v>1</v>
          </cell>
          <cell r="EL34" t="str">
            <v>F9</v>
          </cell>
          <cell r="EM34">
            <v>20</v>
          </cell>
          <cell r="EO34" t="str">
            <v>F9</v>
          </cell>
          <cell r="EP34">
            <v>1</v>
          </cell>
          <cell r="EQ34" t="str">
            <v>MB</v>
          </cell>
          <cell r="ER34">
            <v>4000</v>
          </cell>
          <cell r="ES34" t="str">
            <v>M3</v>
          </cell>
          <cell r="ET34">
            <v>15</v>
          </cell>
          <cell r="EU34" t="str">
            <v>MB</v>
          </cell>
          <cell r="EV34">
            <v>1</v>
          </cell>
          <cell r="EW34" t="str">
            <v>F9</v>
          </cell>
          <cell r="EX34">
            <v>20</v>
          </cell>
          <cell r="EZ34" t="str">
            <v>F9</v>
          </cell>
          <cell r="FA34">
            <v>1</v>
          </cell>
          <cell r="FB34" t="str">
            <v>MB</v>
          </cell>
          <cell r="FC34">
            <v>1</v>
          </cell>
          <cell r="FD34" t="str">
            <v>M3</v>
          </cell>
          <cell r="FE34">
            <v>15</v>
          </cell>
          <cell r="FF34" t="str">
            <v>MB</v>
          </cell>
          <cell r="FG34">
            <v>1</v>
          </cell>
          <cell r="FH34" t="str">
            <v>F9</v>
          </cell>
          <cell r="FI34">
            <v>20</v>
          </cell>
          <cell r="FK34" t="str">
            <v>F9</v>
          </cell>
          <cell r="FL34">
            <v>1</v>
          </cell>
          <cell r="FM34" t="str">
            <v>MB</v>
          </cell>
          <cell r="FN34">
            <v>1</v>
          </cell>
          <cell r="FO34" t="str">
            <v>M3</v>
          </cell>
          <cell r="FP34">
            <v>15</v>
          </cell>
          <cell r="FQ34" t="str">
            <v>MB</v>
          </cell>
          <cell r="FR34">
            <v>1</v>
          </cell>
          <cell r="FS34" t="str">
            <v>F9</v>
          </cell>
          <cell r="FT34">
            <v>20</v>
          </cell>
        </row>
        <row r="35">
          <cell r="B35" t="str">
            <v>F7</v>
          </cell>
          <cell r="C35">
            <v>20</v>
          </cell>
          <cell r="D35" t="str">
            <v>M2</v>
          </cell>
          <cell r="E35">
            <v>1</v>
          </cell>
          <cell r="F35" t="str">
            <v>BN</v>
          </cell>
          <cell r="G35">
            <v>15</v>
          </cell>
          <cell r="H35" t="str">
            <v>F9</v>
          </cell>
          <cell r="I35">
            <v>1</v>
          </cell>
          <cell r="J35" t="str">
            <v>M4</v>
          </cell>
          <cell r="K35">
            <v>1</v>
          </cell>
          <cell r="M35" t="str">
            <v>F7</v>
          </cell>
          <cell r="N35">
            <v>20</v>
          </cell>
          <cell r="O35" t="str">
            <v>M2</v>
          </cell>
          <cell r="P35">
            <v>1</v>
          </cell>
          <cell r="Q35" t="str">
            <v>BN</v>
          </cell>
          <cell r="R35">
            <v>15</v>
          </cell>
          <cell r="S35" t="str">
            <v>F9</v>
          </cell>
          <cell r="T35">
            <v>1</v>
          </cell>
          <cell r="U35" t="str">
            <v>M4</v>
          </cell>
          <cell r="V35">
            <v>1</v>
          </cell>
          <cell r="X35" t="str">
            <v>F7</v>
          </cell>
          <cell r="Y35">
            <v>20</v>
          </cell>
          <cell r="Z35" t="str">
            <v>M2</v>
          </cell>
          <cell r="AA35">
            <v>1</v>
          </cell>
          <cell r="AB35" t="str">
            <v>BN</v>
          </cell>
          <cell r="AC35">
            <v>15</v>
          </cell>
          <cell r="AD35" t="str">
            <v>F9</v>
          </cell>
          <cell r="AE35">
            <v>2000</v>
          </cell>
          <cell r="AF35" t="str">
            <v>M4</v>
          </cell>
          <cell r="AG35">
            <v>1</v>
          </cell>
          <cell r="AI35" t="str">
            <v>F7</v>
          </cell>
          <cell r="AJ35">
            <v>20</v>
          </cell>
          <cell r="AK35" t="str">
            <v>M2</v>
          </cell>
          <cell r="AL35">
            <v>1</v>
          </cell>
          <cell r="AM35" t="str">
            <v>BN</v>
          </cell>
          <cell r="AN35">
            <v>15</v>
          </cell>
          <cell r="AO35" t="str">
            <v>F9</v>
          </cell>
          <cell r="AP35">
            <v>1</v>
          </cell>
          <cell r="AQ35" t="str">
            <v>M4</v>
          </cell>
          <cell r="AR35">
            <v>1</v>
          </cell>
          <cell r="AT35" t="str">
            <v>F7</v>
          </cell>
          <cell r="AU35">
            <v>20</v>
          </cell>
          <cell r="AV35" t="str">
            <v>M2</v>
          </cell>
          <cell r="AW35">
            <v>1</v>
          </cell>
          <cell r="AX35" t="str">
            <v>BN</v>
          </cell>
          <cell r="AY35">
            <v>15</v>
          </cell>
          <cell r="AZ35" t="str">
            <v>F9</v>
          </cell>
          <cell r="BA35">
            <v>1</v>
          </cell>
          <cell r="BB35" t="str">
            <v>M4</v>
          </cell>
          <cell r="BC35">
            <v>1</v>
          </cell>
          <cell r="BE35" t="str">
            <v>F7</v>
          </cell>
          <cell r="BF35">
            <v>20</v>
          </cell>
          <cell r="BG35" t="str">
            <v>M2</v>
          </cell>
          <cell r="BH35">
            <v>1</v>
          </cell>
          <cell r="BI35" t="str">
            <v>BN</v>
          </cell>
          <cell r="BJ35">
            <v>15</v>
          </cell>
          <cell r="BK35" t="str">
            <v>F9</v>
          </cell>
          <cell r="BL35">
            <v>4000</v>
          </cell>
          <cell r="BM35" t="str">
            <v>M4</v>
          </cell>
          <cell r="BN35">
            <v>1</v>
          </cell>
          <cell r="BP35" t="str">
            <v>F7</v>
          </cell>
          <cell r="BQ35">
            <v>20</v>
          </cell>
          <cell r="BR35" t="str">
            <v>M2</v>
          </cell>
          <cell r="BS35">
            <v>1</v>
          </cell>
          <cell r="BT35" t="str">
            <v>BN</v>
          </cell>
          <cell r="BU35">
            <v>15</v>
          </cell>
          <cell r="BV35" t="str">
            <v>F9</v>
          </cell>
          <cell r="BW35">
            <v>1</v>
          </cell>
          <cell r="BX35" t="str">
            <v>M4</v>
          </cell>
          <cell r="BY35">
            <v>1</v>
          </cell>
          <cell r="CA35" t="str">
            <v>F7</v>
          </cell>
          <cell r="CB35">
            <v>20</v>
          </cell>
          <cell r="CC35" t="str">
            <v>M2</v>
          </cell>
          <cell r="CD35">
            <v>1</v>
          </cell>
          <cell r="CE35" t="str">
            <v>BN</v>
          </cell>
          <cell r="CF35">
            <v>15</v>
          </cell>
          <cell r="CG35" t="str">
            <v>F9</v>
          </cell>
          <cell r="CH35">
            <v>1</v>
          </cell>
          <cell r="CI35" t="str">
            <v>M4</v>
          </cell>
          <cell r="CJ35">
            <v>1</v>
          </cell>
          <cell r="CL35" t="str">
            <v>F7</v>
          </cell>
          <cell r="CM35">
            <v>20</v>
          </cell>
          <cell r="CN35" t="str">
            <v>M2</v>
          </cell>
          <cell r="CO35">
            <v>1</v>
          </cell>
          <cell r="CP35" t="str">
            <v>BN</v>
          </cell>
          <cell r="CQ35">
            <v>15</v>
          </cell>
          <cell r="CR35" t="str">
            <v>F9</v>
          </cell>
          <cell r="CS35">
            <v>1</v>
          </cell>
          <cell r="CT35" t="str">
            <v>M4</v>
          </cell>
          <cell r="CU35">
            <v>1</v>
          </cell>
          <cell r="CW35" t="str">
            <v>F7</v>
          </cell>
          <cell r="CX35">
            <v>20</v>
          </cell>
          <cell r="CY35" t="str">
            <v>M2</v>
          </cell>
          <cell r="CZ35">
            <v>1</v>
          </cell>
          <cell r="DA35" t="str">
            <v>BN</v>
          </cell>
          <cell r="DB35">
            <v>15</v>
          </cell>
          <cell r="DC35" t="str">
            <v>F9</v>
          </cell>
          <cell r="DD35">
            <v>1</v>
          </cell>
          <cell r="DE35" t="str">
            <v>M4</v>
          </cell>
          <cell r="DF35">
            <v>1</v>
          </cell>
          <cell r="DH35" t="str">
            <v>F7</v>
          </cell>
          <cell r="DI35">
            <v>20</v>
          </cell>
          <cell r="DJ35" t="str">
            <v>M2</v>
          </cell>
          <cell r="DK35">
            <v>1</v>
          </cell>
          <cell r="DL35" t="str">
            <v>BN</v>
          </cell>
          <cell r="DM35">
            <v>15</v>
          </cell>
          <cell r="DN35" t="str">
            <v>F9</v>
          </cell>
          <cell r="DO35">
            <v>1</v>
          </cell>
          <cell r="DP35" t="str">
            <v>M4</v>
          </cell>
          <cell r="DQ35">
            <v>1</v>
          </cell>
          <cell r="DS35" t="str">
            <v>F7</v>
          </cell>
          <cell r="DT35">
            <v>20</v>
          </cell>
          <cell r="DU35" t="str">
            <v>M2</v>
          </cell>
          <cell r="DV35">
            <v>1</v>
          </cell>
          <cell r="DW35" t="str">
            <v>BN</v>
          </cell>
          <cell r="DX35">
            <v>15</v>
          </cell>
          <cell r="DY35" t="str">
            <v>F9</v>
          </cell>
          <cell r="DZ35">
            <v>1</v>
          </cell>
          <cell r="EA35" t="str">
            <v>M4</v>
          </cell>
          <cell r="EB35">
            <v>1</v>
          </cell>
          <cell r="ED35" t="str">
            <v>F7</v>
          </cell>
          <cell r="EE35">
            <v>20</v>
          </cell>
          <cell r="EF35" t="str">
            <v>M2</v>
          </cell>
          <cell r="EG35">
            <v>1</v>
          </cell>
          <cell r="EH35" t="str">
            <v>BN</v>
          </cell>
          <cell r="EI35">
            <v>15</v>
          </cell>
          <cell r="EJ35" t="str">
            <v>F9</v>
          </cell>
          <cell r="EK35">
            <v>1</v>
          </cell>
          <cell r="EL35" t="str">
            <v>M4</v>
          </cell>
          <cell r="EM35">
            <v>1</v>
          </cell>
          <cell r="EO35" t="str">
            <v>F7</v>
          </cell>
          <cell r="EP35">
            <v>20</v>
          </cell>
          <cell r="EQ35" t="str">
            <v>M2</v>
          </cell>
          <cell r="ER35">
            <v>1</v>
          </cell>
          <cell r="ES35" t="str">
            <v>BN</v>
          </cell>
          <cell r="ET35">
            <v>15</v>
          </cell>
          <cell r="EU35" t="str">
            <v>F9</v>
          </cell>
          <cell r="EV35">
            <v>1</v>
          </cell>
          <cell r="EW35" t="str">
            <v>M4</v>
          </cell>
          <cell r="EX35">
            <v>1</v>
          </cell>
          <cell r="EZ35" t="str">
            <v>F7</v>
          </cell>
          <cell r="FA35">
            <v>20</v>
          </cell>
          <cell r="FB35" t="str">
            <v>M2</v>
          </cell>
          <cell r="FC35">
            <v>1</v>
          </cell>
          <cell r="FD35" t="str">
            <v>BN</v>
          </cell>
          <cell r="FE35">
            <v>15</v>
          </cell>
          <cell r="FF35" t="str">
            <v>F9</v>
          </cell>
          <cell r="FG35">
            <v>1</v>
          </cell>
          <cell r="FH35" t="str">
            <v>M4</v>
          </cell>
          <cell r="FI35">
            <v>1</v>
          </cell>
          <cell r="FK35" t="str">
            <v>F7</v>
          </cell>
          <cell r="FL35">
            <v>20</v>
          </cell>
          <cell r="FM35" t="str">
            <v>M2</v>
          </cell>
          <cell r="FN35">
            <v>1</v>
          </cell>
          <cell r="FO35" t="str">
            <v>BN</v>
          </cell>
          <cell r="FP35">
            <v>15</v>
          </cell>
          <cell r="FQ35" t="str">
            <v>F9</v>
          </cell>
          <cell r="FR35">
            <v>1</v>
          </cell>
          <cell r="FS35" t="str">
            <v>M4</v>
          </cell>
          <cell r="FT35">
            <v>1</v>
          </cell>
        </row>
        <row r="36">
          <cell r="B36" t="str">
            <v>F7</v>
          </cell>
          <cell r="C36">
            <v>20</v>
          </cell>
          <cell r="D36" t="str">
            <v>F8</v>
          </cell>
          <cell r="E36">
            <v>15</v>
          </cell>
          <cell r="F36" t="str">
            <v>M4</v>
          </cell>
          <cell r="G36">
            <v>15</v>
          </cell>
          <cell r="H36" t="str">
            <v>F9</v>
          </cell>
          <cell r="I36">
            <v>20</v>
          </cell>
          <cell r="J36" t="str">
            <v>MB</v>
          </cell>
          <cell r="K36">
            <v>1</v>
          </cell>
          <cell r="M36" t="str">
            <v>F7</v>
          </cell>
          <cell r="N36">
            <v>20</v>
          </cell>
          <cell r="O36" t="str">
            <v>F8</v>
          </cell>
          <cell r="P36">
            <v>15</v>
          </cell>
          <cell r="Q36" t="str">
            <v>M4</v>
          </cell>
          <cell r="R36">
            <v>15</v>
          </cell>
          <cell r="S36" t="str">
            <v>F9</v>
          </cell>
          <cell r="T36">
            <v>15</v>
          </cell>
          <cell r="U36" t="str">
            <v>MB</v>
          </cell>
          <cell r="V36">
            <v>1</v>
          </cell>
          <cell r="X36" t="str">
            <v>F7</v>
          </cell>
          <cell r="Y36">
            <v>20</v>
          </cell>
          <cell r="Z36" t="str">
            <v>F8</v>
          </cell>
          <cell r="AA36">
            <v>15</v>
          </cell>
          <cell r="AB36" t="str">
            <v>M4</v>
          </cell>
          <cell r="AC36">
            <v>15</v>
          </cell>
          <cell r="AD36" t="str">
            <v>F9</v>
          </cell>
          <cell r="AE36">
            <v>15</v>
          </cell>
          <cell r="AF36" t="str">
            <v>MB</v>
          </cell>
          <cell r="AG36">
            <v>1</v>
          </cell>
          <cell r="AI36" t="str">
            <v>F7</v>
          </cell>
          <cell r="AJ36">
            <v>20</v>
          </cell>
          <cell r="AK36" t="str">
            <v>F8</v>
          </cell>
          <cell r="AL36">
            <v>15</v>
          </cell>
          <cell r="AM36" t="str">
            <v>M4</v>
          </cell>
          <cell r="AN36">
            <v>15</v>
          </cell>
          <cell r="AO36" t="str">
            <v>F9</v>
          </cell>
          <cell r="AP36">
            <v>15</v>
          </cell>
          <cell r="AQ36" t="str">
            <v>MB</v>
          </cell>
          <cell r="AR36">
            <v>1</v>
          </cell>
          <cell r="AT36" t="str">
            <v>F7</v>
          </cell>
          <cell r="AU36">
            <v>20</v>
          </cell>
          <cell r="AV36" t="str">
            <v>F8</v>
          </cell>
          <cell r="AW36">
            <v>15</v>
          </cell>
          <cell r="AX36" t="str">
            <v>M4</v>
          </cell>
          <cell r="AY36">
            <v>5000</v>
          </cell>
          <cell r="AZ36" t="str">
            <v>F9</v>
          </cell>
          <cell r="BA36">
            <v>15</v>
          </cell>
          <cell r="BB36" t="str">
            <v>MB</v>
          </cell>
          <cell r="BC36">
            <v>1</v>
          </cell>
          <cell r="BE36" t="str">
            <v>F7</v>
          </cell>
          <cell r="BF36">
            <v>1</v>
          </cell>
          <cell r="BG36" t="str">
            <v>F8</v>
          </cell>
          <cell r="BH36">
            <v>15</v>
          </cell>
          <cell r="BI36" t="str">
            <v>M4</v>
          </cell>
          <cell r="BJ36">
            <v>15</v>
          </cell>
          <cell r="BK36" t="str">
            <v>F9</v>
          </cell>
          <cell r="BL36">
            <v>15</v>
          </cell>
          <cell r="BM36" t="str">
            <v>MB</v>
          </cell>
          <cell r="BN36">
            <v>1</v>
          </cell>
          <cell r="BP36" t="str">
            <v>F7</v>
          </cell>
          <cell r="BQ36">
            <v>20</v>
          </cell>
          <cell r="BR36" t="str">
            <v>F8</v>
          </cell>
          <cell r="BS36">
            <v>15</v>
          </cell>
          <cell r="BT36" t="str">
            <v>M4</v>
          </cell>
          <cell r="BU36">
            <v>15</v>
          </cell>
          <cell r="BV36" t="str">
            <v>F9</v>
          </cell>
          <cell r="BW36">
            <v>15</v>
          </cell>
          <cell r="BX36" t="str">
            <v>MB</v>
          </cell>
          <cell r="BY36">
            <v>1</v>
          </cell>
          <cell r="CA36" t="str">
            <v>F7</v>
          </cell>
          <cell r="CB36">
            <v>20</v>
          </cell>
          <cell r="CC36" t="str">
            <v>F8</v>
          </cell>
          <cell r="CD36">
            <v>15</v>
          </cell>
          <cell r="CE36" t="str">
            <v>M4</v>
          </cell>
          <cell r="CF36">
            <v>15</v>
          </cell>
          <cell r="CG36" t="str">
            <v>F9</v>
          </cell>
          <cell r="CH36">
            <v>15</v>
          </cell>
          <cell r="CI36" t="str">
            <v>MB</v>
          </cell>
          <cell r="CJ36">
            <v>1</v>
          </cell>
          <cell r="CL36" t="str">
            <v>F7</v>
          </cell>
          <cell r="CM36">
            <v>20</v>
          </cell>
          <cell r="CN36" t="str">
            <v>F8</v>
          </cell>
          <cell r="CO36">
            <v>15</v>
          </cell>
          <cell r="CP36" t="str">
            <v>M4</v>
          </cell>
          <cell r="CQ36">
            <v>4000</v>
          </cell>
          <cell r="CR36" t="str">
            <v>F9</v>
          </cell>
          <cell r="CS36">
            <v>15</v>
          </cell>
          <cell r="CT36" t="str">
            <v>MB</v>
          </cell>
          <cell r="CU36">
            <v>1</v>
          </cell>
          <cell r="CW36" t="str">
            <v>F7</v>
          </cell>
          <cell r="CX36">
            <v>20</v>
          </cell>
          <cell r="CY36" t="str">
            <v>F8</v>
          </cell>
          <cell r="CZ36">
            <v>15</v>
          </cell>
          <cell r="DA36" t="str">
            <v>M4</v>
          </cell>
          <cell r="DB36">
            <v>15</v>
          </cell>
          <cell r="DC36" t="str">
            <v>F9</v>
          </cell>
          <cell r="DD36">
            <v>15</v>
          </cell>
          <cell r="DE36" t="str">
            <v>MB</v>
          </cell>
          <cell r="DF36">
            <v>1</v>
          </cell>
          <cell r="DH36" t="str">
            <v>F7</v>
          </cell>
          <cell r="DI36">
            <v>20</v>
          </cell>
          <cell r="DJ36" t="str">
            <v>F8</v>
          </cell>
          <cell r="DK36">
            <v>15</v>
          </cell>
          <cell r="DL36" t="str">
            <v>M4</v>
          </cell>
          <cell r="DM36">
            <v>15</v>
          </cell>
          <cell r="DN36" t="str">
            <v>F9</v>
          </cell>
          <cell r="DO36">
            <v>15</v>
          </cell>
          <cell r="DP36" t="str">
            <v>MB</v>
          </cell>
          <cell r="DQ36">
            <v>1</v>
          </cell>
          <cell r="DS36" t="str">
            <v>F7</v>
          </cell>
          <cell r="DT36">
            <v>20</v>
          </cell>
          <cell r="DU36" t="str">
            <v>F8</v>
          </cell>
          <cell r="DV36">
            <v>15</v>
          </cell>
          <cell r="DW36" t="str">
            <v>M4</v>
          </cell>
          <cell r="DX36">
            <v>15</v>
          </cell>
          <cell r="DY36" t="str">
            <v>F9</v>
          </cell>
          <cell r="DZ36">
            <v>15</v>
          </cell>
          <cell r="EA36" t="str">
            <v>MB</v>
          </cell>
          <cell r="EB36">
            <v>1</v>
          </cell>
          <cell r="ED36" t="str">
            <v>F7</v>
          </cell>
          <cell r="EE36">
            <v>20</v>
          </cell>
          <cell r="EF36" t="str">
            <v>F8</v>
          </cell>
          <cell r="EG36">
            <v>15</v>
          </cell>
          <cell r="EH36" t="str">
            <v>M4</v>
          </cell>
          <cell r="EI36">
            <v>15</v>
          </cell>
          <cell r="EJ36" t="str">
            <v>F9</v>
          </cell>
          <cell r="EK36">
            <v>15</v>
          </cell>
          <cell r="EL36" t="str">
            <v>MB</v>
          </cell>
          <cell r="EM36">
            <v>1</v>
          </cell>
          <cell r="EO36" t="str">
            <v>F7</v>
          </cell>
          <cell r="EP36">
            <v>20</v>
          </cell>
          <cell r="EQ36" t="str">
            <v>F8</v>
          </cell>
          <cell r="ER36">
            <v>15</v>
          </cell>
          <cell r="ES36" t="str">
            <v>M4</v>
          </cell>
          <cell r="ET36">
            <v>15</v>
          </cell>
          <cell r="EU36" t="str">
            <v>F9</v>
          </cell>
          <cell r="EV36">
            <v>15</v>
          </cell>
          <cell r="EW36" t="str">
            <v>MB</v>
          </cell>
          <cell r="EX36">
            <v>1</v>
          </cell>
          <cell r="EZ36" t="str">
            <v>F7</v>
          </cell>
          <cell r="FA36">
            <v>20</v>
          </cell>
          <cell r="FB36" t="str">
            <v>F8</v>
          </cell>
          <cell r="FC36">
            <v>15</v>
          </cell>
          <cell r="FD36" t="str">
            <v>M4</v>
          </cell>
          <cell r="FE36">
            <v>15</v>
          </cell>
          <cell r="FF36" t="str">
            <v>F9</v>
          </cell>
          <cell r="FG36">
            <v>15</v>
          </cell>
          <cell r="FH36" t="str">
            <v>MB</v>
          </cell>
          <cell r="FI36">
            <v>1</v>
          </cell>
          <cell r="FK36" t="str">
            <v>F7</v>
          </cell>
          <cell r="FL36">
            <v>20</v>
          </cell>
          <cell r="FM36" t="str">
            <v>F8</v>
          </cell>
          <cell r="FN36">
            <v>15</v>
          </cell>
          <cell r="FO36" t="str">
            <v>M4</v>
          </cell>
          <cell r="FP36">
            <v>15</v>
          </cell>
          <cell r="FQ36" t="str">
            <v>F9</v>
          </cell>
          <cell r="FR36">
            <v>15</v>
          </cell>
          <cell r="FS36" t="str">
            <v>MB</v>
          </cell>
          <cell r="FT36">
            <v>1</v>
          </cell>
        </row>
        <row r="37">
          <cell r="B37" t="str">
            <v>M4</v>
          </cell>
          <cell r="C37">
            <v>1</v>
          </cell>
          <cell r="D37" t="str">
            <v>BN</v>
          </cell>
          <cell r="E37">
            <v>15</v>
          </cell>
          <cell r="F37" t="str">
            <v>MB</v>
          </cell>
          <cell r="G37">
            <v>1</v>
          </cell>
          <cell r="H37" t="str">
            <v>WW</v>
          </cell>
          <cell r="I37">
            <v>15</v>
          </cell>
          <cell r="J37" t="str">
            <v>MB</v>
          </cell>
          <cell r="K37">
            <v>1</v>
          </cell>
          <cell r="M37" t="str">
            <v>M4</v>
          </cell>
          <cell r="N37">
            <v>1</v>
          </cell>
          <cell r="O37" t="str">
            <v>BN</v>
          </cell>
          <cell r="P37">
            <v>15</v>
          </cell>
          <cell r="Q37" t="str">
            <v>MB</v>
          </cell>
          <cell r="R37">
            <v>1</v>
          </cell>
          <cell r="S37" t="str">
            <v>WW</v>
          </cell>
          <cell r="T37">
            <v>15</v>
          </cell>
          <cell r="U37" t="str">
            <v>MB</v>
          </cell>
          <cell r="V37">
            <v>1</v>
          </cell>
          <cell r="X37" t="str">
            <v>M4</v>
          </cell>
          <cell r="Y37">
            <v>1</v>
          </cell>
          <cell r="Z37" t="str">
            <v>BN</v>
          </cell>
          <cell r="AA37">
            <v>15</v>
          </cell>
          <cell r="AB37" t="str">
            <v>MB</v>
          </cell>
          <cell r="AC37">
            <v>1</v>
          </cell>
          <cell r="AD37" t="str">
            <v>WW</v>
          </cell>
          <cell r="AE37">
            <v>15</v>
          </cell>
          <cell r="AF37" t="str">
            <v>MB</v>
          </cell>
          <cell r="AG37">
            <v>1</v>
          </cell>
          <cell r="AI37" t="str">
            <v>M4</v>
          </cell>
          <cell r="AJ37">
            <v>1</v>
          </cell>
          <cell r="AK37" t="str">
            <v>BN</v>
          </cell>
          <cell r="AL37">
            <v>15</v>
          </cell>
          <cell r="AM37" t="str">
            <v>MB</v>
          </cell>
          <cell r="AN37">
            <v>1</v>
          </cell>
          <cell r="AO37" t="str">
            <v>WW</v>
          </cell>
          <cell r="AP37">
            <v>15</v>
          </cell>
          <cell r="AQ37" t="str">
            <v>MB</v>
          </cell>
          <cell r="AR37">
            <v>1</v>
          </cell>
          <cell r="AT37" t="str">
            <v>M4</v>
          </cell>
          <cell r="AU37">
            <v>1</v>
          </cell>
          <cell r="AV37" t="str">
            <v>BN</v>
          </cell>
          <cell r="AW37">
            <v>15</v>
          </cell>
          <cell r="AX37" t="str">
            <v>MB</v>
          </cell>
          <cell r="AY37">
            <v>5000</v>
          </cell>
          <cell r="AZ37" t="str">
            <v>WW</v>
          </cell>
          <cell r="BA37">
            <v>15</v>
          </cell>
          <cell r="BB37" t="str">
            <v>MB</v>
          </cell>
          <cell r="BC37">
            <v>1</v>
          </cell>
          <cell r="BE37" t="str">
            <v>M4</v>
          </cell>
          <cell r="BF37">
            <v>1</v>
          </cell>
          <cell r="BG37" t="str">
            <v>BN</v>
          </cell>
          <cell r="BH37">
            <v>15</v>
          </cell>
          <cell r="BI37" t="str">
            <v>MB</v>
          </cell>
          <cell r="BJ37">
            <v>1</v>
          </cell>
          <cell r="BK37" t="str">
            <v>WW</v>
          </cell>
          <cell r="BL37">
            <v>15</v>
          </cell>
          <cell r="BM37" t="str">
            <v>MB</v>
          </cell>
          <cell r="BN37">
            <v>1</v>
          </cell>
          <cell r="BP37" t="str">
            <v>M4</v>
          </cell>
          <cell r="BQ37">
            <v>1</v>
          </cell>
          <cell r="BR37" t="str">
            <v>BN</v>
          </cell>
          <cell r="BS37">
            <v>15</v>
          </cell>
          <cell r="BT37" t="str">
            <v>MB</v>
          </cell>
          <cell r="BU37">
            <v>1</v>
          </cell>
          <cell r="BV37" t="str">
            <v>WW</v>
          </cell>
          <cell r="BW37">
            <v>15</v>
          </cell>
          <cell r="BX37" t="str">
            <v>MB</v>
          </cell>
          <cell r="BY37">
            <v>1</v>
          </cell>
          <cell r="CA37" t="str">
            <v>M4</v>
          </cell>
          <cell r="CB37">
            <v>1</v>
          </cell>
          <cell r="CC37" t="str">
            <v>BN</v>
          </cell>
          <cell r="CD37">
            <v>15</v>
          </cell>
          <cell r="CE37" t="str">
            <v>MB</v>
          </cell>
          <cell r="CF37">
            <v>1</v>
          </cell>
          <cell r="CG37" t="str">
            <v>WW</v>
          </cell>
          <cell r="CH37">
            <v>15</v>
          </cell>
          <cell r="CI37" t="str">
            <v>MB</v>
          </cell>
          <cell r="CJ37">
            <v>1</v>
          </cell>
          <cell r="CL37" t="str">
            <v>M4</v>
          </cell>
          <cell r="CM37">
            <v>1</v>
          </cell>
          <cell r="CN37" t="str">
            <v>BN</v>
          </cell>
          <cell r="CO37">
            <v>15</v>
          </cell>
          <cell r="CP37" t="str">
            <v>MB</v>
          </cell>
          <cell r="CQ37">
            <v>4000</v>
          </cell>
          <cell r="CR37" t="str">
            <v>WW</v>
          </cell>
          <cell r="CS37">
            <v>15</v>
          </cell>
          <cell r="CT37" t="str">
            <v>MB</v>
          </cell>
          <cell r="CU37">
            <v>1</v>
          </cell>
          <cell r="CW37" t="str">
            <v>M4</v>
          </cell>
          <cell r="CX37">
            <v>1</v>
          </cell>
          <cell r="CY37" t="str">
            <v>BN</v>
          </cell>
          <cell r="CZ37">
            <v>15</v>
          </cell>
          <cell r="DA37" t="str">
            <v>MB</v>
          </cell>
          <cell r="DB37">
            <v>1</v>
          </cell>
          <cell r="DC37" t="str">
            <v>WW</v>
          </cell>
          <cell r="DD37">
            <v>15</v>
          </cell>
          <cell r="DE37" t="str">
            <v>MB</v>
          </cell>
          <cell r="DF37">
            <v>1</v>
          </cell>
          <cell r="DH37" t="str">
            <v>M4</v>
          </cell>
          <cell r="DI37">
            <v>1</v>
          </cell>
          <cell r="DJ37" t="str">
            <v>BN</v>
          </cell>
          <cell r="DK37">
            <v>15</v>
          </cell>
          <cell r="DL37" t="str">
            <v>MB</v>
          </cell>
          <cell r="DM37">
            <v>1</v>
          </cell>
          <cell r="DN37" t="str">
            <v>WW</v>
          </cell>
          <cell r="DO37">
            <v>15</v>
          </cell>
          <cell r="DP37" t="str">
            <v>MB</v>
          </cell>
          <cell r="DQ37">
            <v>1</v>
          </cell>
          <cell r="DS37" t="str">
            <v>M4</v>
          </cell>
          <cell r="DT37">
            <v>1</v>
          </cell>
          <cell r="DU37" t="str">
            <v>BN</v>
          </cell>
          <cell r="DV37">
            <v>15</v>
          </cell>
          <cell r="DW37" t="str">
            <v>MB</v>
          </cell>
          <cell r="DX37">
            <v>1</v>
          </cell>
          <cell r="DY37" t="str">
            <v>WW</v>
          </cell>
          <cell r="DZ37">
            <v>15</v>
          </cell>
          <cell r="EA37" t="str">
            <v>MB</v>
          </cell>
          <cell r="EB37">
            <v>1</v>
          </cell>
          <cell r="ED37" t="str">
            <v>M4</v>
          </cell>
          <cell r="EE37">
            <v>1</v>
          </cell>
          <cell r="EF37" t="str">
            <v>BN</v>
          </cell>
          <cell r="EG37">
            <v>15</v>
          </cell>
          <cell r="EH37" t="str">
            <v>MB</v>
          </cell>
          <cell r="EI37">
            <v>1</v>
          </cell>
          <cell r="EJ37" t="str">
            <v>WW</v>
          </cell>
          <cell r="EK37">
            <v>15</v>
          </cell>
          <cell r="EL37" t="str">
            <v>MB</v>
          </cell>
          <cell r="EM37">
            <v>1</v>
          </cell>
          <cell r="EO37" t="str">
            <v>M4</v>
          </cell>
          <cell r="EP37">
            <v>1</v>
          </cell>
          <cell r="EQ37" t="str">
            <v>BN</v>
          </cell>
          <cell r="ER37">
            <v>15</v>
          </cell>
          <cell r="ES37" t="str">
            <v>MB</v>
          </cell>
          <cell r="ET37">
            <v>1</v>
          </cell>
          <cell r="EU37" t="str">
            <v>WW</v>
          </cell>
          <cell r="EV37">
            <v>15</v>
          </cell>
          <cell r="EW37" t="str">
            <v>MB</v>
          </cell>
          <cell r="EX37">
            <v>1</v>
          </cell>
          <cell r="EZ37" t="str">
            <v>M4</v>
          </cell>
          <cell r="FA37">
            <v>1</v>
          </cell>
          <cell r="FB37" t="str">
            <v>BN</v>
          </cell>
          <cell r="FC37">
            <v>15</v>
          </cell>
          <cell r="FD37" t="str">
            <v>MB</v>
          </cell>
          <cell r="FE37">
            <v>1</v>
          </cell>
          <cell r="FF37" t="str">
            <v>WW</v>
          </cell>
          <cell r="FG37">
            <v>15</v>
          </cell>
          <cell r="FH37" t="str">
            <v>MB</v>
          </cell>
          <cell r="FI37">
            <v>1</v>
          </cell>
          <cell r="FK37" t="str">
            <v>M4</v>
          </cell>
          <cell r="FL37">
            <v>1</v>
          </cell>
          <cell r="FM37" t="str">
            <v>BN</v>
          </cell>
          <cell r="FN37">
            <v>15</v>
          </cell>
          <cell r="FO37" t="str">
            <v>MB</v>
          </cell>
          <cell r="FP37">
            <v>1</v>
          </cell>
          <cell r="FQ37" t="str">
            <v>WW</v>
          </cell>
          <cell r="FR37">
            <v>15</v>
          </cell>
          <cell r="FS37" t="str">
            <v>MB</v>
          </cell>
          <cell r="FT37">
            <v>1</v>
          </cell>
        </row>
        <row r="38">
          <cell r="B38" t="str">
            <v>MB</v>
          </cell>
          <cell r="C38">
            <v>1</v>
          </cell>
          <cell r="D38" t="str">
            <v>F6</v>
          </cell>
          <cell r="E38">
            <v>15</v>
          </cell>
          <cell r="F38" t="str">
            <v>F7</v>
          </cell>
          <cell r="G38">
            <v>1</v>
          </cell>
          <cell r="H38" t="str">
            <v>WW</v>
          </cell>
          <cell r="I38">
            <v>15</v>
          </cell>
          <cell r="J38" t="str">
            <v>M2</v>
          </cell>
          <cell r="K38">
            <v>1</v>
          </cell>
          <cell r="M38" t="str">
            <v>MB</v>
          </cell>
          <cell r="N38">
            <v>1</v>
          </cell>
          <cell r="O38" t="str">
            <v>F6</v>
          </cell>
          <cell r="P38">
            <v>15</v>
          </cell>
          <cell r="Q38" t="str">
            <v>F7</v>
          </cell>
          <cell r="R38">
            <v>1</v>
          </cell>
          <cell r="S38" t="str">
            <v>WW</v>
          </cell>
          <cell r="T38">
            <v>15</v>
          </cell>
          <cell r="U38" t="str">
            <v>M2</v>
          </cell>
          <cell r="V38">
            <v>1</v>
          </cell>
          <cell r="X38" t="str">
            <v>MB</v>
          </cell>
          <cell r="Y38">
            <v>1</v>
          </cell>
          <cell r="Z38" t="str">
            <v>F6</v>
          </cell>
          <cell r="AA38">
            <v>15</v>
          </cell>
          <cell r="AB38" t="str">
            <v>F7</v>
          </cell>
          <cell r="AC38">
            <v>1</v>
          </cell>
          <cell r="AD38" t="str">
            <v>WW</v>
          </cell>
          <cell r="AE38">
            <v>15</v>
          </cell>
          <cell r="AF38" t="str">
            <v>M2</v>
          </cell>
          <cell r="AG38">
            <v>1</v>
          </cell>
          <cell r="AI38" t="str">
            <v>MB</v>
          </cell>
          <cell r="AJ38">
            <v>1</v>
          </cell>
          <cell r="AK38" t="str">
            <v>F6</v>
          </cell>
          <cell r="AL38">
            <v>15</v>
          </cell>
          <cell r="AM38" t="str">
            <v>F7</v>
          </cell>
          <cell r="AN38">
            <v>1</v>
          </cell>
          <cell r="AO38" t="str">
            <v>WW</v>
          </cell>
          <cell r="AP38">
            <v>15</v>
          </cell>
          <cell r="AQ38" t="str">
            <v>M2</v>
          </cell>
          <cell r="AR38">
            <v>1</v>
          </cell>
          <cell r="AT38" t="str">
            <v>MB</v>
          </cell>
          <cell r="AU38">
            <v>1</v>
          </cell>
          <cell r="AV38" t="str">
            <v>F6</v>
          </cell>
          <cell r="AW38">
            <v>15</v>
          </cell>
          <cell r="AX38" t="str">
            <v>F7</v>
          </cell>
          <cell r="AY38">
            <v>5000</v>
          </cell>
          <cell r="AZ38" t="str">
            <v>WW</v>
          </cell>
          <cell r="BA38">
            <v>15</v>
          </cell>
          <cell r="BB38" t="str">
            <v>M2</v>
          </cell>
          <cell r="BC38">
            <v>1</v>
          </cell>
          <cell r="BE38" t="str">
            <v>MB</v>
          </cell>
          <cell r="BF38">
            <v>1</v>
          </cell>
          <cell r="BG38" t="str">
            <v>F6</v>
          </cell>
          <cell r="BH38">
            <v>15</v>
          </cell>
          <cell r="BI38" t="str">
            <v>F7</v>
          </cell>
          <cell r="BJ38">
            <v>1</v>
          </cell>
          <cell r="BK38" t="str">
            <v>WW</v>
          </cell>
          <cell r="BL38">
            <v>15</v>
          </cell>
          <cell r="BM38" t="str">
            <v>M2</v>
          </cell>
          <cell r="BN38">
            <v>1</v>
          </cell>
          <cell r="BP38" t="str">
            <v>MB</v>
          </cell>
          <cell r="BQ38">
            <v>1</v>
          </cell>
          <cell r="BR38" t="str">
            <v>F6</v>
          </cell>
          <cell r="BS38">
            <v>15</v>
          </cell>
          <cell r="BT38" t="str">
            <v>F7</v>
          </cell>
          <cell r="BU38">
            <v>1</v>
          </cell>
          <cell r="BV38" t="str">
            <v>WW</v>
          </cell>
          <cell r="BW38">
            <v>15</v>
          </cell>
          <cell r="BX38" t="str">
            <v>M2</v>
          </cell>
          <cell r="BY38">
            <v>1</v>
          </cell>
          <cell r="CA38" t="str">
            <v>MB</v>
          </cell>
          <cell r="CB38">
            <v>1</v>
          </cell>
          <cell r="CC38" t="str">
            <v>F6</v>
          </cell>
          <cell r="CD38">
            <v>15</v>
          </cell>
          <cell r="CE38" t="str">
            <v>F7</v>
          </cell>
          <cell r="CF38">
            <v>1</v>
          </cell>
          <cell r="CG38" t="str">
            <v>WW</v>
          </cell>
          <cell r="CH38">
            <v>15</v>
          </cell>
          <cell r="CI38" t="str">
            <v>M2</v>
          </cell>
          <cell r="CJ38">
            <v>1</v>
          </cell>
          <cell r="CL38" t="str">
            <v>MB</v>
          </cell>
          <cell r="CM38">
            <v>1</v>
          </cell>
          <cell r="CN38" t="str">
            <v>F6</v>
          </cell>
          <cell r="CO38">
            <v>15</v>
          </cell>
          <cell r="CP38" t="str">
            <v>F7</v>
          </cell>
          <cell r="CQ38">
            <v>4000</v>
          </cell>
          <cell r="CR38" t="str">
            <v>WW</v>
          </cell>
          <cell r="CS38">
            <v>15</v>
          </cell>
          <cell r="CT38" t="str">
            <v>M2</v>
          </cell>
          <cell r="CU38">
            <v>1</v>
          </cell>
          <cell r="CW38" t="str">
            <v>MB</v>
          </cell>
          <cell r="CX38">
            <v>1</v>
          </cell>
          <cell r="CY38" t="str">
            <v>F6</v>
          </cell>
          <cell r="CZ38">
            <v>15</v>
          </cell>
          <cell r="DA38" t="str">
            <v>F7</v>
          </cell>
          <cell r="DB38">
            <v>1</v>
          </cell>
          <cell r="DC38" t="str">
            <v>WW</v>
          </cell>
          <cell r="DD38">
            <v>15</v>
          </cell>
          <cell r="DE38" t="str">
            <v>M2</v>
          </cell>
          <cell r="DF38">
            <v>1</v>
          </cell>
          <cell r="DH38" t="str">
            <v>MB</v>
          </cell>
          <cell r="DI38">
            <v>1</v>
          </cell>
          <cell r="DJ38" t="str">
            <v>F6</v>
          </cell>
          <cell r="DK38">
            <v>15</v>
          </cell>
          <cell r="DL38" t="str">
            <v>F7</v>
          </cell>
          <cell r="DM38">
            <v>1</v>
          </cell>
          <cell r="DN38" t="str">
            <v>WW</v>
          </cell>
          <cell r="DO38">
            <v>15</v>
          </cell>
          <cell r="DP38" t="str">
            <v>M2</v>
          </cell>
          <cell r="DQ38">
            <v>1</v>
          </cell>
          <cell r="DS38" t="str">
            <v>MB</v>
          </cell>
          <cell r="DT38">
            <v>1</v>
          </cell>
          <cell r="DU38" t="str">
            <v>F6</v>
          </cell>
          <cell r="DV38">
            <v>15</v>
          </cell>
          <cell r="DW38" t="str">
            <v>F7</v>
          </cell>
          <cell r="DX38">
            <v>1</v>
          </cell>
          <cell r="DY38" t="str">
            <v>WW</v>
          </cell>
          <cell r="DZ38">
            <v>15</v>
          </cell>
          <cell r="EA38" t="str">
            <v>M2</v>
          </cell>
          <cell r="EB38">
            <v>1</v>
          </cell>
          <cell r="ED38" t="str">
            <v>MB</v>
          </cell>
          <cell r="EE38">
            <v>1</v>
          </cell>
          <cell r="EF38" t="str">
            <v>F6</v>
          </cell>
          <cell r="EG38">
            <v>15</v>
          </cell>
          <cell r="EH38" t="str">
            <v>F7</v>
          </cell>
          <cell r="EI38">
            <v>1</v>
          </cell>
          <cell r="EJ38" t="str">
            <v>WW</v>
          </cell>
          <cell r="EK38">
            <v>15</v>
          </cell>
          <cell r="EL38" t="str">
            <v>M2</v>
          </cell>
          <cell r="EM38">
            <v>1</v>
          </cell>
          <cell r="EO38" t="str">
            <v>MB</v>
          </cell>
          <cell r="EP38">
            <v>1</v>
          </cell>
          <cell r="EQ38" t="str">
            <v>F6</v>
          </cell>
          <cell r="ER38">
            <v>15</v>
          </cell>
          <cell r="ES38" t="str">
            <v>F7</v>
          </cell>
          <cell r="ET38">
            <v>1</v>
          </cell>
          <cell r="EU38" t="str">
            <v>WW</v>
          </cell>
          <cell r="EV38">
            <v>15</v>
          </cell>
          <cell r="EW38" t="str">
            <v>M2</v>
          </cell>
          <cell r="EX38">
            <v>1</v>
          </cell>
          <cell r="EZ38" t="str">
            <v>MB</v>
          </cell>
          <cell r="FA38">
            <v>1</v>
          </cell>
          <cell r="FB38" t="str">
            <v>F6</v>
          </cell>
          <cell r="FC38">
            <v>15</v>
          </cell>
          <cell r="FD38" t="str">
            <v>F7</v>
          </cell>
          <cell r="FE38">
            <v>1</v>
          </cell>
          <cell r="FF38" t="str">
            <v>WW</v>
          </cell>
          <cell r="FG38">
            <v>15</v>
          </cell>
          <cell r="FH38" t="str">
            <v>M2</v>
          </cell>
          <cell r="FI38">
            <v>1</v>
          </cell>
          <cell r="FK38" t="str">
            <v>MB</v>
          </cell>
          <cell r="FL38">
            <v>1</v>
          </cell>
          <cell r="FM38" t="str">
            <v>F6</v>
          </cell>
          <cell r="FN38">
            <v>15</v>
          </cell>
          <cell r="FO38" t="str">
            <v>F7</v>
          </cell>
          <cell r="FP38">
            <v>1</v>
          </cell>
          <cell r="FQ38" t="str">
            <v>WW</v>
          </cell>
          <cell r="FR38">
            <v>15</v>
          </cell>
          <cell r="FS38" t="str">
            <v>M2</v>
          </cell>
          <cell r="FT38">
            <v>1</v>
          </cell>
        </row>
        <row r="39">
          <cell r="B39" t="str">
            <v>MB</v>
          </cell>
          <cell r="C39">
            <v>1</v>
          </cell>
          <cell r="D39" t="str">
            <v>M1</v>
          </cell>
          <cell r="E39">
            <v>20</v>
          </cell>
          <cell r="F39" t="str">
            <v>F8</v>
          </cell>
          <cell r="G39">
            <v>20</v>
          </cell>
          <cell r="H39" t="str">
            <v>WW</v>
          </cell>
          <cell r="I39">
            <v>20</v>
          </cell>
          <cell r="J39" t="str">
            <v>F7</v>
          </cell>
          <cell r="K39">
            <v>20</v>
          </cell>
          <cell r="M39" t="str">
            <v>MB</v>
          </cell>
          <cell r="N39">
            <v>1</v>
          </cell>
          <cell r="O39" t="str">
            <v>M1</v>
          </cell>
          <cell r="P39">
            <v>20</v>
          </cell>
          <cell r="Q39" t="str">
            <v>F8</v>
          </cell>
          <cell r="R39">
            <v>20</v>
          </cell>
          <cell r="S39" t="str">
            <v>WW</v>
          </cell>
          <cell r="T39">
            <v>20</v>
          </cell>
          <cell r="U39" t="str">
            <v>F7</v>
          </cell>
          <cell r="V39">
            <v>20</v>
          </cell>
          <cell r="X39" t="str">
            <v>MB</v>
          </cell>
          <cell r="Y39">
            <v>1</v>
          </cell>
          <cell r="Z39" t="str">
            <v>M1</v>
          </cell>
          <cell r="AA39">
            <v>20</v>
          </cell>
          <cell r="AB39" t="str">
            <v>F8</v>
          </cell>
          <cell r="AC39">
            <v>20</v>
          </cell>
          <cell r="AD39" t="str">
            <v>WW</v>
          </cell>
          <cell r="AE39">
            <v>20</v>
          </cell>
          <cell r="AF39" t="str">
            <v>F7</v>
          </cell>
          <cell r="AG39">
            <v>20</v>
          </cell>
          <cell r="AI39" t="str">
            <v>MB</v>
          </cell>
          <cell r="AJ39">
            <v>1</v>
          </cell>
          <cell r="AK39" t="str">
            <v>M1</v>
          </cell>
          <cell r="AL39">
            <v>20</v>
          </cell>
          <cell r="AM39" t="str">
            <v>F8</v>
          </cell>
          <cell r="AN39">
            <v>20</v>
          </cell>
          <cell r="AO39" t="str">
            <v>WW</v>
          </cell>
          <cell r="AP39">
            <v>20</v>
          </cell>
          <cell r="AQ39" t="str">
            <v>F7</v>
          </cell>
          <cell r="AR39">
            <v>20</v>
          </cell>
          <cell r="AT39" t="str">
            <v>MB</v>
          </cell>
          <cell r="AU39">
            <v>1</v>
          </cell>
          <cell r="AV39" t="str">
            <v>M1</v>
          </cell>
          <cell r="AW39">
            <v>20</v>
          </cell>
          <cell r="AX39" t="str">
            <v>F8</v>
          </cell>
          <cell r="AY39">
            <v>20</v>
          </cell>
          <cell r="AZ39" t="str">
            <v>WW</v>
          </cell>
          <cell r="BA39">
            <v>20</v>
          </cell>
          <cell r="BB39" t="str">
            <v>F7</v>
          </cell>
          <cell r="BC39">
            <v>20</v>
          </cell>
          <cell r="BE39" t="str">
            <v>MB</v>
          </cell>
          <cell r="BF39">
            <v>1</v>
          </cell>
          <cell r="BG39" t="str">
            <v>M1</v>
          </cell>
          <cell r="BH39">
            <v>20</v>
          </cell>
          <cell r="BI39" t="str">
            <v>F8</v>
          </cell>
          <cell r="BJ39">
            <v>20</v>
          </cell>
          <cell r="BK39" t="str">
            <v>WW</v>
          </cell>
          <cell r="BL39">
            <v>20</v>
          </cell>
          <cell r="BM39" t="str">
            <v>F7</v>
          </cell>
          <cell r="BN39">
            <v>20</v>
          </cell>
          <cell r="BP39" t="str">
            <v>MB</v>
          </cell>
          <cell r="BQ39">
            <v>1</v>
          </cell>
          <cell r="BR39" t="str">
            <v>M1</v>
          </cell>
          <cell r="BS39">
            <v>20</v>
          </cell>
          <cell r="BT39" t="str">
            <v>F8</v>
          </cell>
          <cell r="BU39">
            <v>20</v>
          </cell>
          <cell r="BV39" t="str">
            <v>WW</v>
          </cell>
          <cell r="BW39">
            <v>20</v>
          </cell>
          <cell r="BX39" t="str">
            <v>F7</v>
          </cell>
          <cell r="BY39">
            <v>20</v>
          </cell>
          <cell r="CA39" t="str">
            <v>MB</v>
          </cell>
          <cell r="CB39">
            <v>1</v>
          </cell>
          <cell r="CC39" t="str">
            <v>M1</v>
          </cell>
          <cell r="CD39">
            <v>20</v>
          </cell>
          <cell r="CE39" t="str">
            <v>F8</v>
          </cell>
          <cell r="CF39">
            <v>20</v>
          </cell>
          <cell r="CG39" t="str">
            <v>WW</v>
          </cell>
          <cell r="CH39">
            <v>20</v>
          </cell>
          <cell r="CI39" t="str">
            <v>F7</v>
          </cell>
          <cell r="CJ39">
            <v>20</v>
          </cell>
          <cell r="CL39" t="str">
            <v>MB</v>
          </cell>
          <cell r="CM39">
            <v>1</v>
          </cell>
          <cell r="CN39" t="str">
            <v>M1</v>
          </cell>
          <cell r="CO39">
            <v>20</v>
          </cell>
          <cell r="CP39" t="str">
            <v>F8</v>
          </cell>
          <cell r="CQ39">
            <v>20</v>
          </cell>
          <cell r="CR39" t="str">
            <v>WW</v>
          </cell>
          <cell r="CS39">
            <v>20</v>
          </cell>
          <cell r="CT39" t="str">
            <v>F7</v>
          </cell>
          <cell r="CU39">
            <v>20</v>
          </cell>
          <cell r="CW39" t="str">
            <v>MB</v>
          </cell>
          <cell r="CX39">
            <v>1</v>
          </cell>
          <cell r="CY39" t="str">
            <v>M1</v>
          </cell>
          <cell r="CZ39">
            <v>20</v>
          </cell>
          <cell r="DA39" t="str">
            <v>F8</v>
          </cell>
          <cell r="DB39">
            <v>20</v>
          </cell>
          <cell r="DC39" t="str">
            <v>WW</v>
          </cell>
          <cell r="DD39">
            <v>20</v>
          </cell>
          <cell r="DE39" t="str">
            <v>F7</v>
          </cell>
          <cell r="DF39">
            <v>20</v>
          </cell>
          <cell r="DH39" t="str">
            <v>MB</v>
          </cell>
          <cell r="DI39">
            <v>1</v>
          </cell>
          <cell r="DJ39" t="str">
            <v>M1</v>
          </cell>
          <cell r="DK39">
            <v>20</v>
          </cell>
          <cell r="DL39" t="str">
            <v>F8</v>
          </cell>
          <cell r="DM39">
            <v>20</v>
          </cell>
          <cell r="DN39" t="str">
            <v>WW</v>
          </cell>
          <cell r="DO39">
            <v>20</v>
          </cell>
          <cell r="DP39" t="str">
            <v>F7</v>
          </cell>
          <cell r="DQ39">
            <v>20</v>
          </cell>
          <cell r="DS39" t="str">
            <v>MB</v>
          </cell>
          <cell r="DT39">
            <v>1</v>
          </cell>
          <cell r="DU39" t="str">
            <v>M1</v>
          </cell>
          <cell r="DV39">
            <v>20</v>
          </cell>
          <cell r="DW39" t="str">
            <v>F8</v>
          </cell>
          <cell r="DX39">
            <v>20</v>
          </cell>
          <cell r="DY39" t="str">
            <v>WW</v>
          </cell>
          <cell r="DZ39">
            <v>20</v>
          </cell>
          <cell r="EA39" t="str">
            <v>F7</v>
          </cell>
          <cell r="EB39">
            <v>20</v>
          </cell>
          <cell r="ED39" t="str">
            <v>MB</v>
          </cell>
          <cell r="EE39">
            <v>4000</v>
          </cell>
          <cell r="EF39" t="str">
            <v>M1</v>
          </cell>
          <cell r="EG39">
            <v>20</v>
          </cell>
          <cell r="EH39" t="str">
            <v>F8</v>
          </cell>
          <cell r="EI39">
            <v>20</v>
          </cell>
          <cell r="EJ39" t="str">
            <v>WW</v>
          </cell>
          <cell r="EK39">
            <v>20</v>
          </cell>
          <cell r="EL39" t="str">
            <v>F7</v>
          </cell>
          <cell r="EM39">
            <v>20</v>
          </cell>
          <cell r="EO39" t="str">
            <v>MB</v>
          </cell>
          <cell r="EP39">
            <v>4000</v>
          </cell>
          <cell r="EQ39" t="str">
            <v>M1</v>
          </cell>
          <cell r="ER39">
            <v>20</v>
          </cell>
          <cell r="ES39" t="str">
            <v>F8</v>
          </cell>
          <cell r="ET39">
            <v>20</v>
          </cell>
          <cell r="EU39" t="str">
            <v>WW</v>
          </cell>
          <cell r="EV39">
            <v>20</v>
          </cell>
          <cell r="EW39" t="str">
            <v>F7</v>
          </cell>
          <cell r="EX39">
            <v>20</v>
          </cell>
          <cell r="EZ39" t="str">
            <v>MB</v>
          </cell>
          <cell r="FA39">
            <v>1</v>
          </cell>
          <cell r="FB39" t="str">
            <v>M1</v>
          </cell>
          <cell r="FC39">
            <v>20</v>
          </cell>
          <cell r="FD39" t="str">
            <v>F8</v>
          </cell>
          <cell r="FE39">
            <v>20</v>
          </cell>
          <cell r="FF39" t="str">
            <v>WW</v>
          </cell>
          <cell r="FG39">
            <v>20</v>
          </cell>
          <cell r="FH39" t="str">
            <v>F7</v>
          </cell>
          <cell r="FI39">
            <v>20</v>
          </cell>
          <cell r="FK39" t="str">
            <v>MB</v>
          </cell>
          <cell r="FL39">
            <v>100000000</v>
          </cell>
          <cell r="FM39" t="str">
            <v>M1</v>
          </cell>
          <cell r="FN39">
            <v>20</v>
          </cell>
          <cell r="FO39" t="str">
            <v>F8</v>
          </cell>
          <cell r="FP39">
            <v>20</v>
          </cell>
          <cell r="FQ39" t="str">
            <v>WW</v>
          </cell>
          <cell r="FR39">
            <v>20</v>
          </cell>
          <cell r="FS39" t="str">
            <v>F7</v>
          </cell>
          <cell r="FT39">
            <v>20</v>
          </cell>
        </row>
        <row r="40">
          <cell r="B40" t="str">
            <v>MB</v>
          </cell>
          <cell r="C40">
            <v>1</v>
          </cell>
          <cell r="D40" t="str">
            <v>F9</v>
          </cell>
          <cell r="E40">
            <v>20</v>
          </cell>
          <cell r="F40" t="str">
            <v>M1</v>
          </cell>
          <cell r="G40">
            <v>1</v>
          </cell>
          <cell r="H40" t="str">
            <v>F9</v>
          </cell>
          <cell r="I40">
            <v>1</v>
          </cell>
          <cell r="J40" t="str">
            <v>M3</v>
          </cell>
          <cell r="K40">
            <v>20</v>
          </cell>
          <cell r="M40" t="str">
            <v>MB</v>
          </cell>
          <cell r="N40">
            <v>1</v>
          </cell>
          <cell r="O40" t="str">
            <v>F9</v>
          </cell>
          <cell r="P40">
            <v>20</v>
          </cell>
          <cell r="Q40" t="str">
            <v>M1</v>
          </cell>
          <cell r="R40">
            <v>1</v>
          </cell>
          <cell r="S40" t="str">
            <v>F9</v>
          </cell>
          <cell r="T40">
            <v>1</v>
          </cell>
          <cell r="U40" t="str">
            <v>M3</v>
          </cell>
          <cell r="V40">
            <v>20</v>
          </cell>
          <cell r="X40" t="str">
            <v>MB</v>
          </cell>
          <cell r="Y40">
            <v>1</v>
          </cell>
          <cell r="Z40" t="str">
            <v>F9</v>
          </cell>
          <cell r="AA40">
            <v>20</v>
          </cell>
          <cell r="AB40" t="str">
            <v>M1</v>
          </cell>
          <cell r="AC40">
            <v>1</v>
          </cell>
          <cell r="AD40" t="str">
            <v>F9</v>
          </cell>
          <cell r="AE40">
            <v>1</v>
          </cell>
          <cell r="AF40" t="str">
            <v>M3</v>
          </cell>
          <cell r="AG40">
            <v>20</v>
          </cell>
          <cell r="AI40" t="str">
            <v>MB</v>
          </cell>
          <cell r="AJ40">
            <v>1</v>
          </cell>
          <cell r="AK40" t="str">
            <v>F9</v>
          </cell>
          <cell r="AL40">
            <v>20</v>
          </cell>
          <cell r="AM40" t="str">
            <v>M1</v>
          </cell>
          <cell r="AN40">
            <v>1</v>
          </cell>
          <cell r="AO40" t="str">
            <v>F9</v>
          </cell>
          <cell r="AP40">
            <v>1</v>
          </cell>
          <cell r="AQ40" t="str">
            <v>M3</v>
          </cell>
          <cell r="AR40">
            <v>20</v>
          </cell>
          <cell r="AT40" t="str">
            <v>MB</v>
          </cell>
          <cell r="AU40">
            <v>1</v>
          </cell>
          <cell r="AV40" t="str">
            <v>F9</v>
          </cell>
          <cell r="AW40">
            <v>20</v>
          </cell>
          <cell r="AX40" t="str">
            <v>M1</v>
          </cell>
          <cell r="AY40">
            <v>1</v>
          </cell>
          <cell r="AZ40" t="str">
            <v>F9</v>
          </cell>
          <cell r="BA40">
            <v>1</v>
          </cell>
          <cell r="BB40" t="str">
            <v>M3</v>
          </cell>
          <cell r="BC40">
            <v>20</v>
          </cell>
          <cell r="BE40" t="str">
            <v>MB</v>
          </cell>
          <cell r="BF40">
            <v>1</v>
          </cell>
          <cell r="BG40" t="str">
            <v>F9</v>
          </cell>
          <cell r="BH40">
            <v>20</v>
          </cell>
          <cell r="BI40" t="str">
            <v>M1</v>
          </cell>
          <cell r="BJ40">
            <v>1</v>
          </cell>
          <cell r="BK40" t="str">
            <v>F9</v>
          </cell>
          <cell r="BL40">
            <v>1</v>
          </cell>
          <cell r="BM40" t="str">
            <v>M3</v>
          </cell>
          <cell r="BN40">
            <v>20</v>
          </cell>
          <cell r="BP40" t="str">
            <v>MB</v>
          </cell>
          <cell r="BQ40">
            <v>1</v>
          </cell>
          <cell r="BR40" t="str">
            <v>F9</v>
          </cell>
          <cell r="BS40">
            <v>20</v>
          </cell>
          <cell r="BT40" t="str">
            <v>M1</v>
          </cell>
          <cell r="BU40">
            <v>1</v>
          </cell>
          <cell r="BV40" t="str">
            <v>F9</v>
          </cell>
          <cell r="BW40">
            <v>1</v>
          </cell>
          <cell r="BX40" t="str">
            <v>M3</v>
          </cell>
          <cell r="BY40">
            <v>20</v>
          </cell>
          <cell r="CA40" t="str">
            <v>MB</v>
          </cell>
          <cell r="CB40">
            <v>1</v>
          </cell>
          <cell r="CC40" t="str">
            <v>F9</v>
          </cell>
          <cell r="CD40">
            <v>20</v>
          </cell>
          <cell r="CE40" t="str">
            <v>M1</v>
          </cell>
          <cell r="CF40">
            <v>1</v>
          </cell>
          <cell r="CG40" t="str">
            <v>F9</v>
          </cell>
          <cell r="CH40">
            <v>1</v>
          </cell>
          <cell r="CI40" t="str">
            <v>M3</v>
          </cell>
          <cell r="CJ40">
            <v>20</v>
          </cell>
          <cell r="CL40" t="str">
            <v>MB</v>
          </cell>
          <cell r="CM40">
            <v>1</v>
          </cell>
          <cell r="CN40" t="str">
            <v>F9</v>
          </cell>
          <cell r="CO40">
            <v>20</v>
          </cell>
          <cell r="CP40" t="str">
            <v>M1</v>
          </cell>
          <cell r="CQ40">
            <v>1</v>
          </cell>
          <cell r="CR40" t="str">
            <v>F9</v>
          </cell>
          <cell r="CS40">
            <v>1</v>
          </cell>
          <cell r="CT40" t="str">
            <v>M3</v>
          </cell>
          <cell r="CU40">
            <v>20</v>
          </cell>
          <cell r="CW40" t="str">
            <v>MB</v>
          </cell>
          <cell r="CX40">
            <v>1</v>
          </cell>
          <cell r="CY40" t="str">
            <v>F9</v>
          </cell>
          <cell r="CZ40">
            <v>20</v>
          </cell>
          <cell r="DA40" t="str">
            <v>M1</v>
          </cell>
          <cell r="DB40">
            <v>1</v>
          </cell>
          <cell r="DC40" t="str">
            <v>F9</v>
          </cell>
          <cell r="DD40">
            <v>1</v>
          </cell>
          <cell r="DE40" t="str">
            <v>M3</v>
          </cell>
          <cell r="DF40">
            <v>20</v>
          </cell>
          <cell r="DH40" t="str">
            <v>MB</v>
          </cell>
          <cell r="DI40">
            <v>1</v>
          </cell>
          <cell r="DJ40" t="str">
            <v>F9</v>
          </cell>
          <cell r="DK40">
            <v>20</v>
          </cell>
          <cell r="DL40" t="str">
            <v>M1</v>
          </cell>
          <cell r="DM40">
            <v>1</v>
          </cell>
          <cell r="DN40" t="str">
            <v>F9</v>
          </cell>
          <cell r="DO40">
            <v>1</v>
          </cell>
          <cell r="DP40" t="str">
            <v>M3</v>
          </cell>
          <cell r="DQ40">
            <v>20</v>
          </cell>
          <cell r="DS40" t="str">
            <v>MB</v>
          </cell>
          <cell r="DT40">
            <v>1</v>
          </cell>
          <cell r="DU40" t="str">
            <v>F9</v>
          </cell>
          <cell r="DV40">
            <v>20</v>
          </cell>
          <cell r="DW40" t="str">
            <v>M1</v>
          </cell>
          <cell r="DX40">
            <v>1</v>
          </cell>
          <cell r="DY40" t="str">
            <v>F9</v>
          </cell>
          <cell r="DZ40">
            <v>1</v>
          </cell>
          <cell r="EA40" t="str">
            <v>M3</v>
          </cell>
          <cell r="EB40">
            <v>20</v>
          </cell>
          <cell r="ED40" t="str">
            <v>MB</v>
          </cell>
          <cell r="EE40">
            <v>1</v>
          </cell>
          <cell r="EF40" t="str">
            <v>F9</v>
          </cell>
          <cell r="EG40">
            <v>20</v>
          </cell>
          <cell r="EH40" t="str">
            <v>M1</v>
          </cell>
          <cell r="EI40">
            <v>1</v>
          </cell>
          <cell r="EJ40" t="str">
            <v>F9</v>
          </cell>
          <cell r="EK40">
            <v>1</v>
          </cell>
          <cell r="EL40" t="str">
            <v>M3</v>
          </cell>
          <cell r="EM40">
            <v>20</v>
          </cell>
          <cell r="EO40" t="str">
            <v>MB</v>
          </cell>
          <cell r="EP40">
            <v>1</v>
          </cell>
          <cell r="EQ40" t="str">
            <v>F9</v>
          </cell>
          <cell r="ER40">
            <v>20</v>
          </cell>
          <cell r="ES40" t="str">
            <v>M1</v>
          </cell>
          <cell r="ET40">
            <v>1</v>
          </cell>
          <cell r="EU40" t="str">
            <v>F9</v>
          </cell>
          <cell r="EV40">
            <v>1</v>
          </cell>
          <cell r="EW40" t="str">
            <v>M3</v>
          </cell>
          <cell r="EX40">
            <v>20</v>
          </cell>
          <cell r="EZ40" t="str">
            <v>MB</v>
          </cell>
          <cell r="FA40">
            <v>1</v>
          </cell>
          <cell r="FB40" t="str">
            <v>F9</v>
          </cell>
          <cell r="FC40">
            <v>20</v>
          </cell>
          <cell r="FD40" t="str">
            <v>M1</v>
          </cell>
          <cell r="FE40">
            <v>1</v>
          </cell>
          <cell r="FF40" t="str">
            <v>F9</v>
          </cell>
          <cell r="FG40">
            <v>1</v>
          </cell>
          <cell r="FH40" t="str">
            <v>M3</v>
          </cell>
          <cell r="FI40">
            <v>20</v>
          </cell>
          <cell r="FK40" t="str">
            <v>MB</v>
          </cell>
          <cell r="FL40">
            <v>1</v>
          </cell>
          <cell r="FM40" t="str">
            <v>F9</v>
          </cell>
          <cell r="FN40">
            <v>20</v>
          </cell>
          <cell r="FO40" t="str">
            <v>M1</v>
          </cell>
          <cell r="FP40">
            <v>1</v>
          </cell>
          <cell r="FQ40" t="str">
            <v>F9</v>
          </cell>
          <cell r="FR40">
            <v>20</v>
          </cell>
          <cell r="FS40" t="str">
            <v>M3</v>
          </cell>
          <cell r="FT40">
            <v>20</v>
          </cell>
        </row>
        <row r="41">
          <cell r="B41" t="str">
            <v>F8</v>
          </cell>
          <cell r="C41">
            <v>1</v>
          </cell>
          <cell r="D41" t="str">
            <v>M3</v>
          </cell>
          <cell r="E41">
            <v>20</v>
          </cell>
          <cell r="F41" t="str">
            <v>MB</v>
          </cell>
          <cell r="G41">
            <v>1</v>
          </cell>
          <cell r="H41" t="str">
            <v>MB</v>
          </cell>
          <cell r="I41">
            <v>1</v>
          </cell>
          <cell r="J41" t="str">
            <v>F9</v>
          </cell>
          <cell r="K41">
            <v>20</v>
          </cell>
          <cell r="M41" t="str">
            <v>F8</v>
          </cell>
          <cell r="N41">
            <v>1</v>
          </cell>
          <cell r="O41" t="str">
            <v>M3</v>
          </cell>
          <cell r="P41">
            <v>20</v>
          </cell>
          <cell r="Q41" t="str">
            <v>MB</v>
          </cell>
          <cell r="R41">
            <v>1</v>
          </cell>
          <cell r="S41" t="str">
            <v>MB</v>
          </cell>
          <cell r="T41">
            <v>1</v>
          </cell>
          <cell r="U41" t="str">
            <v>F9</v>
          </cell>
          <cell r="V41">
            <v>20</v>
          </cell>
          <cell r="X41" t="str">
            <v>F8</v>
          </cell>
          <cell r="Y41">
            <v>1</v>
          </cell>
          <cell r="Z41" t="str">
            <v>M3</v>
          </cell>
          <cell r="AA41">
            <v>20</v>
          </cell>
          <cell r="AB41" t="str">
            <v>MB</v>
          </cell>
          <cell r="AC41">
            <v>1</v>
          </cell>
          <cell r="AD41" t="str">
            <v>MB</v>
          </cell>
          <cell r="AE41">
            <v>1</v>
          </cell>
          <cell r="AF41" t="str">
            <v>F9</v>
          </cell>
          <cell r="AG41">
            <v>20</v>
          </cell>
          <cell r="AI41" t="str">
            <v>F8</v>
          </cell>
          <cell r="AJ41">
            <v>1</v>
          </cell>
          <cell r="AK41" t="str">
            <v>M3</v>
          </cell>
          <cell r="AL41">
            <v>20</v>
          </cell>
          <cell r="AM41" t="str">
            <v>MB</v>
          </cell>
          <cell r="AN41">
            <v>1</v>
          </cell>
          <cell r="AO41" t="str">
            <v>MB</v>
          </cell>
          <cell r="AP41">
            <v>4000</v>
          </cell>
          <cell r="AQ41" t="str">
            <v>F9</v>
          </cell>
          <cell r="AR41">
            <v>20</v>
          </cell>
          <cell r="AT41" t="str">
            <v>F8</v>
          </cell>
          <cell r="AU41">
            <v>1</v>
          </cell>
          <cell r="AV41" t="str">
            <v>M3</v>
          </cell>
          <cell r="AW41">
            <v>20</v>
          </cell>
          <cell r="AX41" t="str">
            <v>MB</v>
          </cell>
          <cell r="AY41">
            <v>1</v>
          </cell>
          <cell r="AZ41" t="str">
            <v>MB</v>
          </cell>
          <cell r="BA41">
            <v>1</v>
          </cell>
          <cell r="BB41" t="str">
            <v>F9</v>
          </cell>
          <cell r="BC41">
            <v>20</v>
          </cell>
          <cell r="BE41" t="str">
            <v>F8</v>
          </cell>
          <cell r="BF41">
            <v>1</v>
          </cell>
          <cell r="BG41" t="str">
            <v>M3</v>
          </cell>
          <cell r="BH41">
            <v>20</v>
          </cell>
          <cell r="BI41" t="str">
            <v>MB</v>
          </cell>
          <cell r="BJ41">
            <v>1</v>
          </cell>
          <cell r="BK41" t="str">
            <v>MB</v>
          </cell>
          <cell r="BL41">
            <v>1</v>
          </cell>
          <cell r="BM41" t="str">
            <v>F9</v>
          </cell>
          <cell r="BN41">
            <v>20</v>
          </cell>
          <cell r="BP41" t="str">
            <v>F8</v>
          </cell>
          <cell r="BQ41">
            <v>1</v>
          </cell>
          <cell r="BR41" t="str">
            <v>M3</v>
          </cell>
          <cell r="BS41">
            <v>20</v>
          </cell>
          <cell r="BT41" t="str">
            <v>MB</v>
          </cell>
          <cell r="BU41">
            <v>1</v>
          </cell>
          <cell r="BV41" t="str">
            <v>MB</v>
          </cell>
          <cell r="BW41">
            <v>1</v>
          </cell>
          <cell r="BX41" t="str">
            <v>F9</v>
          </cell>
          <cell r="BY41">
            <v>20</v>
          </cell>
          <cell r="CA41" t="str">
            <v>F8</v>
          </cell>
          <cell r="CB41">
            <v>1</v>
          </cell>
          <cell r="CC41" t="str">
            <v>M3</v>
          </cell>
          <cell r="CD41">
            <v>20</v>
          </cell>
          <cell r="CE41" t="str">
            <v>MB</v>
          </cell>
          <cell r="CF41">
            <v>1</v>
          </cell>
          <cell r="CG41" t="str">
            <v>MB</v>
          </cell>
          <cell r="CH41">
            <v>1</v>
          </cell>
          <cell r="CI41" t="str">
            <v>F9</v>
          </cell>
          <cell r="CJ41">
            <v>20</v>
          </cell>
          <cell r="CL41" t="str">
            <v>F8</v>
          </cell>
          <cell r="CM41">
            <v>1</v>
          </cell>
          <cell r="CN41" t="str">
            <v>M3</v>
          </cell>
          <cell r="CO41">
            <v>20</v>
          </cell>
          <cell r="CP41" t="str">
            <v>MB</v>
          </cell>
          <cell r="CQ41">
            <v>1</v>
          </cell>
          <cell r="CR41" t="str">
            <v>MB</v>
          </cell>
          <cell r="CS41">
            <v>1</v>
          </cell>
          <cell r="CT41" t="str">
            <v>F9</v>
          </cell>
          <cell r="CU41">
            <v>20</v>
          </cell>
          <cell r="CW41" t="str">
            <v>F8</v>
          </cell>
          <cell r="CX41">
            <v>1</v>
          </cell>
          <cell r="CY41" t="str">
            <v>M3</v>
          </cell>
          <cell r="CZ41">
            <v>20</v>
          </cell>
          <cell r="DA41" t="str">
            <v>MB</v>
          </cell>
          <cell r="DB41">
            <v>1</v>
          </cell>
          <cell r="DC41" t="str">
            <v>MB</v>
          </cell>
          <cell r="DD41">
            <v>1</v>
          </cell>
          <cell r="DE41" t="str">
            <v>F9</v>
          </cell>
          <cell r="DF41">
            <v>20</v>
          </cell>
          <cell r="DH41" t="str">
            <v>F8</v>
          </cell>
          <cell r="DI41">
            <v>1</v>
          </cell>
          <cell r="DJ41" t="str">
            <v>M3</v>
          </cell>
          <cell r="DK41">
            <v>20</v>
          </cell>
          <cell r="DL41" t="str">
            <v>MB</v>
          </cell>
          <cell r="DM41">
            <v>1</v>
          </cell>
          <cell r="DN41" t="str">
            <v>MB</v>
          </cell>
          <cell r="DO41">
            <v>1</v>
          </cell>
          <cell r="DP41" t="str">
            <v>F9</v>
          </cell>
          <cell r="DQ41">
            <v>20</v>
          </cell>
          <cell r="DS41" t="str">
            <v>F8</v>
          </cell>
          <cell r="DT41">
            <v>1</v>
          </cell>
          <cell r="DU41" t="str">
            <v>M3</v>
          </cell>
          <cell r="DV41">
            <v>20</v>
          </cell>
          <cell r="DW41" t="str">
            <v>MB</v>
          </cell>
          <cell r="DX41">
            <v>1</v>
          </cell>
          <cell r="DY41" t="str">
            <v>MB</v>
          </cell>
          <cell r="DZ41">
            <v>1</v>
          </cell>
          <cell r="EA41" t="str">
            <v>F9</v>
          </cell>
          <cell r="EB41">
            <v>20</v>
          </cell>
          <cell r="ED41" t="str">
            <v>F8</v>
          </cell>
          <cell r="EE41">
            <v>1</v>
          </cell>
          <cell r="EF41" t="str">
            <v>M3</v>
          </cell>
          <cell r="EG41">
            <v>20</v>
          </cell>
          <cell r="EH41" t="str">
            <v>MB</v>
          </cell>
          <cell r="EI41">
            <v>1</v>
          </cell>
          <cell r="EJ41" t="str">
            <v>MB</v>
          </cell>
          <cell r="EK41">
            <v>1</v>
          </cell>
          <cell r="EL41" t="str">
            <v>F9</v>
          </cell>
          <cell r="EM41">
            <v>20</v>
          </cell>
          <cell r="EO41" t="str">
            <v>F8</v>
          </cell>
          <cell r="EP41">
            <v>1</v>
          </cell>
          <cell r="EQ41" t="str">
            <v>M3</v>
          </cell>
          <cell r="ER41">
            <v>20</v>
          </cell>
          <cell r="ES41" t="str">
            <v>MB</v>
          </cell>
          <cell r="ET41">
            <v>1</v>
          </cell>
          <cell r="EU41" t="str">
            <v>MB</v>
          </cell>
          <cell r="EV41">
            <v>4000</v>
          </cell>
          <cell r="EW41" t="str">
            <v>F9</v>
          </cell>
          <cell r="EX41">
            <v>20</v>
          </cell>
          <cell r="EZ41" t="str">
            <v>F8</v>
          </cell>
          <cell r="FA41">
            <v>1</v>
          </cell>
          <cell r="FB41" t="str">
            <v>M3</v>
          </cell>
          <cell r="FC41">
            <v>20</v>
          </cell>
          <cell r="FD41" t="str">
            <v>MB</v>
          </cell>
          <cell r="FE41">
            <v>1</v>
          </cell>
          <cell r="FF41" t="str">
            <v>MB</v>
          </cell>
          <cell r="FG41">
            <v>1</v>
          </cell>
          <cell r="FH41" t="str">
            <v>F9</v>
          </cell>
          <cell r="FI41">
            <v>20</v>
          </cell>
          <cell r="FK41" t="str">
            <v>F8</v>
          </cell>
          <cell r="FL41">
            <v>1</v>
          </cell>
          <cell r="FM41" t="str">
            <v>M3</v>
          </cell>
          <cell r="FN41">
            <v>20</v>
          </cell>
          <cell r="FO41" t="str">
            <v>MB</v>
          </cell>
          <cell r="FP41">
            <v>1</v>
          </cell>
          <cell r="FQ41" t="str">
            <v>MB</v>
          </cell>
          <cell r="FR41">
            <v>1</v>
          </cell>
          <cell r="FS41" t="str">
            <v>F9</v>
          </cell>
          <cell r="FT41">
            <v>20</v>
          </cell>
        </row>
        <row r="42">
          <cell r="B42" t="str">
            <v>F8</v>
          </cell>
          <cell r="C42">
            <v>20</v>
          </cell>
          <cell r="D42" t="str">
            <v>F8</v>
          </cell>
          <cell r="E42">
            <v>1</v>
          </cell>
          <cell r="F42" t="str">
            <v>MB</v>
          </cell>
          <cell r="G42">
            <v>1</v>
          </cell>
          <cell r="H42" t="str">
            <v>MB</v>
          </cell>
          <cell r="I42">
            <v>1</v>
          </cell>
          <cell r="J42" t="str">
            <v>F5</v>
          </cell>
          <cell r="K42">
            <v>20</v>
          </cell>
          <cell r="M42" t="str">
            <v>F8</v>
          </cell>
          <cell r="N42">
            <v>20</v>
          </cell>
          <cell r="O42" t="str">
            <v>F8</v>
          </cell>
          <cell r="P42">
            <v>1</v>
          </cell>
          <cell r="Q42" t="str">
            <v>MB</v>
          </cell>
          <cell r="R42">
            <v>1</v>
          </cell>
          <cell r="S42" t="str">
            <v>MB</v>
          </cell>
          <cell r="T42">
            <v>1</v>
          </cell>
          <cell r="U42" t="str">
            <v>F5</v>
          </cell>
          <cell r="V42">
            <v>20</v>
          </cell>
          <cell r="X42" t="str">
            <v>F8</v>
          </cell>
          <cell r="Y42">
            <v>20</v>
          </cell>
          <cell r="Z42" t="str">
            <v>F8</v>
          </cell>
          <cell r="AA42">
            <v>1</v>
          </cell>
          <cell r="AB42" t="str">
            <v>MB</v>
          </cell>
          <cell r="AC42">
            <v>1</v>
          </cell>
          <cell r="AD42" t="str">
            <v>MB</v>
          </cell>
          <cell r="AE42">
            <v>1</v>
          </cell>
          <cell r="AF42" t="str">
            <v>F5</v>
          </cell>
          <cell r="AG42">
            <v>20</v>
          </cell>
          <cell r="AI42" t="str">
            <v>F8</v>
          </cell>
          <cell r="AJ42">
            <v>20</v>
          </cell>
          <cell r="AK42" t="str">
            <v>F8</v>
          </cell>
          <cell r="AL42">
            <v>1</v>
          </cell>
          <cell r="AM42" t="str">
            <v>MB</v>
          </cell>
          <cell r="AN42">
            <v>1</v>
          </cell>
          <cell r="AO42" t="str">
            <v>MB</v>
          </cell>
          <cell r="AP42">
            <v>4000</v>
          </cell>
          <cell r="AQ42" t="str">
            <v>F5</v>
          </cell>
          <cell r="AR42">
            <v>20</v>
          </cell>
          <cell r="AT42" t="str">
            <v>F8</v>
          </cell>
          <cell r="AU42">
            <v>20</v>
          </cell>
          <cell r="AV42" t="str">
            <v>F8</v>
          </cell>
          <cell r="AW42">
            <v>1</v>
          </cell>
          <cell r="AX42" t="str">
            <v>MB</v>
          </cell>
          <cell r="AY42">
            <v>1</v>
          </cell>
          <cell r="AZ42" t="str">
            <v>MB</v>
          </cell>
          <cell r="BA42">
            <v>1</v>
          </cell>
          <cell r="BB42" t="str">
            <v>F5</v>
          </cell>
          <cell r="BC42">
            <v>20</v>
          </cell>
          <cell r="BE42" t="str">
            <v>F8</v>
          </cell>
          <cell r="BF42">
            <v>20</v>
          </cell>
          <cell r="BG42" t="str">
            <v>F8</v>
          </cell>
          <cell r="BH42">
            <v>1</v>
          </cell>
          <cell r="BI42" t="str">
            <v>MB</v>
          </cell>
          <cell r="BJ42">
            <v>1</v>
          </cell>
          <cell r="BK42" t="str">
            <v>MB</v>
          </cell>
          <cell r="BL42">
            <v>1</v>
          </cell>
          <cell r="BM42" t="str">
            <v>F5</v>
          </cell>
          <cell r="BN42">
            <v>20</v>
          </cell>
          <cell r="BP42" t="str">
            <v>F8</v>
          </cell>
          <cell r="BQ42">
            <v>20</v>
          </cell>
          <cell r="BR42" t="str">
            <v>F8</v>
          </cell>
          <cell r="BS42">
            <v>1</v>
          </cell>
          <cell r="BT42" t="str">
            <v>MB</v>
          </cell>
          <cell r="BU42">
            <v>1</v>
          </cell>
          <cell r="BV42" t="str">
            <v>MB</v>
          </cell>
          <cell r="BW42">
            <v>1</v>
          </cell>
          <cell r="BX42" t="str">
            <v>F5</v>
          </cell>
          <cell r="BY42">
            <v>20</v>
          </cell>
          <cell r="CA42" t="str">
            <v>F8</v>
          </cell>
          <cell r="CB42">
            <v>20</v>
          </cell>
          <cell r="CC42" t="str">
            <v>F8</v>
          </cell>
          <cell r="CD42">
            <v>1</v>
          </cell>
          <cell r="CE42" t="str">
            <v>MB</v>
          </cell>
          <cell r="CF42">
            <v>4000</v>
          </cell>
          <cell r="CG42" t="str">
            <v>MB</v>
          </cell>
          <cell r="CH42">
            <v>1</v>
          </cell>
          <cell r="CI42" t="str">
            <v>F5</v>
          </cell>
          <cell r="CJ42">
            <v>20</v>
          </cell>
          <cell r="CL42" t="str">
            <v>F8</v>
          </cell>
          <cell r="CM42">
            <v>20</v>
          </cell>
          <cell r="CN42" t="str">
            <v>F8</v>
          </cell>
          <cell r="CO42">
            <v>1</v>
          </cell>
          <cell r="CP42" t="str">
            <v>MB</v>
          </cell>
          <cell r="CQ42">
            <v>1</v>
          </cell>
          <cell r="CR42" t="str">
            <v>MB</v>
          </cell>
          <cell r="CS42">
            <v>1</v>
          </cell>
          <cell r="CT42" t="str">
            <v>F5</v>
          </cell>
          <cell r="CU42">
            <v>20</v>
          </cell>
          <cell r="CW42" t="str">
            <v>F8</v>
          </cell>
          <cell r="CX42">
            <v>20</v>
          </cell>
          <cell r="CY42" t="str">
            <v>F8</v>
          </cell>
          <cell r="CZ42">
            <v>1</v>
          </cell>
          <cell r="DA42" t="str">
            <v>MB</v>
          </cell>
          <cell r="DB42">
            <v>1</v>
          </cell>
          <cell r="DC42" t="str">
            <v>MB</v>
          </cell>
          <cell r="DD42">
            <v>1</v>
          </cell>
          <cell r="DE42" t="str">
            <v>F5</v>
          </cell>
          <cell r="DF42">
            <v>20</v>
          </cell>
          <cell r="DH42" t="str">
            <v>F8</v>
          </cell>
          <cell r="DI42">
            <v>20</v>
          </cell>
          <cell r="DJ42" t="str">
            <v>F8</v>
          </cell>
          <cell r="DK42">
            <v>1</v>
          </cell>
          <cell r="DL42" t="str">
            <v>MB</v>
          </cell>
          <cell r="DM42">
            <v>1</v>
          </cell>
          <cell r="DN42" t="str">
            <v>MB</v>
          </cell>
          <cell r="DO42">
            <v>1</v>
          </cell>
          <cell r="DP42" t="str">
            <v>F5</v>
          </cell>
          <cell r="DQ42">
            <v>20</v>
          </cell>
          <cell r="DS42" t="str">
            <v>F8</v>
          </cell>
          <cell r="DT42">
            <v>20</v>
          </cell>
          <cell r="DU42" t="str">
            <v>F8</v>
          </cell>
          <cell r="DV42">
            <v>1</v>
          </cell>
          <cell r="DW42" t="str">
            <v>MB</v>
          </cell>
          <cell r="DX42">
            <v>1</v>
          </cell>
          <cell r="DY42" t="str">
            <v>MB</v>
          </cell>
          <cell r="DZ42">
            <v>1</v>
          </cell>
          <cell r="EA42" t="str">
            <v>F5</v>
          </cell>
          <cell r="EB42">
            <v>20</v>
          </cell>
          <cell r="ED42" t="str">
            <v>F8</v>
          </cell>
          <cell r="EE42">
            <v>20</v>
          </cell>
          <cell r="EF42" t="str">
            <v>F8</v>
          </cell>
          <cell r="EG42">
            <v>1</v>
          </cell>
          <cell r="EH42" t="str">
            <v>MB</v>
          </cell>
          <cell r="EI42">
            <v>1</v>
          </cell>
          <cell r="EJ42" t="str">
            <v>MB</v>
          </cell>
          <cell r="EK42">
            <v>1</v>
          </cell>
          <cell r="EL42" t="str">
            <v>F5</v>
          </cell>
          <cell r="EM42">
            <v>20</v>
          </cell>
          <cell r="EO42" t="str">
            <v>F8</v>
          </cell>
          <cell r="EP42">
            <v>20</v>
          </cell>
          <cell r="EQ42" t="str">
            <v>F8</v>
          </cell>
          <cell r="ER42">
            <v>1</v>
          </cell>
          <cell r="ES42" t="str">
            <v>MB</v>
          </cell>
          <cell r="ET42">
            <v>4000</v>
          </cell>
          <cell r="EU42" t="str">
            <v>MB</v>
          </cell>
          <cell r="EV42">
            <v>4000</v>
          </cell>
          <cell r="EW42" t="str">
            <v>F5</v>
          </cell>
          <cell r="EX42">
            <v>20</v>
          </cell>
          <cell r="EZ42" t="str">
            <v>F8</v>
          </cell>
          <cell r="FA42">
            <v>20</v>
          </cell>
          <cell r="FB42" t="str">
            <v>F8</v>
          </cell>
          <cell r="FC42">
            <v>1</v>
          </cell>
          <cell r="FD42" t="str">
            <v>MB</v>
          </cell>
          <cell r="FE42">
            <v>10000</v>
          </cell>
          <cell r="FF42" t="str">
            <v>MB</v>
          </cell>
          <cell r="FG42">
            <v>1</v>
          </cell>
          <cell r="FH42" t="str">
            <v>F5</v>
          </cell>
          <cell r="FI42">
            <v>20</v>
          </cell>
          <cell r="FK42" t="str">
            <v>F8</v>
          </cell>
          <cell r="FL42">
            <v>20</v>
          </cell>
          <cell r="FM42" t="str">
            <v>F8</v>
          </cell>
          <cell r="FN42">
            <v>1</v>
          </cell>
          <cell r="FO42" t="str">
            <v>MB</v>
          </cell>
          <cell r="FP42">
            <v>100000000</v>
          </cell>
          <cell r="FQ42" t="str">
            <v>MB</v>
          </cell>
          <cell r="FR42">
            <v>1</v>
          </cell>
          <cell r="FS42" t="str">
            <v>F5</v>
          </cell>
          <cell r="FT42">
            <v>20</v>
          </cell>
        </row>
        <row r="43">
          <cell r="B43" t="str">
            <v>F6</v>
          </cell>
          <cell r="C43">
            <v>20</v>
          </cell>
          <cell r="D43" t="str">
            <v>MB</v>
          </cell>
          <cell r="E43">
            <v>1</v>
          </cell>
          <cell r="F43" t="str">
            <v>MB</v>
          </cell>
          <cell r="G43">
            <v>1</v>
          </cell>
          <cell r="H43" t="str">
            <v>M1</v>
          </cell>
          <cell r="I43">
            <v>1</v>
          </cell>
          <cell r="J43" t="str">
            <v>M1</v>
          </cell>
          <cell r="K43">
            <v>20</v>
          </cell>
          <cell r="M43" t="str">
            <v>F6</v>
          </cell>
          <cell r="N43">
            <v>20</v>
          </cell>
          <cell r="O43" t="str">
            <v>MB</v>
          </cell>
          <cell r="P43">
            <v>1</v>
          </cell>
          <cell r="Q43" t="str">
            <v>MB</v>
          </cell>
          <cell r="R43">
            <v>1</v>
          </cell>
          <cell r="S43" t="str">
            <v>M1</v>
          </cell>
          <cell r="T43">
            <v>1</v>
          </cell>
          <cell r="U43" t="str">
            <v>M1</v>
          </cell>
          <cell r="V43">
            <v>20</v>
          </cell>
          <cell r="X43" t="str">
            <v>F6</v>
          </cell>
          <cell r="Y43">
            <v>20</v>
          </cell>
          <cell r="Z43" t="str">
            <v>MB</v>
          </cell>
          <cell r="AA43">
            <v>1</v>
          </cell>
          <cell r="AB43" t="str">
            <v>MB</v>
          </cell>
          <cell r="AC43">
            <v>1</v>
          </cell>
          <cell r="AD43" t="str">
            <v>M1</v>
          </cell>
          <cell r="AE43">
            <v>1</v>
          </cell>
          <cell r="AF43" t="str">
            <v>M1</v>
          </cell>
          <cell r="AG43">
            <v>20</v>
          </cell>
          <cell r="AI43" t="str">
            <v>F6</v>
          </cell>
          <cell r="AJ43">
            <v>20</v>
          </cell>
          <cell r="AK43" t="str">
            <v>MB</v>
          </cell>
          <cell r="AL43">
            <v>1</v>
          </cell>
          <cell r="AM43" t="str">
            <v>MB</v>
          </cell>
          <cell r="AN43">
            <v>1</v>
          </cell>
          <cell r="AO43" t="str">
            <v>M1</v>
          </cell>
          <cell r="AP43">
            <v>1</v>
          </cell>
          <cell r="AQ43" t="str">
            <v>M1</v>
          </cell>
          <cell r="AR43">
            <v>20</v>
          </cell>
          <cell r="AT43" t="str">
            <v>F6</v>
          </cell>
          <cell r="AU43">
            <v>20</v>
          </cell>
          <cell r="AV43" t="str">
            <v>MB</v>
          </cell>
          <cell r="AW43">
            <v>1</v>
          </cell>
          <cell r="AX43" t="str">
            <v>MB</v>
          </cell>
          <cell r="AY43">
            <v>1</v>
          </cell>
          <cell r="AZ43" t="str">
            <v>M1</v>
          </cell>
          <cell r="BA43">
            <v>1</v>
          </cell>
          <cell r="BB43" t="str">
            <v>M1</v>
          </cell>
          <cell r="BC43">
            <v>20</v>
          </cell>
          <cell r="BE43" t="str">
            <v>F6</v>
          </cell>
          <cell r="BF43">
            <v>20</v>
          </cell>
          <cell r="BG43" t="str">
            <v>MB</v>
          </cell>
          <cell r="BH43">
            <v>1</v>
          </cell>
          <cell r="BI43" t="str">
            <v>MB</v>
          </cell>
          <cell r="BJ43">
            <v>1</v>
          </cell>
          <cell r="BK43" t="str">
            <v>M1</v>
          </cell>
          <cell r="BL43">
            <v>1</v>
          </cell>
          <cell r="BM43" t="str">
            <v>M1</v>
          </cell>
          <cell r="BN43">
            <v>20</v>
          </cell>
          <cell r="BP43" t="str">
            <v>F6</v>
          </cell>
          <cell r="BQ43">
            <v>20</v>
          </cell>
          <cell r="BR43" t="str">
            <v>MB</v>
          </cell>
          <cell r="BS43">
            <v>1</v>
          </cell>
          <cell r="BT43" t="str">
            <v>MB</v>
          </cell>
          <cell r="BU43">
            <v>1</v>
          </cell>
          <cell r="BV43" t="str">
            <v>M1</v>
          </cell>
          <cell r="BW43">
            <v>1</v>
          </cell>
          <cell r="BX43" t="str">
            <v>M1</v>
          </cell>
          <cell r="BY43">
            <v>20</v>
          </cell>
          <cell r="CA43" t="str">
            <v>F6</v>
          </cell>
          <cell r="CB43">
            <v>20</v>
          </cell>
          <cell r="CC43" t="str">
            <v>MB</v>
          </cell>
          <cell r="CD43">
            <v>1</v>
          </cell>
          <cell r="CE43" t="str">
            <v>MB</v>
          </cell>
          <cell r="CF43">
            <v>1</v>
          </cell>
          <cell r="CG43" t="str">
            <v>M1</v>
          </cell>
          <cell r="CH43">
            <v>1</v>
          </cell>
          <cell r="CI43" t="str">
            <v>M1</v>
          </cell>
          <cell r="CJ43">
            <v>20</v>
          </cell>
          <cell r="CL43" t="str">
            <v>F6</v>
          </cell>
          <cell r="CM43">
            <v>20</v>
          </cell>
          <cell r="CN43" t="str">
            <v>MB</v>
          </cell>
          <cell r="CO43">
            <v>1</v>
          </cell>
          <cell r="CP43" t="str">
            <v>MB</v>
          </cell>
          <cell r="CQ43">
            <v>1</v>
          </cell>
          <cell r="CR43" t="str">
            <v>M1</v>
          </cell>
          <cell r="CS43">
            <v>1</v>
          </cell>
          <cell r="CT43" t="str">
            <v>M1</v>
          </cell>
          <cell r="CU43">
            <v>20</v>
          </cell>
          <cell r="CW43" t="str">
            <v>F6</v>
          </cell>
          <cell r="CX43">
            <v>20</v>
          </cell>
          <cell r="CY43" t="str">
            <v>MB</v>
          </cell>
          <cell r="CZ43">
            <v>1</v>
          </cell>
          <cell r="DA43" t="str">
            <v>MB</v>
          </cell>
          <cell r="DB43">
            <v>1</v>
          </cell>
          <cell r="DC43" t="str">
            <v>M1</v>
          </cell>
          <cell r="DD43">
            <v>1</v>
          </cell>
          <cell r="DE43" t="str">
            <v>M1</v>
          </cell>
          <cell r="DF43">
            <v>20</v>
          </cell>
          <cell r="DH43" t="str">
            <v>F6</v>
          </cell>
          <cell r="DI43">
            <v>20</v>
          </cell>
          <cell r="DJ43" t="str">
            <v>MB</v>
          </cell>
          <cell r="DK43">
            <v>1</v>
          </cell>
          <cell r="DL43" t="str">
            <v>MB</v>
          </cell>
          <cell r="DM43">
            <v>1</v>
          </cell>
          <cell r="DN43" t="str">
            <v>M1</v>
          </cell>
          <cell r="DO43">
            <v>1</v>
          </cell>
          <cell r="DP43" t="str">
            <v>M1</v>
          </cell>
          <cell r="DQ43">
            <v>20</v>
          </cell>
          <cell r="DS43" t="str">
            <v>F6</v>
          </cell>
          <cell r="DT43">
            <v>20</v>
          </cell>
          <cell r="DU43" t="str">
            <v>MB</v>
          </cell>
          <cell r="DV43">
            <v>1</v>
          </cell>
          <cell r="DW43" t="str">
            <v>MB</v>
          </cell>
          <cell r="DX43">
            <v>1</v>
          </cell>
          <cell r="DY43" t="str">
            <v>M1</v>
          </cell>
          <cell r="DZ43">
            <v>1</v>
          </cell>
          <cell r="EA43" t="str">
            <v>M1</v>
          </cell>
          <cell r="EB43">
            <v>20</v>
          </cell>
          <cell r="ED43" t="str">
            <v>F6</v>
          </cell>
          <cell r="EE43">
            <v>20</v>
          </cell>
          <cell r="EF43" t="str">
            <v>MB</v>
          </cell>
          <cell r="EG43">
            <v>1</v>
          </cell>
          <cell r="EH43" t="str">
            <v>MB</v>
          </cell>
          <cell r="EI43">
            <v>1</v>
          </cell>
          <cell r="EJ43" t="str">
            <v>M1</v>
          </cell>
          <cell r="EK43">
            <v>1</v>
          </cell>
          <cell r="EL43" t="str">
            <v>M1</v>
          </cell>
          <cell r="EM43">
            <v>20</v>
          </cell>
          <cell r="EO43" t="str">
            <v>F6</v>
          </cell>
          <cell r="EP43">
            <v>20</v>
          </cell>
          <cell r="EQ43" t="str">
            <v>MB</v>
          </cell>
          <cell r="ER43">
            <v>1</v>
          </cell>
          <cell r="ES43" t="str">
            <v>MB</v>
          </cell>
          <cell r="ET43">
            <v>1</v>
          </cell>
          <cell r="EU43" t="str">
            <v>M1</v>
          </cell>
          <cell r="EV43">
            <v>1</v>
          </cell>
          <cell r="EW43" t="str">
            <v>M1</v>
          </cell>
          <cell r="EX43">
            <v>20</v>
          </cell>
          <cell r="EZ43" t="str">
            <v>F6</v>
          </cell>
          <cell r="FA43">
            <v>20</v>
          </cell>
          <cell r="FB43" t="str">
            <v>MB</v>
          </cell>
          <cell r="FC43">
            <v>1</v>
          </cell>
          <cell r="FD43" t="str">
            <v>MB</v>
          </cell>
          <cell r="FE43">
            <v>1</v>
          </cell>
          <cell r="FF43" t="str">
            <v>M1</v>
          </cell>
          <cell r="FG43">
            <v>1</v>
          </cell>
          <cell r="FH43" t="str">
            <v>M1</v>
          </cell>
          <cell r="FI43">
            <v>20</v>
          </cell>
          <cell r="FK43" t="str">
            <v>F6</v>
          </cell>
          <cell r="FL43">
            <v>20</v>
          </cell>
          <cell r="FM43" t="str">
            <v>MB</v>
          </cell>
          <cell r="FN43">
            <v>1</v>
          </cell>
          <cell r="FO43" t="str">
            <v>MB</v>
          </cell>
          <cell r="FP43">
            <v>1</v>
          </cell>
          <cell r="FQ43" t="str">
            <v>M1</v>
          </cell>
          <cell r="FR43">
            <v>1</v>
          </cell>
          <cell r="FS43" t="str">
            <v>M1</v>
          </cell>
          <cell r="FT43">
            <v>20</v>
          </cell>
        </row>
        <row r="44">
          <cell r="B44" t="str">
            <v>F9</v>
          </cell>
          <cell r="C44">
            <v>20</v>
          </cell>
          <cell r="D44" t="str">
            <v>MB</v>
          </cell>
          <cell r="E44">
            <v>1</v>
          </cell>
          <cell r="F44" t="str">
            <v>F5</v>
          </cell>
          <cell r="G44">
            <v>12</v>
          </cell>
          <cell r="H44" t="str">
            <v>F7</v>
          </cell>
          <cell r="I44">
            <v>20</v>
          </cell>
          <cell r="J44" t="str">
            <v>F7</v>
          </cell>
          <cell r="K44">
            <v>1</v>
          </cell>
          <cell r="M44" t="str">
            <v>F9</v>
          </cell>
          <cell r="N44">
            <v>20</v>
          </cell>
          <cell r="O44" t="str">
            <v>MB</v>
          </cell>
          <cell r="P44">
            <v>1</v>
          </cell>
          <cell r="Q44" t="str">
            <v>F5</v>
          </cell>
          <cell r="R44">
            <v>12</v>
          </cell>
          <cell r="S44" t="str">
            <v>F7</v>
          </cell>
          <cell r="T44">
            <v>20</v>
          </cell>
          <cell r="U44" t="str">
            <v>F7</v>
          </cell>
          <cell r="V44">
            <v>1</v>
          </cell>
          <cell r="X44" t="str">
            <v>F9</v>
          </cell>
          <cell r="Y44">
            <v>20</v>
          </cell>
          <cell r="Z44" t="str">
            <v>MB</v>
          </cell>
          <cell r="AA44">
            <v>1</v>
          </cell>
          <cell r="AB44" t="str">
            <v>F5</v>
          </cell>
          <cell r="AC44">
            <v>12</v>
          </cell>
          <cell r="AD44" t="str">
            <v>F7</v>
          </cell>
          <cell r="AE44">
            <v>20</v>
          </cell>
          <cell r="AF44" t="str">
            <v>F7</v>
          </cell>
          <cell r="AG44">
            <v>1</v>
          </cell>
          <cell r="AI44" t="str">
            <v>F9</v>
          </cell>
          <cell r="AJ44">
            <v>20</v>
          </cell>
          <cell r="AK44" t="str">
            <v>MB</v>
          </cell>
          <cell r="AL44">
            <v>1</v>
          </cell>
          <cell r="AM44" t="str">
            <v>F5</v>
          </cell>
          <cell r="AN44">
            <v>12</v>
          </cell>
          <cell r="AO44" t="str">
            <v>F7</v>
          </cell>
          <cell r="AP44">
            <v>20</v>
          </cell>
          <cell r="AQ44" t="str">
            <v>F7</v>
          </cell>
          <cell r="AR44">
            <v>1</v>
          </cell>
          <cell r="AT44" t="str">
            <v>F9</v>
          </cell>
          <cell r="AU44">
            <v>20</v>
          </cell>
          <cell r="AV44" t="str">
            <v>MB</v>
          </cell>
          <cell r="AW44">
            <v>1</v>
          </cell>
          <cell r="AX44" t="str">
            <v>F5</v>
          </cell>
          <cell r="AY44">
            <v>12</v>
          </cell>
          <cell r="AZ44" t="str">
            <v>F7</v>
          </cell>
          <cell r="BA44">
            <v>20</v>
          </cell>
          <cell r="BB44" t="str">
            <v>F7</v>
          </cell>
          <cell r="BC44">
            <v>1</v>
          </cell>
          <cell r="BE44" t="str">
            <v>F9</v>
          </cell>
          <cell r="BF44">
            <v>20</v>
          </cell>
          <cell r="BG44" t="str">
            <v>MB</v>
          </cell>
          <cell r="BH44">
            <v>1</v>
          </cell>
          <cell r="BI44" t="str">
            <v>F5</v>
          </cell>
          <cell r="BJ44">
            <v>12</v>
          </cell>
          <cell r="BK44" t="str">
            <v>F7</v>
          </cell>
          <cell r="BL44">
            <v>20</v>
          </cell>
          <cell r="BM44" t="str">
            <v>F7</v>
          </cell>
          <cell r="BN44">
            <v>1</v>
          </cell>
          <cell r="BP44" t="str">
            <v>F9</v>
          </cell>
          <cell r="BQ44">
            <v>20</v>
          </cell>
          <cell r="BR44" t="str">
            <v>MB</v>
          </cell>
          <cell r="BS44">
            <v>1</v>
          </cell>
          <cell r="BT44" t="str">
            <v>F5</v>
          </cell>
          <cell r="BU44">
            <v>12</v>
          </cell>
          <cell r="BV44" t="str">
            <v>F7</v>
          </cell>
          <cell r="BW44">
            <v>20</v>
          </cell>
          <cell r="BX44" t="str">
            <v>F7</v>
          </cell>
          <cell r="BY44">
            <v>1</v>
          </cell>
          <cell r="CA44" t="str">
            <v>F9</v>
          </cell>
          <cell r="CB44">
            <v>20</v>
          </cell>
          <cell r="CC44" t="str">
            <v>MB</v>
          </cell>
          <cell r="CD44">
            <v>1</v>
          </cell>
          <cell r="CE44" t="str">
            <v>F5</v>
          </cell>
          <cell r="CF44">
            <v>12</v>
          </cell>
          <cell r="CG44" t="str">
            <v>F7</v>
          </cell>
          <cell r="CH44">
            <v>20</v>
          </cell>
          <cell r="CI44" t="str">
            <v>F7</v>
          </cell>
          <cell r="CJ44">
            <v>1</v>
          </cell>
          <cell r="CL44" t="str">
            <v>F9</v>
          </cell>
          <cell r="CM44">
            <v>20</v>
          </cell>
          <cell r="CN44" t="str">
            <v>MB</v>
          </cell>
          <cell r="CO44">
            <v>1</v>
          </cell>
          <cell r="CP44" t="str">
            <v>F5</v>
          </cell>
          <cell r="CQ44">
            <v>12</v>
          </cell>
          <cell r="CR44" t="str">
            <v>F7</v>
          </cell>
          <cell r="CS44">
            <v>20</v>
          </cell>
          <cell r="CT44" t="str">
            <v>F7</v>
          </cell>
          <cell r="CU44">
            <v>1</v>
          </cell>
          <cell r="CW44" t="str">
            <v>F9</v>
          </cell>
          <cell r="CX44">
            <v>20</v>
          </cell>
          <cell r="CY44" t="str">
            <v>MB</v>
          </cell>
          <cell r="CZ44">
            <v>1</v>
          </cell>
          <cell r="DA44" t="str">
            <v>F5</v>
          </cell>
          <cell r="DB44">
            <v>12</v>
          </cell>
          <cell r="DC44" t="str">
            <v>F7</v>
          </cell>
          <cell r="DD44">
            <v>20</v>
          </cell>
          <cell r="DE44" t="str">
            <v>F7</v>
          </cell>
          <cell r="DF44">
            <v>1</v>
          </cell>
          <cell r="DH44" t="str">
            <v>F9</v>
          </cell>
          <cell r="DI44">
            <v>20</v>
          </cell>
          <cell r="DJ44" t="str">
            <v>MB</v>
          </cell>
          <cell r="DK44">
            <v>1</v>
          </cell>
          <cell r="DL44" t="str">
            <v>F5</v>
          </cell>
          <cell r="DM44">
            <v>12</v>
          </cell>
          <cell r="DN44" t="str">
            <v>F7</v>
          </cell>
          <cell r="DO44">
            <v>20</v>
          </cell>
          <cell r="DP44" t="str">
            <v>F7</v>
          </cell>
          <cell r="DQ44">
            <v>1</v>
          </cell>
          <cell r="DS44" t="str">
            <v>F9</v>
          </cell>
          <cell r="DT44">
            <v>20</v>
          </cell>
          <cell r="DU44" t="str">
            <v>MB</v>
          </cell>
          <cell r="DV44">
            <v>1</v>
          </cell>
          <cell r="DW44" t="str">
            <v>F5</v>
          </cell>
          <cell r="DX44">
            <v>12</v>
          </cell>
          <cell r="DY44" t="str">
            <v>F7</v>
          </cell>
          <cell r="DZ44">
            <v>20</v>
          </cell>
          <cell r="EA44" t="str">
            <v>F7</v>
          </cell>
          <cell r="EB44">
            <v>1</v>
          </cell>
          <cell r="ED44" t="str">
            <v>F9</v>
          </cell>
          <cell r="EE44">
            <v>20</v>
          </cell>
          <cell r="EF44" t="str">
            <v>MB</v>
          </cell>
          <cell r="EG44">
            <v>1</v>
          </cell>
          <cell r="EH44" t="str">
            <v>F5</v>
          </cell>
          <cell r="EI44">
            <v>12</v>
          </cell>
          <cell r="EJ44" t="str">
            <v>F7</v>
          </cell>
          <cell r="EK44">
            <v>20</v>
          </cell>
          <cell r="EL44" t="str">
            <v>F7</v>
          </cell>
          <cell r="EM44">
            <v>1</v>
          </cell>
          <cell r="EO44" t="str">
            <v>F9</v>
          </cell>
          <cell r="EP44">
            <v>20</v>
          </cell>
          <cell r="EQ44" t="str">
            <v>MB</v>
          </cell>
          <cell r="ER44">
            <v>1</v>
          </cell>
          <cell r="ES44" t="str">
            <v>F5</v>
          </cell>
          <cell r="ET44">
            <v>12</v>
          </cell>
          <cell r="EU44" t="str">
            <v>F7</v>
          </cell>
          <cell r="EV44">
            <v>20</v>
          </cell>
          <cell r="EW44" t="str">
            <v>F7</v>
          </cell>
          <cell r="EX44">
            <v>1</v>
          </cell>
          <cell r="EZ44" t="str">
            <v>F9</v>
          </cell>
          <cell r="FA44">
            <v>20</v>
          </cell>
          <cell r="FB44" t="str">
            <v>MB</v>
          </cell>
          <cell r="FC44">
            <v>10000</v>
          </cell>
          <cell r="FD44" t="str">
            <v>F5</v>
          </cell>
          <cell r="FE44">
            <v>12</v>
          </cell>
          <cell r="FF44" t="str">
            <v>F7</v>
          </cell>
          <cell r="FG44">
            <v>20</v>
          </cell>
          <cell r="FH44" t="str">
            <v>F7</v>
          </cell>
          <cell r="FI44">
            <v>1</v>
          </cell>
          <cell r="FK44" t="str">
            <v>F9</v>
          </cell>
          <cell r="FL44">
            <v>20</v>
          </cell>
          <cell r="FM44" t="str">
            <v>MB</v>
          </cell>
          <cell r="FN44">
            <v>100000000</v>
          </cell>
          <cell r="FO44" t="str">
            <v>F5</v>
          </cell>
          <cell r="FP44">
            <v>12</v>
          </cell>
          <cell r="FQ44" t="str">
            <v>F7</v>
          </cell>
          <cell r="FR44">
            <v>20</v>
          </cell>
          <cell r="FS44" t="str">
            <v>F7</v>
          </cell>
          <cell r="FT44">
            <v>1</v>
          </cell>
        </row>
        <row r="45">
          <cell r="B45" t="str">
            <v>M4</v>
          </cell>
          <cell r="C45">
            <v>20</v>
          </cell>
          <cell r="D45" t="str">
            <v>MB</v>
          </cell>
          <cell r="E45">
            <v>1</v>
          </cell>
          <cell r="F45" t="str">
            <v>BN</v>
          </cell>
          <cell r="G45">
            <v>12</v>
          </cell>
          <cell r="H45" t="str">
            <v>M4</v>
          </cell>
          <cell r="I45">
            <v>20</v>
          </cell>
          <cell r="J45" t="str">
            <v>MB</v>
          </cell>
          <cell r="K45">
            <v>1</v>
          </cell>
          <cell r="M45" t="str">
            <v>M4</v>
          </cell>
          <cell r="N45">
            <v>20</v>
          </cell>
          <cell r="O45" t="str">
            <v>MB</v>
          </cell>
          <cell r="P45">
            <v>1</v>
          </cell>
          <cell r="Q45" t="str">
            <v>BN</v>
          </cell>
          <cell r="R45">
            <v>12</v>
          </cell>
          <cell r="S45" t="str">
            <v>M4</v>
          </cell>
          <cell r="T45">
            <v>20</v>
          </cell>
          <cell r="U45" t="str">
            <v>MB</v>
          </cell>
          <cell r="V45">
            <v>1</v>
          </cell>
          <cell r="X45" t="str">
            <v>M4</v>
          </cell>
          <cell r="Y45">
            <v>20</v>
          </cell>
          <cell r="Z45" t="str">
            <v>MB</v>
          </cell>
          <cell r="AA45">
            <v>1</v>
          </cell>
          <cell r="AB45" t="str">
            <v>BN</v>
          </cell>
          <cell r="AC45">
            <v>12</v>
          </cell>
          <cell r="AD45" t="str">
            <v>M4</v>
          </cell>
          <cell r="AE45">
            <v>20</v>
          </cell>
          <cell r="AF45" t="str">
            <v>MB</v>
          </cell>
          <cell r="AG45">
            <v>1</v>
          </cell>
          <cell r="AI45" t="str">
            <v>M4</v>
          </cell>
          <cell r="AJ45">
            <v>20</v>
          </cell>
          <cell r="AK45" t="str">
            <v>MB</v>
          </cell>
          <cell r="AL45">
            <v>1</v>
          </cell>
          <cell r="AM45" t="str">
            <v>BN</v>
          </cell>
          <cell r="AN45">
            <v>12</v>
          </cell>
          <cell r="AO45" t="str">
            <v>M4</v>
          </cell>
          <cell r="AP45">
            <v>20</v>
          </cell>
          <cell r="AQ45" t="str">
            <v>MB</v>
          </cell>
          <cell r="AR45">
            <v>1</v>
          </cell>
          <cell r="AT45" t="str">
            <v>M4</v>
          </cell>
          <cell r="AU45">
            <v>20</v>
          </cell>
          <cell r="AV45" t="str">
            <v>MB</v>
          </cell>
          <cell r="AW45">
            <v>1</v>
          </cell>
          <cell r="AX45" t="str">
            <v>BN</v>
          </cell>
          <cell r="AY45">
            <v>12</v>
          </cell>
          <cell r="AZ45" t="str">
            <v>M4</v>
          </cell>
          <cell r="BA45">
            <v>20</v>
          </cell>
          <cell r="BB45" t="str">
            <v>MB</v>
          </cell>
          <cell r="BC45">
            <v>1</v>
          </cell>
          <cell r="BE45" t="str">
            <v>M4</v>
          </cell>
          <cell r="BF45">
            <v>20</v>
          </cell>
          <cell r="BG45" t="str">
            <v>MB</v>
          </cell>
          <cell r="BH45">
            <v>1</v>
          </cell>
          <cell r="BI45" t="str">
            <v>BN</v>
          </cell>
          <cell r="BJ45">
            <v>12</v>
          </cell>
          <cell r="BK45" t="str">
            <v>M4</v>
          </cell>
          <cell r="BL45">
            <v>20</v>
          </cell>
          <cell r="BM45" t="str">
            <v>MB</v>
          </cell>
          <cell r="BN45">
            <v>1</v>
          </cell>
          <cell r="BP45" t="str">
            <v>M4</v>
          </cell>
          <cell r="BQ45">
            <v>20</v>
          </cell>
          <cell r="BR45" t="str">
            <v>MB</v>
          </cell>
          <cell r="BS45">
            <v>1</v>
          </cell>
          <cell r="BT45" t="str">
            <v>BN</v>
          </cell>
          <cell r="BU45">
            <v>12</v>
          </cell>
          <cell r="BV45" t="str">
            <v>M4</v>
          </cell>
          <cell r="BW45">
            <v>20</v>
          </cell>
          <cell r="BX45" t="str">
            <v>MB</v>
          </cell>
          <cell r="BY45">
            <v>1</v>
          </cell>
          <cell r="CA45" t="str">
            <v>M4</v>
          </cell>
          <cell r="CB45">
            <v>20</v>
          </cell>
          <cell r="CC45" t="str">
            <v>MB</v>
          </cell>
          <cell r="CD45">
            <v>1</v>
          </cell>
          <cell r="CE45" t="str">
            <v>BN</v>
          </cell>
          <cell r="CF45">
            <v>12</v>
          </cell>
          <cell r="CG45" t="str">
            <v>M4</v>
          </cell>
          <cell r="CH45">
            <v>20</v>
          </cell>
          <cell r="CI45" t="str">
            <v>MB</v>
          </cell>
          <cell r="CJ45">
            <v>1</v>
          </cell>
          <cell r="CL45" t="str">
            <v>M4</v>
          </cell>
          <cell r="CM45">
            <v>20</v>
          </cell>
          <cell r="CN45" t="str">
            <v>MB</v>
          </cell>
          <cell r="CO45">
            <v>1</v>
          </cell>
          <cell r="CP45" t="str">
            <v>BN</v>
          </cell>
          <cell r="CQ45">
            <v>12</v>
          </cell>
          <cell r="CR45" t="str">
            <v>M4</v>
          </cell>
          <cell r="CS45">
            <v>20</v>
          </cell>
          <cell r="CT45" t="str">
            <v>MB</v>
          </cell>
          <cell r="CU45">
            <v>1</v>
          </cell>
          <cell r="CW45" t="str">
            <v>M4</v>
          </cell>
          <cell r="CX45">
            <v>20</v>
          </cell>
          <cell r="CY45" t="str">
            <v>MB</v>
          </cell>
          <cell r="CZ45">
            <v>1</v>
          </cell>
          <cell r="DA45" t="str">
            <v>BN</v>
          </cell>
          <cell r="DB45">
            <v>12</v>
          </cell>
          <cell r="DC45" t="str">
            <v>M4</v>
          </cell>
          <cell r="DD45">
            <v>20</v>
          </cell>
          <cell r="DE45" t="str">
            <v>MB</v>
          </cell>
          <cell r="DF45">
            <v>1</v>
          </cell>
          <cell r="DH45" t="str">
            <v>M4</v>
          </cell>
          <cell r="DI45">
            <v>20</v>
          </cell>
          <cell r="DJ45" t="str">
            <v>MB</v>
          </cell>
          <cell r="DK45">
            <v>1</v>
          </cell>
          <cell r="DL45" t="str">
            <v>BN</v>
          </cell>
          <cell r="DM45">
            <v>12</v>
          </cell>
          <cell r="DN45" t="str">
            <v>M4</v>
          </cell>
          <cell r="DO45">
            <v>20</v>
          </cell>
          <cell r="DP45" t="str">
            <v>MB</v>
          </cell>
          <cell r="DQ45">
            <v>1</v>
          </cell>
          <cell r="DS45" t="str">
            <v>M4</v>
          </cell>
          <cell r="DT45">
            <v>20</v>
          </cell>
          <cell r="DU45" t="str">
            <v>MB</v>
          </cell>
          <cell r="DV45">
            <v>1</v>
          </cell>
          <cell r="DW45" t="str">
            <v>BN</v>
          </cell>
          <cell r="DX45">
            <v>12</v>
          </cell>
          <cell r="DY45" t="str">
            <v>M4</v>
          </cell>
          <cell r="DZ45">
            <v>20</v>
          </cell>
          <cell r="EA45" t="str">
            <v>MB</v>
          </cell>
          <cell r="EB45">
            <v>1</v>
          </cell>
          <cell r="ED45" t="str">
            <v>M4</v>
          </cell>
          <cell r="EE45">
            <v>20</v>
          </cell>
          <cell r="EF45" t="str">
            <v>MB</v>
          </cell>
          <cell r="EG45">
            <v>1</v>
          </cell>
          <cell r="EH45" t="str">
            <v>BN</v>
          </cell>
          <cell r="EI45">
            <v>12</v>
          </cell>
          <cell r="EJ45" t="str">
            <v>M4</v>
          </cell>
          <cell r="EK45">
            <v>20</v>
          </cell>
          <cell r="EL45" t="str">
            <v>MB</v>
          </cell>
          <cell r="EM45">
            <v>1</v>
          </cell>
          <cell r="EO45" t="str">
            <v>M4</v>
          </cell>
          <cell r="EP45">
            <v>20</v>
          </cell>
          <cell r="EQ45" t="str">
            <v>MB</v>
          </cell>
          <cell r="ER45">
            <v>1</v>
          </cell>
          <cell r="ES45" t="str">
            <v>BN</v>
          </cell>
          <cell r="ET45">
            <v>12</v>
          </cell>
          <cell r="EU45" t="str">
            <v>M4</v>
          </cell>
          <cell r="EV45">
            <v>20</v>
          </cell>
          <cell r="EW45" t="str">
            <v>MB</v>
          </cell>
          <cell r="EX45">
            <v>1</v>
          </cell>
          <cell r="EZ45" t="str">
            <v>M4</v>
          </cell>
          <cell r="FA45">
            <v>20</v>
          </cell>
          <cell r="FB45" t="str">
            <v>MB</v>
          </cell>
          <cell r="FC45">
            <v>1</v>
          </cell>
          <cell r="FD45" t="str">
            <v>BN</v>
          </cell>
          <cell r="FE45">
            <v>12</v>
          </cell>
          <cell r="FF45" t="str">
            <v>M4</v>
          </cell>
          <cell r="FG45">
            <v>20</v>
          </cell>
          <cell r="FH45" t="str">
            <v>MB</v>
          </cell>
          <cell r="FI45">
            <v>1</v>
          </cell>
          <cell r="FK45" t="str">
            <v>M4</v>
          </cell>
          <cell r="FL45">
            <v>20</v>
          </cell>
          <cell r="FM45" t="str">
            <v>MB</v>
          </cell>
          <cell r="FN45">
            <v>1</v>
          </cell>
          <cell r="FO45" t="str">
            <v>BN</v>
          </cell>
          <cell r="FP45">
            <v>12</v>
          </cell>
          <cell r="FQ45" t="str">
            <v>M4</v>
          </cell>
          <cell r="FR45">
            <v>20</v>
          </cell>
          <cell r="FS45" t="str">
            <v>MB</v>
          </cell>
          <cell r="FT45">
            <v>1</v>
          </cell>
        </row>
        <row r="46">
          <cell r="B46" t="str">
            <v>M4</v>
          </cell>
          <cell r="C46">
            <v>20</v>
          </cell>
          <cell r="D46" t="str">
            <v>F5</v>
          </cell>
          <cell r="E46">
            <v>1</v>
          </cell>
          <cell r="F46" t="str">
            <v>F9</v>
          </cell>
          <cell r="G46">
            <v>12</v>
          </cell>
          <cell r="H46" t="str">
            <v>F6</v>
          </cell>
          <cell r="I46">
            <v>20</v>
          </cell>
          <cell r="J46" t="str">
            <v>MB</v>
          </cell>
          <cell r="K46">
            <v>1</v>
          </cell>
          <cell r="M46" t="str">
            <v>M4</v>
          </cell>
          <cell r="N46">
            <v>20</v>
          </cell>
          <cell r="O46" t="str">
            <v>F5</v>
          </cell>
          <cell r="P46">
            <v>1</v>
          </cell>
          <cell r="Q46" t="str">
            <v>F9</v>
          </cell>
          <cell r="R46">
            <v>12</v>
          </cell>
          <cell r="S46" t="str">
            <v>F6</v>
          </cell>
          <cell r="T46">
            <v>20</v>
          </cell>
          <cell r="U46" t="str">
            <v>MB</v>
          </cell>
          <cell r="V46">
            <v>1</v>
          </cell>
          <cell r="X46" t="str">
            <v>M4</v>
          </cell>
          <cell r="Y46">
            <v>20</v>
          </cell>
          <cell r="Z46" t="str">
            <v>F5</v>
          </cell>
          <cell r="AA46">
            <v>1</v>
          </cell>
          <cell r="AB46" t="str">
            <v>F9</v>
          </cell>
          <cell r="AC46">
            <v>12</v>
          </cell>
          <cell r="AD46" t="str">
            <v>F6</v>
          </cell>
          <cell r="AE46">
            <v>20</v>
          </cell>
          <cell r="AF46" t="str">
            <v>MB</v>
          </cell>
          <cell r="AG46">
            <v>1</v>
          </cell>
          <cell r="AI46" t="str">
            <v>M4</v>
          </cell>
          <cell r="AJ46">
            <v>20</v>
          </cell>
          <cell r="AK46" t="str">
            <v>F5</v>
          </cell>
          <cell r="AL46">
            <v>1</v>
          </cell>
          <cell r="AM46" t="str">
            <v>F9</v>
          </cell>
          <cell r="AN46">
            <v>12</v>
          </cell>
          <cell r="AO46" t="str">
            <v>F6</v>
          </cell>
          <cell r="AP46">
            <v>20</v>
          </cell>
          <cell r="AQ46" t="str">
            <v>MB</v>
          </cell>
          <cell r="AR46">
            <v>1</v>
          </cell>
          <cell r="AT46" t="str">
            <v>M4</v>
          </cell>
          <cell r="AU46">
            <v>20</v>
          </cell>
          <cell r="AV46" t="str">
            <v>F5</v>
          </cell>
          <cell r="AW46">
            <v>1</v>
          </cell>
          <cell r="AX46" t="str">
            <v>F9</v>
          </cell>
          <cell r="AY46">
            <v>12</v>
          </cell>
          <cell r="AZ46" t="str">
            <v>F6</v>
          </cell>
          <cell r="BA46">
            <v>20</v>
          </cell>
          <cell r="BB46" t="str">
            <v>MB</v>
          </cell>
          <cell r="BC46">
            <v>1</v>
          </cell>
          <cell r="BE46" t="str">
            <v>M4</v>
          </cell>
          <cell r="BF46">
            <v>20</v>
          </cell>
          <cell r="BG46" t="str">
            <v>F5</v>
          </cell>
          <cell r="BH46">
            <v>1</v>
          </cell>
          <cell r="BI46" t="str">
            <v>F9</v>
          </cell>
          <cell r="BJ46">
            <v>12</v>
          </cell>
          <cell r="BK46" t="str">
            <v>F6</v>
          </cell>
          <cell r="BL46">
            <v>20</v>
          </cell>
          <cell r="BM46" t="str">
            <v>MB</v>
          </cell>
          <cell r="BN46">
            <v>1</v>
          </cell>
          <cell r="BP46" t="str">
            <v>M4</v>
          </cell>
          <cell r="BQ46">
            <v>20</v>
          </cell>
          <cell r="BR46" t="str">
            <v>F5</v>
          </cell>
          <cell r="BS46">
            <v>1</v>
          </cell>
          <cell r="BT46" t="str">
            <v>F9</v>
          </cell>
          <cell r="BU46">
            <v>12</v>
          </cell>
          <cell r="BV46" t="str">
            <v>F6</v>
          </cell>
          <cell r="BW46">
            <v>20</v>
          </cell>
          <cell r="BX46" t="str">
            <v>MB</v>
          </cell>
          <cell r="BY46">
            <v>1</v>
          </cell>
          <cell r="CA46" t="str">
            <v>M4</v>
          </cell>
          <cell r="CB46">
            <v>20</v>
          </cell>
          <cell r="CC46" t="str">
            <v>F5</v>
          </cell>
          <cell r="CD46">
            <v>1</v>
          </cell>
          <cell r="CE46" t="str">
            <v>F9</v>
          </cell>
          <cell r="CF46">
            <v>12</v>
          </cell>
          <cell r="CG46" t="str">
            <v>F6</v>
          </cell>
          <cell r="CH46">
            <v>20</v>
          </cell>
          <cell r="CI46" t="str">
            <v>MB</v>
          </cell>
          <cell r="CJ46">
            <v>4000</v>
          </cell>
          <cell r="CL46" t="str">
            <v>M4</v>
          </cell>
          <cell r="CM46">
            <v>20</v>
          </cell>
          <cell r="CN46" t="str">
            <v>F5</v>
          </cell>
          <cell r="CO46">
            <v>1</v>
          </cell>
          <cell r="CP46" t="str">
            <v>F9</v>
          </cell>
          <cell r="CQ46">
            <v>12</v>
          </cell>
          <cell r="CR46" t="str">
            <v>F6</v>
          </cell>
          <cell r="CS46">
            <v>20</v>
          </cell>
          <cell r="CT46" t="str">
            <v>MB</v>
          </cell>
          <cell r="CU46">
            <v>1</v>
          </cell>
          <cell r="CW46" t="str">
            <v>M4</v>
          </cell>
          <cell r="CX46">
            <v>20</v>
          </cell>
          <cell r="CY46" t="str">
            <v>F5</v>
          </cell>
          <cell r="CZ46">
            <v>1</v>
          </cell>
          <cell r="DA46" t="str">
            <v>F9</v>
          </cell>
          <cell r="DB46">
            <v>12</v>
          </cell>
          <cell r="DC46" t="str">
            <v>F6</v>
          </cell>
          <cell r="DD46">
            <v>20</v>
          </cell>
          <cell r="DE46" t="str">
            <v>MB</v>
          </cell>
          <cell r="DF46">
            <v>8000</v>
          </cell>
          <cell r="DH46" t="str">
            <v>M4</v>
          </cell>
          <cell r="DI46">
            <v>20</v>
          </cell>
          <cell r="DJ46" t="str">
            <v>F5</v>
          </cell>
          <cell r="DK46">
            <v>1</v>
          </cell>
          <cell r="DL46" t="str">
            <v>F9</v>
          </cell>
          <cell r="DM46">
            <v>12</v>
          </cell>
          <cell r="DN46" t="str">
            <v>F6</v>
          </cell>
          <cell r="DO46">
            <v>20</v>
          </cell>
          <cell r="DP46" t="str">
            <v>MB</v>
          </cell>
          <cell r="DQ46">
            <v>2000</v>
          </cell>
          <cell r="DS46" t="str">
            <v>M4</v>
          </cell>
          <cell r="DT46">
            <v>20</v>
          </cell>
          <cell r="DU46" t="str">
            <v>F5</v>
          </cell>
          <cell r="DV46">
            <v>1</v>
          </cell>
          <cell r="DW46" t="str">
            <v>F9</v>
          </cell>
          <cell r="DX46">
            <v>12</v>
          </cell>
          <cell r="DY46" t="str">
            <v>F6</v>
          </cell>
          <cell r="DZ46">
            <v>20</v>
          </cell>
          <cell r="EA46" t="str">
            <v>MB</v>
          </cell>
          <cell r="EB46">
            <v>8000</v>
          </cell>
          <cell r="ED46" t="str">
            <v>M4</v>
          </cell>
          <cell r="EE46">
            <v>20</v>
          </cell>
          <cell r="EF46" t="str">
            <v>F5</v>
          </cell>
          <cell r="EG46">
            <v>1</v>
          </cell>
          <cell r="EH46" t="str">
            <v>F9</v>
          </cell>
          <cell r="EI46">
            <v>12</v>
          </cell>
          <cell r="EJ46" t="str">
            <v>F6</v>
          </cell>
          <cell r="EK46">
            <v>20</v>
          </cell>
          <cell r="EL46" t="str">
            <v>MB</v>
          </cell>
          <cell r="EM46">
            <v>4000</v>
          </cell>
          <cell r="EO46" t="str">
            <v>M4</v>
          </cell>
          <cell r="EP46">
            <v>20</v>
          </cell>
          <cell r="EQ46" t="str">
            <v>F5</v>
          </cell>
          <cell r="ER46">
            <v>1</v>
          </cell>
          <cell r="ES46" t="str">
            <v>F9</v>
          </cell>
          <cell r="ET46">
            <v>12</v>
          </cell>
          <cell r="EU46" t="str">
            <v>F6</v>
          </cell>
          <cell r="EV46">
            <v>20</v>
          </cell>
          <cell r="EW46" t="str">
            <v>MB</v>
          </cell>
          <cell r="EX46">
            <v>4000</v>
          </cell>
          <cell r="EZ46" t="str">
            <v>M4</v>
          </cell>
          <cell r="FA46">
            <v>20</v>
          </cell>
          <cell r="FB46" t="str">
            <v>F5</v>
          </cell>
          <cell r="FC46">
            <v>1</v>
          </cell>
          <cell r="FD46" t="str">
            <v>F9</v>
          </cell>
          <cell r="FE46">
            <v>12</v>
          </cell>
          <cell r="FF46" t="str">
            <v>F6</v>
          </cell>
          <cell r="FG46">
            <v>20</v>
          </cell>
          <cell r="FH46" t="str">
            <v>MB</v>
          </cell>
          <cell r="FI46">
            <v>10000</v>
          </cell>
          <cell r="FK46" t="str">
            <v>M4</v>
          </cell>
          <cell r="FL46">
            <v>20</v>
          </cell>
          <cell r="FM46" t="str">
            <v>F5</v>
          </cell>
          <cell r="FN46">
            <v>1</v>
          </cell>
          <cell r="FO46" t="str">
            <v>F9</v>
          </cell>
          <cell r="FP46">
            <v>12</v>
          </cell>
          <cell r="FQ46" t="str">
            <v>F6</v>
          </cell>
          <cell r="FR46">
            <v>20</v>
          </cell>
          <cell r="FS46" t="str">
            <v>MB</v>
          </cell>
          <cell r="FT46">
            <v>100000000</v>
          </cell>
        </row>
        <row r="47">
          <cell r="B47" t="str">
            <v>F7</v>
          </cell>
          <cell r="C47">
            <v>20</v>
          </cell>
          <cell r="D47" t="str">
            <v>F6</v>
          </cell>
          <cell r="E47">
            <v>20</v>
          </cell>
          <cell r="F47" t="str">
            <v>WW</v>
          </cell>
          <cell r="G47">
            <v>20</v>
          </cell>
          <cell r="H47" t="str">
            <v>M1</v>
          </cell>
          <cell r="I47">
            <v>20</v>
          </cell>
          <cell r="J47" t="str">
            <v>MB</v>
          </cell>
          <cell r="K47">
            <v>1</v>
          </cell>
          <cell r="M47" t="str">
            <v>F7</v>
          </cell>
          <cell r="N47">
            <v>20</v>
          </cell>
          <cell r="O47" t="str">
            <v>F6</v>
          </cell>
          <cell r="P47">
            <v>20</v>
          </cell>
          <cell r="Q47" t="str">
            <v>WW</v>
          </cell>
          <cell r="R47">
            <v>20</v>
          </cell>
          <cell r="S47" t="str">
            <v>M1</v>
          </cell>
          <cell r="T47">
            <v>20</v>
          </cell>
          <cell r="U47" t="str">
            <v>MB</v>
          </cell>
          <cell r="V47">
            <v>1</v>
          </cell>
          <cell r="X47" t="str">
            <v>F7</v>
          </cell>
          <cell r="Y47">
            <v>20</v>
          </cell>
          <cell r="Z47" t="str">
            <v>F6</v>
          </cell>
          <cell r="AA47">
            <v>20</v>
          </cell>
          <cell r="AB47" t="str">
            <v>WW</v>
          </cell>
          <cell r="AC47">
            <v>20</v>
          </cell>
          <cell r="AD47" t="str">
            <v>M1</v>
          </cell>
          <cell r="AE47">
            <v>20</v>
          </cell>
          <cell r="AF47" t="str">
            <v>MB</v>
          </cell>
          <cell r="AG47">
            <v>1</v>
          </cell>
          <cell r="AI47" t="str">
            <v>F7</v>
          </cell>
          <cell r="AJ47">
            <v>20</v>
          </cell>
          <cell r="AK47" t="str">
            <v>F6</v>
          </cell>
          <cell r="AL47">
            <v>20</v>
          </cell>
          <cell r="AM47" t="str">
            <v>WW</v>
          </cell>
          <cell r="AN47">
            <v>20</v>
          </cell>
          <cell r="AO47" t="str">
            <v>M1</v>
          </cell>
          <cell r="AP47">
            <v>20</v>
          </cell>
          <cell r="AQ47" t="str">
            <v>MB</v>
          </cell>
          <cell r="AR47">
            <v>1</v>
          </cell>
          <cell r="AT47" t="str">
            <v>F7</v>
          </cell>
          <cell r="AU47">
            <v>20</v>
          </cell>
          <cell r="AV47" t="str">
            <v>F6</v>
          </cell>
          <cell r="AW47">
            <v>20</v>
          </cell>
          <cell r="AX47" t="str">
            <v>WW</v>
          </cell>
          <cell r="AY47">
            <v>20</v>
          </cell>
          <cell r="AZ47" t="str">
            <v>M1</v>
          </cell>
          <cell r="BA47">
            <v>20</v>
          </cell>
          <cell r="BB47" t="str">
            <v>MB</v>
          </cell>
          <cell r="BC47">
            <v>1</v>
          </cell>
          <cell r="BE47" t="str">
            <v>F7</v>
          </cell>
          <cell r="BF47">
            <v>20</v>
          </cell>
          <cell r="BG47" t="str">
            <v>F6</v>
          </cell>
          <cell r="BH47">
            <v>20</v>
          </cell>
          <cell r="BI47" t="str">
            <v>WW</v>
          </cell>
          <cell r="BJ47">
            <v>20</v>
          </cell>
          <cell r="BK47" t="str">
            <v>M1</v>
          </cell>
          <cell r="BL47">
            <v>20</v>
          </cell>
          <cell r="BM47" t="str">
            <v>MB</v>
          </cell>
          <cell r="BN47">
            <v>1</v>
          </cell>
          <cell r="BP47" t="str">
            <v>F7</v>
          </cell>
          <cell r="BQ47">
            <v>20</v>
          </cell>
          <cell r="BR47" t="str">
            <v>F6</v>
          </cell>
          <cell r="BS47">
            <v>20</v>
          </cell>
          <cell r="BT47" t="str">
            <v>WW</v>
          </cell>
          <cell r="BU47">
            <v>20</v>
          </cell>
          <cell r="BV47" t="str">
            <v>M1</v>
          </cell>
          <cell r="BW47">
            <v>20</v>
          </cell>
          <cell r="BX47" t="str">
            <v>MB</v>
          </cell>
          <cell r="BY47">
            <v>1</v>
          </cell>
          <cell r="CA47" t="str">
            <v>F7</v>
          </cell>
          <cell r="CB47">
            <v>20</v>
          </cell>
          <cell r="CC47" t="str">
            <v>F6</v>
          </cell>
          <cell r="CD47">
            <v>20</v>
          </cell>
          <cell r="CE47" t="str">
            <v>WW</v>
          </cell>
          <cell r="CF47">
            <v>20</v>
          </cell>
          <cell r="CG47" t="str">
            <v>M1</v>
          </cell>
          <cell r="CH47">
            <v>20</v>
          </cell>
          <cell r="CI47" t="str">
            <v>MB</v>
          </cell>
          <cell r="CJ47">
            <v>1</v>
          </cell>
          <cell r="CL47" t="str">
            <v>F7</v>
          </cell>
          <cell r="CM47">
            <v>20</v>
          </cell>
          <cell r="CN47" t="str">
            <v>F6</v>
          </cell>
          <cell r="CO47">
            <v>20</v>
          </cell>
          <cell r="CP47" t="str">
            <v>WW</v>
          </cell>
          <cell r="CQ47">
            <v>20</v>
          </cell>
          <cell r="CR47" t="str">
            <v>M1</v>
          </cell>
          <cell r="CS47">
            <v>20</v>
          </cell>
          <cell r="CT47" t="str">
            <v>MB</v>
          </cell>
          <cell r="CU47">
            <v>1</v>
          </cell>
          <cell r="CW47" t="str">
            <v>F7</v>
          </cell>
          <cell r="CX47">
            <v>20</v>
          </cell>
          <cell r="CY47" t="str">
            <v>F6</v>
          </cell>
          <cell r="CZ47">
            <v>20</v>
          </cell>
          <cell r="DA47" t="str">
            <v>WW</v>
          </cell>
          <cell r="DB47">
            <v>20</v>
          </cell>
          <cell r="DC47" t="str">
            <v>M1</v>
          </cell>
          <cell r="DD47">
            <v>20</v>
          </cell>
          <cell r="DE47" t="str">
            <v>MB</v>
          </cell>
          <cell r="DF47">
            <v>1</v>
          </cell>
          <cell r="DH47" t="str">
            <v>F7</v>
          </cell>
          <cell r="DI47">
            <v>20</v>
          </cell>
          <cell r="DJ47" t="str">
            <v>F6</v>
          </cell>
          <cell r="DK47">
            <v>20</v>
          </cell>
          <cell r="DL47" t="str">
            <v>WW</v>
          </cell>
          <cell r="DM47">
            <v>20</v>
          </cell>
          <cell r="DN47" t="str">
            <v>M1</v>
          </cell>
          <cell r="DO47">
            <v>20</v>
          </cell>
          <cell r="DP47" t="str">
            <v>MB</v>
          </cell>
          <cell r="DQ47">
            <v>1</v>
          </cell>
          <cell r="DS47" t="str">
            <v>F7</v>
          </cell>
          <cell r="DT47">
            <v>20</v>
          </cell>
          <cell r="DU47" t="str">
            <v>F6</v>
          </cell>
          <cell r="DV47">
            <v>20</v>
          </cell>
          <cell r="DW47" t="str">
            <v>WW</v>
          </cell>
          <cell r="DX47">
            <v>20</v>
          </cell>
          <cell r="DY47" t="str">
            <v>M1</v>
          </cell>
          <cell r="DZ47">
            <v>20</v>
          </cell>
          <cell r="EA47" t="str">
            <v>MB</v>
          </cell>
          <cell r="EB47">
            <v>1</v>
          </cell>
          <cell r="ED47" t="str">
            <v>F7</v>
          </cell>
          <cell r="EE47">
            <v>20</v>
          </cell>
          <cell r="EF47" t="str">
            <v>F6</v>
          </cell>
          <cell r="EG47">
            <v>20</v>
          </cell>
          <cell r="EH47" t="str">
            <v>WW</v>
          </cell>
          <cell r="EI47">
            <v>20</v>
          </cell>
          <cell r="EJ47" t="str">
            <v>M1</v>
          </cell>
          <cell r="EK47">
            <v>20</v>
          </cell>
          <cell r="EL47" t="str">
            <v>MB</v>
          </cell>
          <cell r="EM47">
            <v>1</v>
          </cell>
          <cell r="EO47" t="str">
            <v>F7</v>
          </cell>
          <cell r="EP47">
            <v>20</v>
          </cell>
          <cell r="EQ47" t="str">
            <v>F6</v>
          </cell>
          <cell r="ER47">
            <v>20</v>
          </cell>
          <cell r="ES47" t="str">
            <v>WW</v>
          </cell>
          <cell r="ET47">
            <v>20</v>
          </cell>
          <cell r="EU47" t="str">
            <v>M1</v>
          </cell>
          <cell r="EV47">
            <v>20</v>
          </cell>
          <cell r="EW47" t="str">
            <v>MB</v>
          </cell>
          <cell r="EX47">
            <v>1</v>
          </cell>
          <cell r="EZ47" t="str">
            <v>F7</v>
          </cell>
          <cell r="FA47">
            <v>20</v>
          </cell>
          <cell r="FB47" t="str">
            <v>F6</v>
          </cell>
          <cell r="FC47">
            <v>20</v>
          </cell>
          <cell r="FD47" t="str">
            <v>WW</v>
          </cell>
          <cell r="FE47">
            <v>20</v>
          </cell>
          <cell r="FF47" t="str">
            <v>M1</v>
          </cell>
          <cell r="FG47">
            <v>20</v>
          </cell>
          <cell r="FH47" t="str">
            <v>MB</v>
          </cell>
          <cell r="FI47">
            <v>1</v>
          </cell>
          <cell r="FK47" t="str">
            <v>F7</v>
          </cell>
          <cell r="FL47">
            <v>20</v>
          </cell>
          <cell r="FM47" t="str">
            <v>F6</v>
          </cell>
          <cell r="FN47">
            <v>20</v>
          </cell>
          <cell r="FO47" t="str">
            <v>WW</v>
          </cell>
          <cell r="FP47">
            <v>20</v>
          </cell>
          <cell r="FQ47" t="str">
            <v>M1</v>
          </cell>
          <cell r="FR47">
            <v>20</v>
          </cell>
          <cell r="FS47" t="str">
            <v>MB</v>
          </cell>
          <cell r="FT47">
            <v>1</v>
          </cell>
        </row>
        <row r="48">
          <cell r="B48" t="str">
            <v>M3</v>
          </cell>
          <cell r="C48">
            <v>20</v>
          </cell>
          <cell r="D48" t="str">
            <v>M3</v>
          </cell>
          <cell r="E48">
            <v>20</v>
          </cell>
          <cell r="F48" t="str">
            <v>WW</v>
          </cell>
          <cell r="G48">
            <v>20</v>
          </cell>
          <cell r="H48" t="str">
            <v>F5</v>
          </cell>
          <cell r="I48">
            <v>20</v>
          </cell>
          <cell r="J48" t="str">
            <v>F6</v>
          </cell>
          <cell r="K48">
            <v>1</v>
          </cell>
          <cell r="M48" t="str">
            <v>M3</v>
          </cell>
          <cell r="N48">
            <v>20</v>
          </cell>
          <cell r="O48" t="str">
            <v>M3</v>
          </cell>
          <cell r="P48">
            <v>20</v>
          </cell>
          <cell r="Q48" t="str">
            <v>WW</v>
          </cell>
          <cell r="R48">
            <v>20</v>
          </cell>
          <cell r="S48" t="str">
            <v>F5</v>
          </cell>
          <cell r="T48">
            <v>20</v>
          </cell>
          <cell r="U48" t="str">
            <v>F6</v>
          </cell>
          <cell r="V48">
            <v>1</v>
          </cell>
          <cell r="X48" t="str">
            <v>M3</v>
          </cell>
          <cell r="Y48">
            <v>20</v>
          </cell>
          <cell r="Z48" t="str">
            <v>M3</v>
          </cell>
          <cell r="AA48">
            <v>20</v>
          </cell>
          <cell r="AB48" t="str">
            <v>WW</v>
          </cell>
          <cell r="AC48">
            <v>20</v>
          </cell>
          <cell r="AD48" t="str">
            <v>F5</v>
          </cell>
          <cell r="AE48">
            <v>20</v>
          </cell>
          <cell r="AF48" t="str">
            <v>F6</v>
          </cell>
          <cell r="AG48">
            <v>1</v>
          </cell>
          <cell r="AI48" t="str">
            <v>M3</v>
          </cell>
          <cell r="AJ48">
            <v>20</v>
          </cell>
          <cell r="AK48" t="str">
            <v>M3</v>
          </cell>
          <cell r="AL48">
            <v>20</v>
          </cell>
          <cell r="AM48" t="str">
            <v>WW</v>
          </cell>
          <cell r="AN48">
            <v>20</v>
          </cell>
          <cell r="AO48" t="str">
            <v>F5</v>
          </cell>
          <cell r="AP48">
            <v>20</v>
          </cell>
          <cell r="AQ48" t="str">
            <v>F6</v>
          </cell>
          <cell r="AR48">
            <v>1</v>
          </cell>
          <cell r="AT48" t="str">
            <v>M3</v>
          </cell>
          <cell r="AU48">
            <v>20</v>
          </cell>
          <cell r="AV48" t="str">
            <v>M3</v>
          </cell>
          <cell r="AW48">
            <v>20</v>
          </cell>
          <cell r="AX48" t="str">
            <v>WW</v>
          </cell>
          <cell r="AY48">
            <v>20</v>
          </cell>
          <cell r="AZ48" t="str">
            <v>F5</v>
          </cell>
          <cell r="BA48">
            <v>20</v>
          </cell>
          <cell r="BB48" t="str">
            <v>F6</v>
          </cell>
          <cell r="BC48">
            <v>1</v>
          </cell>
          <cell r="BE48" t="str">
            <v>M3</v>
          </cell>
          <cell r="BF48">
            <v>20</v>
          </cell>
          <cell r="BG48" t="str">
            <v>M3</v>
          </cell>
          <cell r="BH48">
            <v>20</v>
          </cell>
          <cell r="BI48" t="str">
            <v>WW</v>
          </cell>
          <cell r="BJ48">
            <v>20</v>
          </cell>
          <cell r="BK48" t="str">
            <v>F5</v>
          </cell>
          <cell r="BL48">
            <v>20</v>
          </cell>
          <cell r="BM48" t="str">
            <v>F6</v>
          </cell>
          <cell r="BN48">
            <v>1</v>
          </cell>
          <cell r="BP48" t="str">
            <v>M3</v>
          </cell>
          <cell r="BQ48">
            <v>20</v>
          </cell>
          <cell r="BR48" t="str">
            <v>M3</v>
          </cell>
          <cell r="BS48">
            <v>20</v>
          </cell>
          <cell r="BT48" t="str">
            <v>WW</v>
          </cell>
          <cell r="BU48">
            <v>20</v>
          </cell>
          <cell r="BV48" t="str">
            <v>F5</v>
          </cell>
          <cell r="BW48">
            <v>20</v>
          </cell>
          <cell r="BX48" t="str">
            <v>F6</v>
          </cell>
          <cell r="BY48">
            <v>1</v>
          </cell>
          <cell r="CA48" t="str">
            <v>M3</v>
          </cell>
          <cell r="CB48">
            <v>20</v>
          </cell>
          <cell r="CC48" t="str">
            <v>M3</v>
          </cell>
          <cell r="CD48">
            <v>20</v>
          </cell>
          <cell r="CE48" t="str">
            <v>WW</v>
          </cell>
          <cell r="CF48">
            <v>20</v>
          </cell>
          <cell r="CG48" t="str">
            <v>F5</v>
          </cell>
          <cell r="CH48">
            <v>20</v>
          </cell>
          <cell r="CI48" t="str">
            <v>F6</v>
          </cell>
          <cell r="CJ48">
            <v>1</v>
          </cell>
          <cell r="CL48" t="str">
            <v>M3</v>
          </cell>
          <cell r="CM48">
            <v>20</v>
          </cell>
          <cell r="CN48" t="str">
            <v>M3</v>
          </cell>
          <cell r="CO48">
            <v>20</v>
          </cell>
          <cell r="CP48" t="str">
            <v>WW</v>
          </cell>
          <cell r="CQ48">
            <v>20</v>
          </cell>
          <cell r="CR48" t="str">
            <v>F5</v>
          </cell>
          <cell r="CS48">
            <v>20</v>
          </cell>
          <cell r="CT48" t="str">
            <v>F6</v>
          </cell>
          <cell r="CU48">
            <v>1</v>
          </cell>
          <cell r="CW48" t="str">
            <v>M3</v>
          </cell>
          <cell r="CX48">
            <v>20</v>
          </cell>
          <cell r="CY48" t="str">
            <v>M3</v>
          </cell>
          <cell r="CZ48">
            <v>20</v>
          </cell>
          <cell r="DA48" t="str">
            <v>WW</v>
          </cell>
          <cell r="DB48">
            <v>20</v>
          </cell>
          <cell r="DC48" t="str">
            <v>F5</v>
          </cell>
          <cell r="DD48">
            <v>20</v>
          </cell>
          <cell r="DE48" t="str">
            <v>F6</v>
          </cell>
          <cell r="DF48">
            <v>1</v>
          </cell>
          <cell r="DH48" t="str">
            <v>M3</v>
          </cell>
          <cell r="DI48">
            <v>20</v>
          </cell>
          <cell r="DJ48" t="str">
            <v>M3</v>
          </cell>
          <cell r="DK48">
            <v>20</v>
          </cell>
          <cell r="DL48" t="str">
            <v>WW</v>
          </cell>
          <cell r="DM48">
            <v>20</v>
          </cell>
          <cell r="DN48" t="str">
            <v>F5</v>
          </cell>
          <cell r="DO48">
            <v>20</v>
          </cell>
          <cell r="DP48" t="str">
            <v>F6</v>
          </cell>
          <cell r="DQ48">
            <v>1</v>
          </cell>
          <cell r="DS48" t="str">
            <v>M3</v>
          </cell>
          <cell r="DT48">
            <v>20</v>
          </cell>
          <cell r="DU48" t="str">
            <v>M3</v>
          </cell>
          <cell r="DV48">
            <v>20</v>
          </cell>
          <cell r="DW48" t="str">
            <v>WW</v>
          </cell>
          <cell r="DX48">
            <v>20</v>
          </cell>
          <cell r="DY48" t="str">
            <v>F5</v>
          </cell>
          <cell r="DZ48">
            <v>20</v>
          </cell>
          <cell r="EA48" t="str">
            <v>F6</v>
          </cell>
          <cell r="EB48">
            <v>1</v>
          </cell>
          <cell r="ED48" t="str">
            <v>M3</v>
          </cell>
          <cell r="EE48">
            <v>20</v>
          </cell>
          <cell r="EF48" t="str">
            <v>M3</v>
          </cell>
          <cell r="EG48">
            <v>20</v>
          </cell>
          <cell r="EH48" t="str">
            <v>WW</v>
          </cell>
          <cell r="EI48">
            <v>20</v>
          </cell>
          <cell r="EJ48" t="str">
            <v>F5</v>
          </cell>
          <cell r="EK48">
            <v>20</v>
          </cell>
          <cell r="EL48" t="str">
            <v>F6</v>
          </cell>
          <cell r="EM48">
            <v>1</v>
          </cell>
          <cell r="EO48" t="str">
            <v>M3</v>
          </cell>
          <cell r="EP48">
            <v>20</v>
          </cell>
          <cell r="EQ48" t="str">
            <v>M3</v>
          </cell>
          <cell r="ER48">
            <v>20</v>
          </cell>
          <cell r="ES48" t="str">
            <v>WW</v>
          </cell>
          <cell r="ET48">
            <v>20</v>
          </cell>
          <cell r="EU48" t="str">
            <v>F5</v>
          </cell>
          <cell r="EV48">
            <v>20</v>
          </cell>
          <cell r="EW48" t="str">
            <v>F6</v>
          </cell>
          <cell r="EX48">
            <v>1</v>
          </cell>
          <cell r="EZ48" t="str">
            <v>M3</v>
          </cell>
          <cell r="FA48">
            <v>20</v>
          </cell>
          <cell r="FB48" t="str">
            <v>M3</v>
          </cell>
          <cell r="FC48">
            <v>20</v>
          </cell>
          <cell r="FD48" t="str">
            <v>WW</v>
          </cell>
          <cell r="FE48">
            <v>20</v>
          </cell>
          <cell r="FF48" t="str">
            <v>F5</v>
          </cell>
          <cell r="FG48">
            <v>20</v>
          </cell>
          <cell r="FH48" t="str">
            <v>F6</v>
          </cell>
          <cell r="FI48">
            <v>1</v>
          </cell>
          <cell r="FK48" t="str">
            <v>M3</v>
          </cell>
          <cell r="FL48">
            <v>20</v>
          </cell>
          <cell r="FM48" t="str">
            <v>M3</v>
          </cell>
          <cell r="FN48">
            <v>20</v>
          </cell>
          <cell r="FO48" t="str">
            <v>WW</v>
          </cell>
          <cell r="FP48">
            <v>20</v>
          </cell>
          <cell r="FQ48" t="str">
            <v>F5</v>
          </cell>
          <cell r="FR48">
            <v>20</v>
          </cell>
          <cell r="FS48" t="str">
            <v>F6</v>
          </cell>
          <cell r="FT48">
            <v>1</v>
          </cell>
        </row>
        <row r="49">
          <cell r="B49" t="str">
            <v>F5</v>
          </cell>
          <cell r="C49">
            <v>20</v>
          </cell>
          <cell r="D49" t="str">
            <v>F9</v>
          </cell>
          <cell r="E49">
            <v>20</v>
          </cell>
          <cell r="F49" t="str">
            <v>WW</v>
          </cell>
          <cell r="G49">
            <v>20</v>
          </cell>
          <cell r="H49" t="str">
            <v>M2</v>
          </cell>
          <cell r="I49">
            <v>20</v>
          </cell>
          <cell r="J49" t="str">
            <v>M3</v>
          </cell>
          <cell r="K49">
            <v>20</v>
          </cell>
          <cell r="M49" t="str">
            <v>F5</v>
          </cell>
          <cell r="N49">
            <v>20</v>
          </cell>
          <cell r="O49" t="str">
            <v>F9</v>
          </cell>
          <cell r="P49">
            <v>20</v>
          </cell>
          <cell r="Q49" t="str">
            <v>WW</v>
          </cell>
          <cell r="R49">
            <v>20</v>
          </cell>
          <cell r="S49" t="str">
            <v>M2</v>
          </cell>
          <cell r="T49">
            <v>20</v>
          </cell>
          <cell r="U49" t="str">
            <v>M3</v>
          </cell>
          <cell r="V49">
            <v>20</v>
          </cell>
          <cell r="X49" t="str">
            <v>F5</v>
          </cell>
          <cell r="Y49">
            <v>20</v>
          </cell>
          <cell r="Z49" t="str">
            <v>F9</v>
          </cell>
          <cell r="AA49">
            <v>20</v>
          </cell>
          <cell r="AB49" t="str">
            <v>WW</v>
          </cell>
          <cell r="AC49">
            <v>20</v>
          </cell>
          <cell r="AD49" t="str">
            <v>M2</v>
          </cell>
          <cell r="AE49">
            <v>20</v>
          </cell>
          <cell r="AF49" t="str">
            <v>M3</v>
          </cell>
          <cell r="AG49">
            <v>20</v>
          </cell>
          <cell r="AI49" t="str">
            <v>F5</v>
          </cell>
          <cell r="AJ49">
            <v>20</v>
          </cell>
          <cell r="AK49" t="str">
            <v>F9</v>
          </cell>
          <cell r="AL49">
            <v>20</v>
          </cell>
          <cell r="AM49" t="str">
            <v>WW</v>
          </cell>
          <cell r="AN49">
            <v>20</v>
          </cell>
          <cell r="AO49" t="str">
            <v>M2</v>
          </cell>
          <cell r="AP49">
            <v>20</v>
          </cell>
          <cell r="AQ49" t="str">
            <v>M3</v>
          </cell>
          <cell r="AR49">
            <v>20</v>
          </cell>
          <cell r="AT49" t="str">
            <v>F5</v>
          </cell>
          <cell r="AU49">
            <v>20</v>
          </cell>
          <cell r="AV49" t="str">
            <v>F9</v>
          </cell>
          <cell r="AW49">
            <v>20</v>
          </cell>
          <cell r="AX49" t="str">
            <v>WW</v>
          </cell>
          <cell r="AY49">
            <v>20</v>
          </cell>
          <cell r="AZ49" t="str">
            <v>M2</v>
          </cell>
          <cell r="BA49">
            <v>20</v>
          </cell>
          <cell r="BB49" t="str">
            <v>M3</v>
          </cell>
          <cell r="BC49">
            <v>20</v>
          </cell>
          <cell r="BE49" t="str">
            <v>F5</v>
          </cell>
          <cell r="BF49">
            <v>20</v>
          </cell>
          <cell r="BG49" t="str">
            <v>F9</v>
          </cell>
          <cell r="BH49">
            <v>20</v>
          </cell>
          <cell r="BI49" t="str">
            <v>WW</v>
          </cell>
          <cell r="BJ49">
            <v>20</v>
          </cell>
          <cell r="BK49" t="str">
            <v>M2</v>
          </cell>
          <cell r="BL49">
            <v>20</v>
          </cell>
          <cell r="BM49" t="str">
            <v>M3</v>
          </cell>
          <cell r="BN49">
            <v>20</v>
          </cell>
          <cell r="BP49" t="str">
            <v>F5</v>
          </cell>
          <cell r="BQ49">
            <v>20</v>
          </cell>
          <cell r="BR49" t="str">
            <v>F9</v>
          </cell>
          <cell r="BS49">
            <v>20</v>
          </cell>
          <cell r="BT49" t="str">
            <v>WW</v>
          </cell>
          <cell r="BU49">
            <v>20</v>
          </cell>
          <cell r="BV49" t="str">
            <v>M2</v>
          </cell>
          <cell r="BW49">
            <v>20</v>
          </cell>
          <cell r="BX49" t="str">
            <v>M3</v>
          </cell>
          <cell r="BY49">
            <v>20</v>
          </cell>
          <cell r="CA49" t="str">
            <v>F5</v>
          </cell>
          <cell r="CB49">
            <v>20</v>
          </cell>
          <cell r="CC49" t="str">
            <v>F9</v>
          </cell>
          <cell r="CD49">
            <v>20</v>
          </cell>
          <cell r="CE49" t="str">
            <v>WW</v>
          </cell>
          <cell r="CF49">
            <v>20</v>
          </cell>
          <cell r="CG49" t="str">
            <v>M2</v>
          </cell>
          <cell r="CH49">
            <v>20</v>
          </cell>
          <cell r="CI49" t="str">
            <v>M3</v>
          </cell>
          <cell r="CJ49">
            <v>20</v>
          </cell>
          <cell r="CL49" t="str">
            <v>F5</v>
          </cell>
          <cell r="CM49">
            <v>20</v>
          </cell>
          <cell r="CN49" t="str">
            <v>F9</v>
          </cell>
          <cell r="CO49">
            <v>20</v>
          </cell>
          <cell r="CP49" t="str">
            <v>WW</v>
          </cell>
          <cell r="CQ49">
            <v>20</v>
          </cell>
          <cell r="CR49" t="str">
            <v>M2</v>
          </cell>
          <cell r="CS49">
            <v>20</v>
          </cell>
          <cell r="CT49" t="str">
            <v>M3</v>
          </cell>
          <cell r="CU49">
            <v>20</v>
          </cell>
          <cell r="CW49" t="str">
            <v>F5</v>
          </cell>
          <cell r="CX49">
            <v>20</v>
          </cell>
          <cell r="CY49" t="str">
            <v>F9</v>
          </cell>
          <cell r="CZ49">
            <v>20</v>
          </cell>
          <cell r="DA49" t="str">
            <v>WW</v>
          </cell>
          <cell r="DB49">
            <v>20</v>
          </cell>
          <cell r="DC49" t="str">
            <v>M2</v>
          </cell>
          <cell r="DD49">
            <v>20</v>
          </cell>
          <cell r="DE49" t="str">
            <v>M3</v>
          </cell>
          <cell r="DF49">
            <v>20</v>
          </cell>
          <cell r="DH49" t="str">
            <v>F5</v>
          </cell>
          <cell r="DI49">
            <v>20</v>
          </cell>
          <cell r="DJ49" t="str">
            <v>F9</v>
          </cell>
          <cell r="DK49">
            <v>20</v>
          </cell>
          <cell r="DL49" t="str">
            <v>WW</v>
          </cell>
          <cell r="DM49">
            <v>20</v>
          </cell>
          <cell r="DN49" t="str">
            <v>M2</v>
          </cell>
          <cell r="DO49">
            <v>20</v>
          </cell>
          <cell r="DP49" t="str">
            <v>M3</v>
          </cell>
          <cell r="DQ49">
            <v>20</v>
          </cell>
          <cell r="DS49" t="str">
            <v>F5</v>
          </cell>
          <cell r="DT49">
            <v>20</v>
          </cell>
          <cell r="DU49" t="str">
            <v>F9</v>
          </cell>
          <cell r="DV49">
            <v>20</v>
          </cell>
          <cell r="DW49" t="str">
            <v>WW</v>
          </cell>
          <cell r="DX49">
            <v>20</v>
          </cell>
          <cell r="DY49" t="str">
            <v>M2</v>
          </cell>
          <cell r="DZ49">
            <v>20</v>
          </cell>
          <cell r="EA49" t="str">
            <v>M3</v>
          </cell>
          <cell r="EB49">
            <v>20</v>
          </cell>
          <cell r="ED49" t="str">
            <v>F5</v>
          </cell>
          <cell r="EE49">
            <v>20</v>
          </cell>
          <cell r="EF49" t="str">
            <v>F9</v>
          </cell>
          <cell r="EG49">
            <v>20</v>
          </cell>
          <cell r="EH49" t="str">
            <v>WW</v>
          </cell>
          <cell r="EI49">
            <v>20</v>
          </cell>
          <cell r="EJ49" t="str">
            <v>M2</v>
          </cell>
          <cell r="EK49">
            <v>20</v>
          </cell>
          <cell r="EL49" t="str">
            <v>M3</v>
          </cell>
          <cell r="EM49">
            <v>20</v>
          </cell>
          <cell r="EO49" t="str">
            <v>F5</v>
          </cell>
          <cell r="EP49">
            <v>20</v>
          </cell>
          <cell r="EQ49" t="str">
            <v>F9</v>
          </cell>
          <cell r="ER49">
            <v>20</v>
          </cell>
          <cell r="ES49" t="str">
            <v>WW</v>
          </cell>
          <cell r="ET49">
            <v>20</v>
          </cell>
          <cell r="EU49" t="str">
            <v>M2</v>
          </cell>
          <cell r="EV49">
            <v>20</v>
          </cell>
          <cell r="EW49" t="str">
            <v>M3</v>
          </cell>
          <cell r="EX49">
            <v>20</v>
          </cell>
          <cell r="EZ49" t="str">
            <v>F5</v>
          </cell>
          <cell r="FA49">
            <v>20</v>
          </cell>
          <cell r="FB49" t="str">
            <v>F9</v>
          </cell>
          <cell r="FC49">
            <v>20</v>
          </cell>
          <cell r="FD49" t="str">
            <v>WW</v>
          </cell>
          <cell r="FE49">
            <v>20</v>
          </cell>
          <cell r="FF49" t="str">
            <v>M2</v>
          </cell>
          <cell r="FG49">
            <v>20</v>
          </cell>
          <cell r="FH49" t="str">
            <v>M3</v>
          </cell>
          <cell r="FI49">
            <v>20</v>
          </cell>
          <cell r="FK49" t="str">
            <v>F5</v>
          </cell>
          <cell r="FL49">
            <v>20</v>
          </cell>
          <cell r="FM49" t="str">
            <v>F9</v>
          </cell>
          <cell r="FN49">
            <v>20</v>
          </cell>
          <cell r="FO49" t="str">
            <v>WW</v>
          </cell>
          <cell r="FP49">
            <v>20</v>
          </cell>
          <cell r="FQ49" t="str">
            <v>M2</v>
          </cell>
          <cell r="FR49">
            <v>20</v>
          </cell>
          <cell r="FS49" t="str">
            <v>M3</v>
          </cell>
          <cell r="FT49">
            <v>20</v>
          </cell>
        </row>
        <row r="50">
          <cell r="B50" t="str">
            <v>F9</v>
          </cell>
          <cell r="C50">
            <v>20</v>
          </cell>
          <cell r="D50" t="str">
            <v>M4</v>
          </cell>
          <cell r="E50">
            <v>20</v>
          </cell>
          <cell r="F50" t="str">
            <v>F5</v>
          </cell>
          <cell r="G50">
            <v>1</v>
          </cell>
          <cell r="H50" t="str">
            <v>F9</v>
          </cell>
          <cell r="I50">
            <v>20</v>
          </cell>
          <cell r="J50" t="str">
            <v>F5</v>
          </cell>
          <cell r="K50">
            <v>1</v>
          </cell>
          <cell r="M50" t="str">
            <v>F9</v>
          </cell>
          <cell r="N50">
            <v>20</v>
          </cell>
          <cell r="O50" t="str">
            <v>M4</v>
          </cell>
          <cell r="P50">
            <v>20</v>
          </cell>
          <cell r="Q50" t="str">
            <v>F5</v>
          </cell>
          <cell r="R50">
            <v>1</v>
          </cell>
          <cell r="S50" t="str">
            <v>F9</v>
          </cell>
          <cell r="T50">
            <v>20</v>
          </cell>
          <cell r="U50" t="str">
            <v>F5</v>
          </cell>
          <cell r="V50">
            <v>2000</v>
          </cell>
          <cell r="X50" t="str">
            <v>F9</v>
          </cell>
          <cell r="Y50">
            <v>20</v>
          </cell>
          <cell r="Z50" t="str">
            <v>M4</v>
          </cell>
          <cell r="AA50">
            <v>20</v>
          </cell>
          <cell r="AB50" t="str">
            <v>F5</v>
          </cell>
          <cell r="AC50">
            <v>1</v>
          </cell>
          <cell r="AD50" t="str">
            <v>F9</v>
          </cell>
          <cell r="AE50">
            <v>20</v>
          </cell>
          <cell r="AF50" t="str">
            <v>F5</v>
          </cell>
          <cell r="AG50">
            <v>1</v>
          </cell>
          <cell r="AI50" t="str">
            <v>F9</v>
          </cell>
          <cell r="AJ50">
            <v>20</v>
          </cell>
          <cell r="AK50" t="str">
            <v>M4</v>
          </cell>
          <cell r="AL50">
            <v>20</v>
          </cell>
          <cell r="AM50" t="str">
            <v>F5</v>
          </cell>
          <cell r="AN50">
            <v>1</v>
          </cell>
          <cell r="AO50" t="str">
            <v>F9</v>
          </cell>
          <cell r="AP50">
            <v>20</v>
          </cell>
          <cell r="AQ50" t="str">
            <v>F5</v>
          </cell>
          <cell r="AR50">
            <v>1</v>
          </cell>
          <cell r="AT50" t="str">
            <v>F9</v>
          </cell>
          <cell r="AU50">
            <v>20</v>
          </cell>
          <cell r="AV50" t="str">
            <v>M4</v>
          </cell>
          <cell r="AW50">
            <v>20</v>
          </cell>
          <cell r="AX50" t="str">
            <v>F5</v>
          </cell>
          <cell r="AY50">
            <v>1</v>
          </cell>
          <cell r="AZ50" t="str">
            <v>F9</v>
          </cell>
          <cell r="BA50">
            <v>20</v>
          </cell>
          <cell r="BB50" t="str">
            <v>F5</v>
          </cell>
          <cell r="BC50">
            <v>5000</v>
          </cell>
          <cell r="BE50" t="str">
            <v>F9</v>
          </cell>
          <cell r="BF50">
            <v>20</v>
          </cell>
          <cell r="BG50" t="str">
            <v>M4</v>
          </cell>
          <cell r="BH50">
            <v>20</v>
          </cell>
          <cell r="BI50" t="str">
            <v>F5</v>
          </cell>
          <cell r="BJ50">
            <v>1</v>
          </cell>
          <cell r="BK50" t="str">
            <v>F9</v>
          </cell>
          <cell r="BL50">
            <v>20</v>
          </cell>
          <cell r="BM50" t="str">
            <v>F5</v>
          </cell>
          <cell r="BN50">
            <v>4000</v>
          </cell>
          <cell r="BP50" t="str">
            <v>F9</v>
          </cell>
          <cell r="BQ50">
            <v>20</v>
          </cell>
          <cell r="BR50" t="str">
            <v>M4</v>
          </cell>
          <cell r="BS50">
            <v>20</v>
          </cell>
          <cell r="BT50" t="str">
            <v>F5</v>
          </cell>
          <cell r="BU50">
            <v>1</v>
          </cell>
          <cell r="BV50" t="str">
            <v>F9</v>
          </cell>
          <cell r="BW50">
            <v>20</v>
          </cell>
          <cell r="BX50" t="str">
            <v>F5</v>
          </cell>
          <cell r="BY50">
            <v>4000</v>
          </cell>
          <cell r="CA50" t="str">
            <v>F9</v>
          </cell>
          <cell r="CB50">
            <v>20</v>
          </cell>
          <cell r="CC50" t="str">
            <v>M4</v>
          </cell>
          <cell r="CD50">
            <v>20</v>
          </cell>
          <cell r="CE50" t="str">
            <v>F5</v>
          </cell>
          <cell r="CF50">
            <v>1</v>
          </cell>
          <cell r="CG50" t="str">
            <v>F9</v>
          </cell>
          <cell r="CH50">
            <v>20</v>
          </cell>
          <cell r="CI50" t="str">
            <v>F5</v>
          </cell>
          <cell r="CJ50">
            <v>1</v>
          </cell>
          <cell r="CL50" t="str">
            <v>F9</v>
          </cell>
          <cell r="CM50">
            <v>20</v>
          </cell>
          <cell r="CN50" t="str">
            <v>M4</v>
          </cell>
          <cell r="CO50">
            <v>20</v>
          </cell>
          <cell r="CP50" t="str">
            <v>F5</v>
          </cell>
          <cell r="CQ50">
            <v>1</v>
          </cell>
          <cell r="CR50" t="str">
            <v>F9</v>
          </cell>
          <cell r="CS50">
            <v>20</v>
          </cell>
          <cell r="CT50" t="str">
            <v>F5</v>
          </cell>
          <cell r="CU50">
            <v>4000</v>
          </cell>
          <cell r="CW50" t="str">
            <v>F9</v>
          </cell>
          <cell r="CX50">
            <v>20</v>
          </cell>
          <cell r="CY50" t="str">
            <v>M4</v>
          </cell>
          <cell r="CZ50">
            <v>20</v>
          </cell>
          <cell r="DA50" t="str">
            <v>F5</v>
          </cell>
          <cell r="DB50">
            <v>1</v>
          </cell>
          <cell r="DC50" t="str">
            <v>F9</v>
          </cell>
          <cell r="DD50">
            <v>20</v>
          </cell>
          <cell r="DE50" t="str">
            <v>F5</v>
          </cell>
          <cell r="DF50">
            <v>1</v>
          </cell>
          <cell r="DH50" t="str">
            <v>F9</v>
          </cell>
          <cell r="DI50">
            <v>20</v>
          </cell>
          <cell r="DJ50" t="str">
            <v>M4</v>
          </cell>
          <cell r="DK50">
            <v>20</v>
          </cell>
          <cell r="DL50" t="str">
            <v>F5</v>
          </cell>
          <cell r="DM50">
            <v>1</v>
          </cell>
          <cell r="DN50" t="str">
            <v>F9</v>
          </cell>
          <cell r="DO50">
            <v>20</v>
          </cell>
          <cell r="DP50" t="str">
            <v>F5</v>
          </cell>
          <cell r="DQ50">
            <v>1</v>
          </cell>
          <cell r="DS50" t="str">
            <v>F9</v>
          </cell>
          <cell r="DT50">
            <v>20</v>
          </cell>
          <cell r="DU50" t="str">
            <v>M4</v>
          </cell>
          <cell r="DV50">
            <v>20</v>
          </cell>
          <cell r="DW50" t="str">
            <v>F5</v>
          </cell>
          <cell r="DX50">
            <v>1</v>
          </cell>
          <cell r="DY50" t="str">
            <v>F9</v>
          </cell>
          <cell r="DZ50">
            <v>20</v>
          </cell>
          <cell r="EA50" t="str">
            <v>F5</v>
          </cell>
          <cell r="EB50">
            <v>1</v>
          </cell>
          <cell r="ED50" t="str">
            <v>F9</v>
          </cell>
          <cell r="EE50">
            <v>20</v>
          </cell>
          <cell r="EF50" t="str">
            <v>M4</v>
          </cell>
          <cell r="EG50">
            <v>20</v>
          </cell>
          <cell r="EH50" t="str">
            <v>F5</v>
          </cell>
          <cell r="EI50">
            <v>1</v>
          </cell>
          <cell r="EJ50" t="str">
            <v>F9</v>
          </cell>
          <cell r="EK50">
            <v>20</v>
          </cell>
          <cell r="EL50" t="str">
            <v>F5</v>
          </cell>
          <cell r="EM50">
            <v>1</v>
          </cell>
          <cell r="EO50" t="str">
            <v>F9</v>
          </cell>
          <cell r="EP50">
            <v>20</v>
          </cell>
          <cell r="EQ50" t="str">
            <v>M4</v>
          </cell>
          <cell r="ER50">
            <v>20</v>
          </cell>
          <cell r="ES50" t="str">
            <v>F5</v>
          </cell>
          <cell r="ET50">
            <v>1</v>
          </cell>
          <cell r="EU50" t="str">
            <v>F9</v>
          </cell>
          <cell r="EV50">
            <v>20</v>
          </cell>
          <cell r="EW50" t="str">
            <v>F5</v>
          </cell>
          <cell r="EX50">
            <v>1</v>
          </cell>
          <cell r="EZ50" t="str">
            <v>F9</v>
          </cell>
          <cell r="FA50">
            <v>20</v>
          </cell>
          <cell r="FB50" t="str">
            <v>M4</v>
          </cell>
          <cell r="FC50">
            <v>20</v>
          </cell>
          <cell r="FD50" t="str">
            <v>F5</v>
          </cell>
          <cell r="FE50">
            <v>1</v>
          </cell>
          <cell r="FF50" t="str">
            <v>F9</v>
          </cell>
          <cell r="FG50">
            <v>20</v>
          </cell>
          <cell r="FH50" t="str">
            <v>F5</v>
          </cell>
          <cell r="FI50">
            <v>1</v>
          </cell>
          <cell r="FK50" t="str">
            <v>F9</v>
          </cell>
          <cell r="FL50">
            <v>20</v>
          </cell>
          <cell r="FM50" t="str">
            <v>M4</v>
          </cell>
          <cell r="FN50">
            <v>20</v>
          </cell>
          <cell r="FO50" t="str">
            <v>F5</v>
          </cell>
          <cell r="FP50">
            <v>1</v>
          </cell>
          <cell r="FQ50" t="str">
            <v>F9</v>
          </cell>
          <cell r="FR50">
            <v>20</v>
          </cell>
          <cell r="FS50" t="str">
            <v>F5</v>
          </cell>
          <cell r="FT50">
            <v>1</v>
          </cell>
        </row>
        <row r="51">
          <cell r="B51" t="str">
            <v>F7</v>
          </cell>
          <cell r="C51">
            <v>1</v>
          </cell>
          <cell r="D51" t="str">
            <v>F9</v>
          </cell>
          <cell r="E51">
            <v>1</v>
          </cell>
          <cell r="F51" t="str">
            <v>MB</v>
          </cell>
          <cell r="G51">
            <v>1</v>
          </cell>
          <cell r="H51" t="str">
            <v>M3</v>
          </cell>
          <cell r="I51">
            <v>1</v>
          </cell>
          <cell r="J51" t="str">
            <v>MB</v>
          </cell>
          <cell r="K51">
            <v>1</v>
          </cell>
          <cell r="M51" t="str">
            <v>F7</v>
          </cell>
          <cell r="N51">
            <v>1</v>
          </cell>
          <cell r="O51" t="str">
            <v>F9</v>
          </cell>
          <cell r="P51">
            <v>1</v>
          </cell>
          <cell r="Q51" t="str">
            <v>MB</v>
          </cell>
          <cell r="R51">
            <v>1</v>
          </cell>
          <cell r="S51" t="str">
            <v>M3</v>
          </cell>
          <cell r="T51">
            <v>1</v>
          </cell>
          <cell r="U51" t="str">
            <v>MB</v>
          </cell>
          <cell r="V51">
            <v>2000</v>
          </cell>
          <cell r="X51" t="str">
            <v>F7</v>
          </cell>
          <cell r="Y51">
            <v>1</v>
          </cell>
          <cell r="Z51" t="str">
            <v>F9</v>
          </cell>
          <cell r="AA51">
            <v>1</v>
          </cell>
          <cell r="AB51" t="str">
            <v>MB</v>
          </cell>
          <cell r="AC51">
            <v>1</v>
          </cell>
          <cell r="AD51" t="str">
            <v>M3</v>
          </cell>
          <cell r="AE51">
            <v>1</v>
          </cell>
          <cell r="AF51" t="str">
            <v>MB</v>
          </cell>
          <cell r="AG51">
            <v>1</v>
          </cell>
          <cell r="AI51" t="str">
            <v>F7</v>
          </cell>
          <cell r="AJ51">
            <v>1</v>
          </cell>
          <cell r="AK51" t="str">
            <v>F9</v>
          </cell>
          <cell r="AL51">
            <v>1</v>
          </cell>
          <cell r="AM51" t="str">
            <v>MB</v>
          </cell>
          <cell r="AN51">
            <v>1</v>
          </cell>
          <cell r="AO51" t="str">
            <v>M3</v>
          </cell>
          <cell r="AP51">
            <v>1</v>
          </cell>
          <cell r="AQ51" t="str">
            <v>MB</v>
          </cell>
          <cell r="AR51">
            <v>1</v>
          </cell>
          <cell r="AT51" t="str">
            <v>F7</v>
          </cell>
          <cell r="AU51">
            <v>1</v>
          </cell>
          <cell r="AV51" t="str">
            <v>F9</v>
          </cell>
          <cell r="AW51">
            <v>1</v>
          </cell>
          <cell r="AX51" t="str">
            <v>MB</v>
          </cell>
          <cell r="AY51">
            <v>1</v>
          </cell>
          <cell r="AZ51" t="str">
            <v>M3</v>
          </cell>
          <cell r="BA51">
            <v>1</v>
          </cell>
          <cell r="BB51" t="str">
            <v>MB</v>
          </cell>
          <cell r="BC51">
            <v>5000</v>
          </cell>
          <cell r="BE51" t="str">
            <v>F7</v>
          </cell>
          <cell r="BF51">
            <v>1</v>
          </cell>
          <cell r="BG51" t="str">
            <v>F9</v>
          </cell>
          <cell r="BH51">
            <v>1</v>
          </cell>
          <cell r="BI51" t="str">
            <v>MB</v>
          </cell>
          <cell r="BJ51">
            <v>4000</v>
          </cell>
          <cell r="BK51" t="str">
            <v>M3</v>
          </cell>
          <cell r="BL51">
            <v>1</v>
          </cell>
          <cell r="BM51" t="str">
            <v>MB</v>
          </cell>
          <cell r="BN51">
            <v>4000</v>
          </cell>
          <cell r="BP51" t="str">
            <v>F7</v>
          </cell>
          <cell r="BQ51">
            <v>1</v>
          </cell>
          <cell r="BR51" t="str">
            <v>F9</v>
          </cell>
          <cell r="BS51">
            <v>1</v>
          </cell>
          <cell r="BT51" t="str">
            <v>MB</v>
          </cell>
          <cell r="BU51">
            <v>1</v>
          </cell>
          <cell r="BV51" t="str">
            <v>M3</v>
          </cell>
          <cell r="BW51">
            <v>1</v>
          </cell>
          <cell r="BX51" t="str">
            <v>MB</v>
          </cell>
          <cell r="BY51">
            <v>4000</v>
          </cell>
          <cell r="CA51" t="str">
            <v>F7</v>
          </cell>
          <cell r="CB51">
            <v>1</v>
          </cell>
          <cell r="CC51" t="str">
            <v>F9</v>
          </cell>
          <cell r="CD51">
            <v>1</v>
          </cell>
          <cell r="CE51" t="str">
            <v>MB</v>
          </cell>
          <cell r="CF51">
            <v>1</v>
          </cell>
          <cell r="CG51" t="str">
            <v>M3</v>
          </cell>
          <cell r="CH51">
            <v>1</v>
          </cell>
          <cell r="CI51" t="str">
            <v>MB</v>
          </cell>
          <cell r="CJ51">
            <v>1</v>
          </cell>
          <cell r="CL51" t="str">
            <v>F7</v>
          </cell>
          <cell r="CM51">
            <v>1</v>
          </cell>
          <cell r="CN51" t="str">
            <v>F9</v>
          </cell>
          <cell r="CO51">
            <v>1</v>
          </cell>
          <cell r="CP51" t="str">
            <v>MB</v>
          </cell>
          <cell r="CQ51">
            <v>1</v>
          </cell>
          <cell r="CR51" t="str">
            <v>M3</v>
          </cell>
          <cell r="CS51">
            <v>1</v>
          </cell>
          <cell r="CT51" t="str">
            <v>MB</v>
          </cell>
          <cell r="CU51">
            <v>4000</v>
          </cell>
          <cell r="CW51" t="str">
            <v>F7</v>
          </cell>
          <cell r="CX51">
            <v>1</v>
          </cell>
          <cell r="CY51" t="str">
            <v>F9</v>
          </cell>
          <cell r="CZ51">
            <v>1</v>
          </cell>
          <cell r="DA51" t="str">
            <v>MB</v>
          </cell>
          <cell r="DB51">
            <v>8000</v>
          </cell>
          <cell r="DC51" t="str">
            <v>M3</v>
          </cell>
          <cell r="DD51">
            <v>1</v>
          </cell>
          <cell r="DE51" t="str">
            <v>MB</v>
          </cell>
          <cell r="DF51">
            <v>1</v>
          </cell>
          <cell r="DH51" t="str">
            <v>F7</v>
          </cell>
          <cell r="DI51">
            <v>1</v>
          </cell>
          <cell r="DJ51" t="str">
            <v>F9</v>
          </cell>
          <cell r="DK51">
            <v>1</v>
          </cell>
          <cell r="DL51" t="str">
            <v>MB</v>
          </cell>
          <cell r="DM51">
            <v>2000</v>
          </cell>
          <cell r="DN51" t="str">
            <v>M3</v>
          </cell>
          <cell r="DO51">
            <v>1</v>
          </cell>
          <cell r="DP51" t="str">
            <v>MB</v>
          </cell>
          <cell r="DQ51">
            <v>1</v>
          </cell>
          <cell r="DS51" t="str">
            <v>F7</v>
          </cell>
          <cell r="DT51">
            <v>1</v>
          </cell>
          <cell r="DU51" t="str">
            <v>F9</v>
          </cell>
          <cell r="DV51">
            <v>1</v>
          </cell>
          <cell r="DW51" t="str">
            <v>MB</v>
          </cell>
          <cell r="DX51">
            <v>8000</v>
          </cell>
          <cell r="DY51" t="str">
            <v>M3</v>
          </cell>
          <cell r="DZ51">
            <v>1</v>
          </cell>
          <cell r="EA51" t="str">
            <v>MB</v>
          </cell>
          <cell r="EB51">
            <v>1</v>
          </cell>
          <cell r="ED51" t="str">
            <v>F7</v>
          </cell>
          <cell r="EE51">
            <v>1</v>
          </cell>
          <cell r="EF51" t="str">
            <v>F9</v>
          </cell>
          <cell r="EG51">
            <v>1</v>
          </cell>
          <cell r="EH51" t="str">
            <v>MB</v>
          </cell>
          <cell r="EI51">
            <v>4000</v>
          </cell>
          <cell r="EJ51" t="str">
            <v>M3</v>
          </cell>
          <cell r="EK51">
            <v>1</v>
          </cell>
          <cell r="EL51" t="str">
            <v>MB</v>
          </cell>
          <cell r="EM51">
            <v>1</v>
          </cell>
          <cell r="EO51" t="str">
            <v>F7</v>
          </cell>
          <cell r="EP51">
            <v>1</v>
          </cell>
          <cell r="EQ51" t="str">
            <v>F9</v>
          </cell>
          <cell r="ER51">
            <v>1</v>
          </cell>
          <cell r="ES51" t="str">
            <v>MB</v>
          </cell>
          <cell r="ET51">
            <v>1</v>
          </cell>
          <cell r="EU51" t="str">
            <v>M3</v>
          </cell>
          <cell r="EV51">
            <v>1</v>
          </cell>
          <cell r="EW51" t="str">
            <v>MB</v>
          </cell>
          <cell r="EX51">
            <v>1</v>
          </cell>
          <cell r="EZ51" t="str">
            <v>F7</v>
          </cell>
          <cell r="FA51">
            <v>1</v>
          </cell>
          <cell r="FB51" t="str">
            <v>F9</v>
          </cell>
          <cell r="FC51">
            <v>1</v>
          </cell>
          <cell r="FD51" t="str">
            <v>MB</v>
          </cell>
          <cell r="FE51">
            <v>1</v>
          </cell>
          <cell r="FF51" t="str">
            <v>M3</v>
          </cell>
          <cell r="FG51">
            <v>1</v>
          </cell>
          <cell r="FH51" t="str">
            <v>MB</v>
          </cell>
          <cell r="FI51">
            <v>1</v>
          </cell>
          <cell r="FK51" t="str">
            <v>F7</v>
          </cell>
          <cell r="FL51">
            <v>1</v>
          </cell>
          <cell r="FM51" t="str">
            <v>F9</v>
          </cell>
          <cell r="FN51">
            <v>1</v>
          </cell>
          <cell r="FO51" t="str">
            <v>MB</v>
          </cell>
          <cell r="FP51">
            <v>1</v>
          </cell>
          <cell r="FQ51" t="str">
            <v>M3</v>
          </cell>
          <cell r="FR51">
            <v>1</v>
          </cell>
          <cell r="FS51" t="str">
            <v>MB</v>
          </cell>
          <cell r="FT51">
            <v>1</v>
          </cell>
        </row>
        <row r="52">
          <cell r="B52" t="str">
            <v>MB</v>
          </cell>
          <cell r="C52">
            <v>1</v>
          </cell>
          <cell r="D52" t="str">
            <v>MB</v>
          </cell>
          <cell r="E52">
            <v>1</v>
          </cell>
          <cell r="F52" t="str">
            <v>MB</v>
          </cell>
          <cell r="G52">
            <v>1</v>
          </cell>
          <cell r="H52" t="str">
            <v>MB</v>
          </cell>
          <cell r="I52">
            <v>1</v>
          </cell>
          <cell r="J52" t="str">
            <v>F6</v>
          </cell>
          <cell r="K52">
            <v>1</v>
          </cell>
          <cell r="M52" t="str">
            <v>MB</v>
          </cell>
          <cell r="N52">
            <v>1</v>
          </cell>
          <cell r="O52" t="str">
            <v>MB</v>
          </cell>
          <cell r="P52">
            <v>1</v>
          </cell>
          <cell r="Q52" t="str">
            <v>MB</v>
          </cell>
          <cell r="R52">
            <v>1</v>
          </cell>
          <cell r="S52" t="str">
            <v>MB</v>
          </cell>
          <cell r="T52">
            <v>1</v>
          </cell>
          <cell r="U52" t="str">
            <v>F6</v>
          </cell>
          <cell r="V52">
            <v>2000</v>
          </cell>
          <cell r="X52" t="str">
            <v>MB</v>
          </cell>
          <cell r="Y52">
            <v>1</v>
          </cell>
          <cell r="Z52" t="str">
            <v>MB</v>
          </cell>
          <cell r="AA52">
            <v>1</v>
          </cell>
          <cell r="AB52" t="str">
            <v>MB</v>
          </cell>
          <cell r="AC52">
            <v>1</v>
          </cell>
          <cell r="AD52" t="str">
            <v>MB</v>
          </cell>
          <cell r="AE52">
            <v>1</v>
          </cell>
          <cell r="AF52" t="str">
            <v>F6</v>
          </cell>
          <cell r="AG52">
            <v>1</v>
          </cell>
          <cell r="AI52" t="str">
            <v>MB</v>
          </cell>
          <cell r="AJ52">
            <v>1</v>
          </cell>
          <cell r="AK52" t="str">
            <v>MB</v>
          </cell>
          <cell r="AL52">
            <v>1</v>
          </cell>
          <cell r="AM52" t="str">
            <v>MB</v>
          </cell>
          <cell r="AN52">
            <v>1</v>
          </cell>
          <cell r="AO52" t="str">
            <v>MB</v>
          </cell>
          <cell r="AP52">
            <v>1</v>
          </cell>
          <cell r="AQ52" t="str">
            <v>F6</v>
          </cell>
          <cell r="AR52">
            <v>1</v>
          </cell>
          <cell r="AT52" t="str">
            <v>MB</v>
          </cell>
          <cell r="AU52">
            <v>1</v>
          </cell>
          <cell r="AV52" t="str">
            <v>MB</v>
          </cell>
          <cell r="AW52">
            <v>1</v>
          </cell>
          <cell r="AX52" t="str">
            <v>MB</v>
          </cell>
          <cell r="AY52">
            <v>1</v>
          </cell>
          <cell r="AZ52" t="str">
            <v>MB</v>
          </cell>
          <cell r="BA52">
            <v>1</v>
          </cell>
          <cell r="BB52" t="str">
            <v>F6</v>
          </cell>
          <cell r="BC52">
            <v>5000</v>
          </cell>
          <cell r="BE52" t="str">
            <v>MB</v>
          </cell>
          <cell r="BF52">
            <v>1</v>
          </cell>
          <cell r="BG52" t="str">
            <v>MB</v>
          </cell>
          <cell r="BH52">
            <v>1</v>
          </cell>
          <cell r="BI52" t="str">
            <v>MB</v>
          </cell>
          <cell r="BJ52">
            <v>4000</v>
          </cell>
          <cell r="BK52" t="str">
            <v>MB</v>
          </cell>
          <cell r="BL52">
            <v>1</v>
          </cell>
          <cell r="BM52" t="str">
            <v>F6</v>
          </cell>
          <cell r="BN52">
            <v>4000</v>
          </cell>
          <cell r="BP52" t="str">
            <v>MB</v>
          </cell>
          <cell r="BQ52">
            <v>4000</v>
          </cell>
          <cell r="BR52" t="str">
            <v>MB</v>
          </cell>
          <cell r="BS52">
            <v>1</v>
          </cell>
          <cell r="BT52" t="str">
            <v>MB</v>
          </cell>
          <cell r="BU52">
            <v>1</v>
          </cell>
          <cell r="BV52" t="str">
            <v>MB</v>
          </cell>
          <cell r="BW52">
            <v>1</v>
          </cell>
          <cell r="BX52" t="str">
            <v>F6</v>
          </cell>
          <cell r="BY52">
            <v>4000</v>
          </cell>
          <cell r="CA52" t="str">
            <v>MB</v>
          </cell>
          <cell r="CB52">
            <v>1</v>
          </cell>
          <cell r="CC52" t="str">
            <v>MB</v>
          </cell>
          <cell r="CD52">
            <v>1</v>
          </cell>
          <cell r="CE52" t="str">
            <v>MB</v>
          </cell>
          <cell r="CF52">
            <v>1</v>
          </cell>
          <cell r="CG52" t="str">
            <v>MB</v>
          </cell>
          <cell r="CH52">
            <v>1</v>
          </cell>
          <cell r="CI52" t="str">
            <v>F6</v>
          </cell>
          <cell r="CJ52">
            <v>1</v>
          </cell>
          <cell r="CL52" t="str">
            <v>MB</v>
          </cell>
          <cell r="CM52">
            <v>1</v>
          </cell>
          <cell r="CN52" t="str">
            <v>MB</v>
          </cell>
          <cell r="CO52">
            <v>4000</v>
          </cell>
          <cell r="CP52" t="str">
            <v>MB</v>
          </cell>
          <cell r="CQ52">
            <v>1</v>
          </cell>
          <cell r="CR52" t="str">
            <v>MB</v>
          </cell>
          <cell r="CS52">
            <v>1</v>
          </cell>
          <cell r="CT52" t="str">
            <v>F6</v>
          </cell>
          <cell r="CU52">
            <v>4000</v>
          </cell>
          <cell r="CW52" t="str">
            <v>MB</v>
          </cell>
          <cell r="CX52">
            <v>1</v>
          </cell>
          <cell r="CY52" t="str">
            <v>MB</v>
          </cell>
          <cell r="CZ52">
            <v>1</v>
          </cell>
          <cell r="DA52" t="str">
            <v>MB</v>
          </cell>
          <cell r="DB52">
            <v>8000</v>
          </cell>
          <cell r="DC52" t="str">
            <v>MB</v>
          </cell>
          <cell r="DD52">
            <v>1</v>
          </cell>
          <cell r="DE52" t="str">
            <v>F6</v>
          </cell>
          <cell r="DF52">
            <v>1</v>
          </cell>
          <cell r="DH52" t="str">
            <v>MB</v>
          </cell>
          <cell r="DI52">
            <v>2000</v>
          </cell>
          <cell r="DJ52" t="str">
            <v>MB</v>
          </cell>
          <cell r="DK52">
            <v>1</v>
          </cell>
          <cell r="DL52" t="str">
            <v>MB</v>
          </cell>
          <cell r="DM52">
            <v>2000</v>
          </cell>
          <cell r="DN52" t="str">
            <v>MB</v>
          </cell>
          <cell r="DO52">
            <v>1</v>
          </cell>
          <cell r="DP52" t="str">
            <v>F6</v>
          </cell>
          <cell r="DQ52">
            <v>1</v>
          </cell>
          <cell r="DS52" t="str">
            <v>MB</v>
          </cell>
          <cell r="DT52">
            <v>1</v>
          </cell>
          <cell r="DU52" t="str">
            <v>MB</v>
          </cell>
          <cell r="DV52">
            <v>8000</v>
          </cell>
          <cell r="DW52" t="str">
            <v>MB</v>
          </cell>
          <cell r="DX52">
            <v>8000</v>
          </cell>
          <cell r="DY52" t="str">
            <v>MB</v>
          </cell>
          <cell r="DZ52">
            <v>1</v>
          </cell>
          <cell r="EA52" t="str">
            <v>F6</v>
          </cell>
          <cell r="EB52">
            <v>1</v>
          </cell>
          <cell r="ED52" t="str">
            <v>MB</v>
          </cell>
          <cell r="EE52">
            <v>1</v>
          </cell>
          <cell r="EF52" t="str">
            <v>MB</v>
          </cell>
          <cell r="EG52">
            <v>1</v>
          </cell>
          <cell r="EH52" t="str">
            <v>MB</v>
          </cell>
          <cell r="EI52">
            <v>4000</v>
          </cell>
          <cell r="EJ52" t="str">
            <v>MB</v>
          </cell>
          <cell r="EK52">
            <v>1</v>
          </cell>
          <cell r="EL52" t="str">
            <v>F6</v>
          </cell>
          <cell r="EM52">
            <v>1</v>
          </cell>
          <cell r="EO52" t="str">
            <v>MB</v>
          </cell>
          <cell r="EP52">
            <v>1</v>
          </cell>
          <cell r="EQ52" t="str">
            <v>MB</v>
          </cell>
          <cell r="ER52">
            <v>4000</v>
          </cell>
          <cell r="ES52" t="str">
            <v>MB</v>
          </cell>
          <cell r="ET52">
            <v>1</v>
          </cell>
          <cell r="EU52" t="str">
            <v>MB</v>
          </cell>
          <cell r="EV52">
            <v>1</v>
          </cell>
          <cell r="EW52" t="str">
            <v>F6</v>
          </cell>
          <cell r="EX52">
            <v>1</v>
          </cell>
          <cell r="EZ52" t="str">
            <v>MB</v>
          </cell>
          <cell r="FA52">
            <v>10000</v>
          </cell>
          <cell r="FB52" t="str">
            <v>MB</v>
          </cell>
          <cell r="FC52">
            <v>1</v>
          </cell>
          <cell r="FD52" t="str">
            <v>MB</v>
          </cell>
          <cell r="FE52">
            <v>1</v>
          </cell>
          <cell r="FF52" t="str">
            <v>MB</v>
          </cell>
          <cell r="FG52">
            <v>1</v>
          </cell>
          <cell r="FH52" t="str">
            <v>F6</v>
          </cell>
          <cell r="FI52">
            <v>1</v>
          </cell>
          <cell r="FK52" t="str">
            <v>MB</v>
          </cell>
          <cell r="FL52">
            <v>1</v>
          </cell>
          <cell r="FM52" t="str">
            <v>MB</v>
          </cell>
          <cell r="FN52">
            <v>1</v>
          </cell>
          <cell r="FO52" t="str">
            <v>MB</v>
          </cell>
          <cell r="FP52">
            <v>1</v>
          </cell>
          <cell r="FQ52" t="str">
            <v>MB</v>
          </cell>
          <cell r="FR52">
            <v>1</v>
          </cell>
          <cell r="FS52" t="str">
            <v>F6</v>
          </cell>
          <cell r="FT52">
            <v>1</v>
          </cell>
        </row>
        <row r="53">
          <cell r="B53" t="str">
            <v>MB</v>
          </cell>
          <cell r="C53">
            <v>1</v>
          </cell>
          <cell r="D53" t="str">
            <v>MB</v>
          </cell>
          <cell r="E53">
            <v>1</v>
          </cell>
          <cell r="F53" t="str">
            <v>F8</v>
          </cell>
          <cell r="G53">
            <v>1</v>
          </cell>
          <cell r="H53" t="str">
            <v>MB</v>
          </cell>
          <cell r="I53">
            <v>1</v>
          </cell>
          <cell r="J53" t="str">
            <v>M2</v>
          </cell>
          <cell r="K53">
            <v>20</v>
          </cell>
          <cell r="M53" t="str">
            <v>MB</v>
          </cell>
          <cell r="N53">
            <v>1</v>
          </cell>
          <cell r="O53" t="str">
            <v>MB</v>
          </cell>
          <cell r="P53">
            <v>1</v>
          </cell>
          <cell r="Q53" t="str">
            <v>F8</v>
          </cell>
          <cell r="R53">
            <v>1</v>
          </cell>
          <cell r="S53" t="str">
            <v>MB</v>
          </cell>
          <cell r="T53">
            <v>1</v>
          </cell>
          <cell r="U53" t="str">
            <v>M2</v>
          </cell>
          <cell r="V53">
            <v>20</v>
          </cell>
          <cell r="X53" t="str">
            <v>MB</v>
          </cell>
          <cell r="Y53">
            <v>1</v>
          </cell>
          <cell r="Z53" t="str">
            <v>MB</v>
          </cell>
          <cell r="AA53">
            <v>1</v>
          </cell>
          <cell r="AB53" t="str">
            <v>F8</v>
          </cell>
          <cell r="AC53">
            <v>1</v>
          </cell>
          <cell r="AD53" t="str">
            <v>MB</v>
          </cell>
          <cell r="AE53">
            <v>1</v>
          </cell>
          <cell r="AF53" t="str">
            <v>M2</v>
          </cell>
          <cell r="AG53">
            <v>20</v>
          </cell>
          <cell r="AI53" t="str">
            <v>MB</v>
          </cell>
          <cell r="AJ53">
            <v>1</v>
          </cell>
          <cell r="AK53" t="str">
            <v>MB</v>
          </cell>
          <cell r="AL53">
            <v>1</v>
          </cell>
          <cell r="AM53" t="str">
            <v>F8</v>
          </cell>
          <cell r="AN53">
            <v>1</v>
          </cell>
          <cell r="AO53" t="str">
            <v>MB</v>
          </cell>
          <cell r="AP53">
            <v>1</v>
          </cell>
          <cell r="AQ53" t="str">
            <v>M2</v>
          </cell>
          <cell r="AR53">
            <v>20</v>
          </cell>
          <cell r="AT53" t="str">
            <v>MB</v>
          </cell>
          <cell r="AU53">
            <v>1</v>
          </cell>
          <cell r="AV53" t="str">
            <v>MB</v>
          </cell>
          <cell r="AW53">
            <v>1</v>
          </cell>
          <cell r="AX53" t="str">
            <v>F8</v>
          </cell>
          <cell r="AY53">
            <v>1</v>
          </cell>
          <cell r="AZ53" t="str">
            <v>MB</v>
          </cell>
          <cell r="BA53">
            <v>1</v>
          </cell>
          <cell r="BB53" t="str">
            <v>M2</v>
          </cell>
          <cell r="BC53">
            <v>20</v>
          </cell>
          <cell r="BE53" t="str">
            <v>MB</v>
          </cell>
          <cell r="BF53">
            <v>1</v>
          </cell>
          <cell r="BG53" t="str">
            <v>MB</v>
          </cell>
          <cell r="BH53">
            <v>1</v>
          </cell>
          <cell r="BI53" t="str">
            <v>F8</v>
          </cell>
          <cell r="BJ53">
            <v>1</v>
          </cell>
          <cell r="BK53" t="str">
            <v>MB</v>
          </cell>
          <cell r="BL53">
            <v>1</v>
          </cell>
          <cell r="BM53" t="str">
            <v>M2</v>
          </cell>
          <cell r="BN53">
            <v>20</v>
          </cell>
          <cell r="BP53" t="str">
            <v>MB</v>
          </cell>
          <cell r="BQ53">
            <v>4000</v>
          </cell>
          <cell r="BR53" t="str">
            <v>MB</v>
          </cell>
          <cell r="BS53">
            <v>1</v>
          </cell>
          <cell r="BT53" t="str">
            <v>F8</v>
          </cell>
          <cell r="BU53">
            <v>1</v>
          </cell>
          <cell r="BV53" t="str">
            <v>MB</v>
          </cell>
          <cell r="BW53">
            <v>4000</v>
          </cell>
          <cell r="BX53" t="str">
            <v>M2</v>
          </cell>
          <cell r="BY53">
            <v>20</v>
          </cell>
          <cell r="CA53" t="str">
            <v>MB</v>
          </cell>
          <cell r="CB53">
            <v>1</v>
          </cell>
          <cell r="CC53" t="str">
            <v>MB</v>
          </cell>
          <cell r="CD53">
            <v>1</v>
          </cell>
          <cell r="CE53" t="str">
            <v>F8</v>
          </cell>
          <cell r="CF53">
            <v>1</v>
          </cell>
          <cell r="CG53" t="str">
            <v>MB</v>
          </cell>
          <cell r="CH53">
            <v>1</v>
          </cell>
          <cell r="CI53" t="str">
            <v>M2</v>
          </cell>
          <cell r="CJ53">
            <v>20</v>
          </cell>
          <cell r="CL53" t="str">
            <v>MB</v>
          </cell>
          <cell r="CM53">
            <v>1</v>
          </cell>
          <cell r="CN53" t="str">
            <v>MB</v>
          </cell>
          <cell r="CO53">
            <v>4000</v>
          </cell>
          <cell r="CP53" t="str">
            <v>F8</v>
          </cell>
          <cell r="CQ53">
            <v>1</v>
          </cell>
          <cell r="CR53" t="str">
            <v>MB</v>
          </cell>
          <cell r="CS53">
            <v>4000</v>
          </cell>
          <cell r="CT53" t="str">
            <v>M2</v>
          </cell>
          <cell r="CU53">
            <v>20</v>
          </cell>
          <cell r="CW53" t="str">
            <v>MB</v>
          </cell>
          <cell r="CX53">
            <v>1</v>
          </cell>
          <cell r="CY53" t="str">
            <v>MB</v>
          </cell>
          <cell r="CZ53">
            <v>1</v>
          </cell>
          <cell r="DA53" t="str">
            <v>F8</v>
          </cell>
          <cell r="DB53">
            <v>1</v>
          </cell>
          <cell r="DC53" t="str">
            <v>MB</v>
          </cell>
          <cell r="DD53">
            <v>8000</v>
          </cell>
          <cell r="DE53" t="str">
            <v>M2</v>
          </cell>
          <cell r="DF53">
            <v>20</v>
          </cell>
          <cell r="DH53" t="str">
            <v>MB</v>
          </cell>
          <cell r="DI53">
            <v>2000</v>
          </cell>
          <cell r="DJ53" t="str">
            <v>MB</v>
          </cell>
          <cell r="DK53">
            <v>1</v>
          </cell>
          <cell r="DL53" t="str">
            <v>F8</v>
          </cell>
          <cell r="DM53">
            <v>1</v>
          </cell>
          <cell r="DN53" t="str">
            <v>MB</v>
          </cell>
          <cell r="DO53">
            <v>2000</v>
          </cell>
          <cell r="DP53" t="str">
            <v>M2</v>
          </cell>
          <cell r="DQ53">
            <v>20</v>
          </cell>
          <cell r="DS53" t="str">
            <v>MB</v>
          </cell>
          <cell r="DT53">
            <v>1</v>
          </cell>
          <cell r="DU53" t="str">
            <v>MB</v>
          </cell>
          <cell r="DV53">
            <v>8000</v>
          </cell>
          <cell r="DW53" t="str">
            <v>F8</v>
          </cell>
          <cell r="DX53">
            <v>1</v>
          </cell>
          <cell r="DY53" t="str">
            <v>MB</v>
          </cell>
          <cell r="DZ53">
            <v>8000</v>
          </cell>
          <cell r="EA53" t="str">
            <v>M2</v>
          </cell>
          <cell r="EB53">
            <v>20</v>
          </cell>
          <cell r="ED53" t="str">
            <v>MB</v>
          </cell>
          <cell r="EE53">
            <v>1</v>
          </cell>
          <cell r="EF53" t="str">
            <v>MB</v>
          </cell>
          <cell r="EG53">
            <v>1</v>
          </cell>
          <cell r="EH53" t="str">
            <v>F8</v>
          </cell>
          <cell r="EI53">
            <v>1</v>
          </cell>
          <cell r="EJ53" t="str">
            <v>MB</v>
          </cell>
          <cell r="EK53">
            <v>4000</v>
          </cell>
          <cell r="EL53" t="str">
            <v>M2</v>
          </cell>
          <cell r="EM53">
            <v>20</v>
          </cell>
          <cell r="EO53" t="str">
            <v>MB</v>
          </cell>
          <cell r="EP53">
            <v>1</v>
          </cell>
          <cell r="EQ53" t="str">
            <v>MB</v>
          </cell>
          <cell r="ER53">
            <v>4000</v>
          </cell>
          <cell r="ES53" t="str">
            <v>F8</v>
          </cell>
          <cell r="ET53">
            <v>1</v>
          </cell>
          <cell r="EU53" t="str">
            <v>MB</v>
          </cell>
          <cell r="EV53">
            <v>1</v>
          </cell>
          <cell r="EW53" t="str">
            <v>M2</v>
          </cell>
          <cell r="EX53">
            <v>20</v>
          </cell>
          <cell r="EZ53" t="str">
            <v>MB</v>
          </cell>
          <cell r="FA53">
            <v>10000</v>
          </cell>
          <cell r="FB53" t="str">
            <v>MB</v>
          </cell>
          <cell r="FC53">
            <v>1</v>
          </cell>
          <cell r="FD53" t="str">
            <v>F8</v>
          </cell>
          <cell r="FE53">
            <v>1</v>
          </cell>
          <cell r="FF53" t="str">
            <v>MB</v>
          </cell>
          <cell r="FG53">
            <v>10000</v>
          </cell>
          <cell r="FH53" t="str">
            <v>M2</v>
          </cell>
          <cell r="FI53">
            <v>20</v>
          </cell>
          <cell r="FK53" t="str">
            <v>MB</v>
          </cell>
          <cell r="FL53">
            <v>1</v>
          </cell>
          <cell r="FM53" t="str">
            <v>MB</v>
          </cell>
          <cell r="FN53">
            <v>1</v>
          </cell>
          <cell r="FO53" t="str">
            <v>F8</v>
          </cell>
          <cell r="FP53">
            <v>1</v>
          </cell>
          <cell r="FQ53" t="str">
            <v>MB</v>
          </cell>
          <cell r="FR53">
            <v>100000000</v>
          </cell>
          <cell r="FS53" t="str">
            <v>M2</v>
          </cell>
          <cell r="FT53">
            <v>20</v>
          </cell>
        </row>
        <row r="54">
          <cell r="B54" t="str">
            <v>F9</v>
          </cell>
          <cell r="C54">
            <v>1</v>
          </cell>
          <cell r="D54" t="str">
            <v>F5</v>
          </cell>
          <cell r="E54">
            <v>1</v>
          </cell>
          <cell r="F54" t="str">
            <v>M3</v>
          </cell>
          <cell r="G54">
            <v>20</v>
          </cell>
          <cell r="H54" t="str">
            <v>MB</v>
          </cell>
          <cell r="I54">
            <v>1</v>
          </cell>
          <cell r="J54" t="str">
            <v>F8</v>
          </cell>
          <cell r="K54">
            <v>20</v>
          </cell>
          <cell r="M54" t="str">
            <v>F9</v>
          </cell>
          <cell r="N54">
            <v>1</v>
          </cell>
          <cell r="O54" t="str">
            <v>F5</v>
          </cell>
          <cell r="P54">
            <v>1</v>
          </cell>
          <cell r="Q54" t="str">
            <v>M3</v>
          </cell>
          <cell r="R54">
            <v>20</v>
          </cell>
          <cell r="S54" t="str">
            <v>MB</v>
          </cell>
          <cell r="T54">
            <v>1</v>
          </cell>
          <cell r="U54" t="str">
            <v>F8</v>
          </cell>
          <cell r="V54">
            <v>20</v>
          </cell>
          <cell r="X54" t="str">
            <v>F9</v>
          </cell>
          <cell r="Y54">
            <v>1</v>
          </cell>
          <cell r="Z54" t="str">
            <v>F5</v>
          </cell>
          <cell r="AA54">
            <v>1</v>
          </cell>
          <cell r="AB54" t="str">
            <v>M3</v>
          </cell>
          <cell r="AC54">
            <v>20</v>
          </cell>
          <cell r="AD54" t="str">
            <v>MB</v>
          </cell>
          <cell r="AE54">
            <v>1</v>
          </cell>
          <cell r="AF54" t="str">
            <v>F8</v>
          </cell>
          <cell r="AG54">
            <v>20</v>
          </cell>
          <cell r="AI54" t="str">
            <v>F9</v>
          </cell>
          <cell r="AJ54">
            <v>1</v>
          </cell>
          <cell r="AK54" t="str">
            <v>F5</v>
          </cell>
          <cell r="AL54">
            <v>1</v>
          </cell>
          <cell r="AM54" t="str">
            <v>M3</v>
          </cell>
          <cell r="AN54">
            <v>20</v>
          </cell>
          <cell r="AO54" t="str">
            <v>MB</v>
          </cell>
          <cell r="AP54">
            <v>1</v>
          </cell>
          <cell r="AQ54" t="str">
            <v>F8</v>
          </cell>
          <cell r="AR54">
            <v>20</v>
          </cell>
          <cell r="AT54" t="str">
            <v>F9</v>
          </cell>
          <cell r="AU54">
            <v>1</v>
          </cell>
          <cell r="AV54" t="str">
            <v>F5</v>
          </cell>
          <cell r="AW54">
            <v>1</v>
          </cell>
          <cell r="AX54" t="str">
            <v>M3</v>
          </cell>
          <cell r="AY54">
            <v>20</v>
          </cell>
          <cell r="AZ54" t="str">
            <v>MB</v>
          </cell>
          <cell r="BA54">
            <v>1</v>
          </cell>
          <cell r="BB54" t="str">
            <v>F8</v>
          </cell>
          <cell r="BC54">
            <v>20</v>
          </cell>
          <cell r="BE54" t="str">
            <v>F9</v>
          </cell>
          <cell r="BF54">
            <v>1</v>
          </cell>
          <cell r="BG54" t="str">
            <v>F5</v>
          </cell>
          <cell r="BH54">
            <v>1</v>
          </cell>
          <cell r="BI54" t="str">
            <v>M3</v>
          </cell>
          <cell r="BJ54">
            <v>20</v>
          </cell>
          <cell r="BK54" t="str">
            <v>MB</v>
          </cell>
          <cell r="BL54">
            <v>1</v>
          </cell>
          <cell r="BM54" t="str">
            <v>F8</v>
          </cell>
          <cell r="BN54">
            <v>20</v>
          </cell>
          <cell r="BP54" t="str">
            <v>F9</v>
          </cell>
          <cell r="BQ54">
            <v>1</v>
          </cell>
          <cell r="BR54" t="str">
            <v>F5</v>
          </cell>
          <cell r="BS54">
            <v>1</v>
          </cell>
          <cell r="BT54" t="str">
            <v>M3</v>
          </cell>
          <cell r="BU54">
            <v>20</v>
          </cell>
          <cell r="BV54" t="str">
            <v>MB</v>
          </cell>
          <cell r="BW54">
            <v>1</v>
          </cell>
          <cell r="BX54" t="str">
            <v>F8</v>
          </cell>
          <cell r="BY54">
            <v>20</v>
          </cell>
          <cell r="CA54" t="str">
            <v>F9</v>
          </cell>
          <cell r="CB54">
            <v>1</v>
          </cell>
          <cell r="CC54" t="str">
            <v>F5</v>
          </cell>
          <cell r="CD54">
            <v>1</v>
          </cell>
          <cell r="CE54" t="str">
            <v>M3</v>
          </cell>
          <cell r="CF54">
            <v>20</v>
          </cell>
          <cell r="CG54" t="str">
            <v>MB</v>
          </cell>
          <cell r="CH54">
            <v>1</v>
          </cell>
          <cell r="CI54" t="str">
            <v>F8</v>
          </cell>
          <cell r="CJ54">
            <v>20</v>
          </cell>
          <cell r="CL54" t="str">
            <v>F9</v>
          </cell>
          <cell r="CM54">
            <v>1</v>
          </cell>
          <cell r="CN54" t="str">
            <v>F5</v>
          </cell>
          <cell r="CO54">
            <v>1</v>
          </cell>
          <cell r="CP54" t="str">
            <v>M3</v>
          </cell>
          <cell r="CQ54">
            <v>20</v>
          </cell>
          <cell r="CR54" t="str">
            <v>MB</v>
          </cell>
          <cell r="CS54">
            <v>1</v>
          </cell>
          <cell r="CT54" t="str">
            <v>F8</v>
          </cell>
          <cell r="CU54">
            <v>20</v>
          </cell>
          <cell r="CW54" t="str">
            <v>F9</v>
          </cell>
          <cell r="CX54">
            <v>1</v>
          </cell>
          <cell r="CY54" t="str">
            <v>F5</v>
          </cell>
          <cell r="CZ54">
            <v>1</v>
          </cell>
          <cell r="DA54" t="str">
            <v>M3</v>
          </cell>
          <cell r="DB54">
            <v>20</v>
          </cell>
          <cell r="DC54" t="str">
            <v>MB</v>
          </cell>
          <cell r="DD54">
            <v>1</v>
          </cell>
          <cell r="DE54" t="str">
            <v>F8</v>
          </cell>
          <cell r="DF54">
            <v>20</v>
          </cell>
          <cell r="DH54" t="str">
            <v>F9</v>
          </cell>
          <cell r="DI54">
            <v>1</v>
          </cell>
          <cell r="DJ54" t="str">
            <v>F5</v>
          </cell>
          <cell r="DK54">
            <v>1</v>
          </cell>
          <cell r="DL54" t="str">
            <v>M3</v>
          </cell>
          <cell r="DM54">
            <v>20</v>
          </cell>
          <cell r="DN54" t="str">
            <v>MB</v>
          </cell>
          <cell r="DO54">
            <v>1</v>
          </cell>
          <cell r="DP54" t="str">
            <v>F8</v>
          </cell>
          <cell r="DQ54">
            <v>20</v>
          </cell>
          <cell r="DS54" t="str">
            <v>F9</v>
          </cell>
          <cell r="DT54">
            <v>1</v>
          </cell>
          <cell r="DU54" t="str">
            <v>F5</v>
          </cell>
          <cell r="DV54">
            <v>1</v>
          </cell>
          <cell r="DW54" t="str">
            <v>M3</v>
          </cell>
          <cell r="DX54">
            <v>20</v>
          </cell>
          <cell r="DY54" t="str">
            <v>MB</v>
          </cell>
          <cell r="DZ54">
            <v>1</v>
          </cell>
          <cell r="EA54" t="str">
            <v>F8</v>
          </cell>
          <cell r="EB54">
            <v>20</v>
          </cell>
          <cell r="ED54" t="str">
            <v>F9</v>
          </cell>
          <cell r="EE54">
            <v>1</v>
          </cell>
          <cell r="EF54" t="str">
            <v>F5</v>
          </cell>
          <cell r="EG54">
            <v>1</v>
          </cell>
          <cell r="EH54" t="str">
            <v>M3</v>
          </cell>
          <cell r="EI54">
            <v>20</v>
          </cell>
          <cell r="EJ54" t="str">
            <v>MB</v>
          </cell>
          <cell r="EK54">
            <v>1</v>
          </cell>
          <cell r="EL54" t="str">
            <v>F8</v>
          </cell>
          <cell r="EM54">
            <v>20</v>
          </cell>
          <cell r="EO54" t="str">
            <v>F9</v>
          </cell>
          <cell r="EP54">
            <v>1</v>
          </cell>
          <cell r="EQ54" t="str">
            <v>F5</v>
          </cell>
          <cell r="ER54">
            <v>1</v>
          </cell>
          <cell r="ES54" t="str">
            <v>M3</v>
          </cell>
          <cell r="ET54">
            <v>20</v>
          </cell>
          <cell r="EU54" t="str">
            <v>MB</v>
          </cell>
          <cell r="EV54">
            <v>1</v>
          </cell>
          <cell r="EW54" t="str">
            <v>F8</v>
          </cell>
          <cell r="EX54">
            <v>20</v>
          </cell>
          <cell r="EZ54" t="str">
            <v>F9</v>
          </cell>
          <cell r="FA54">
            <v>1</v>
          </cell>
          <cell r="FB54" t="str">
            <v>F5</v>
          </cell>
          <cell r="FC54">
            <v>1</v>
          </cell>
          <cell r="FD54" t="str">
            <v>M3</v>
          </cell>
          <cell r="FE54">
            <v>20</v>
          </cell>
          <cell r="FF54" t="str">
            <v>MB</v>
          </cell>
          <cell r="FG54">
            <v>1</v>
          </cell>
          <cell r="FH54" t="str">
            <v>F8</v>
          </cell>
          <cell r="FI54">
            <v>20</v>
          </cell>
          <cell r="FK54" t="str">
            <v>F9</v>
          </cell>
          <cell r="FL54">
            <v>1</v>
          </cell>
          <cell r="FM54" t="str">
            <v>F5</v>
          </cell>
          <cell r="FN54">
            <v>1</v>
          </cell>
          <cell r="FO54" t="str">
            <v>M3</v>
          </cell>
          <cell r="FP54">
            <v>20</v>
          </cell>
          <cell r="FQ54" t="str">
            <v>MB</v>
          </cell>
          <cell r="FR54">
            <v>1</v>
          </cell>
          <cell r="FS54" t="str">
            <v>F8</v>
          </cell>
          <cell r="FT54">
            <v>20</v>
          </cell>
        </row>
      </sheetData>
      <sheetData sheetId="6"/>
      <sheetData sheetId="7"/>
      <sheetData sheetId="8">
        <row r="2">
          <cell r="B2" t="str">
            <v>F9</v>
          </cell>
          <cell r="C2">
            <v>20</v>
          </cell>
          <cell r="D2" t="str">
            <v>F8</v>
          </cell>
          <cell r="E2">
            <v>20</v>
          </cell>
          <cell r="F2" t="str">
            <v>M4</v>
          </cell>
          <cell r="G2">
            <v>20</v>
          </cell>
          <cell r="H2" t="str">
            <v>M4</v>
          </cell>
          <cell r="I2">
            <v>5</v>
          </cell>
          <cell r="J2" t="str">
            <v>F8</v>
          </cell>
          <cell r="K2">
            <v>20</v>
          </cell>
        </row>
        <row r="3">
          <cell r="B3" t="str">
            <v>F8</v>
          </cell>
          <cell r="C3">
            <v>20</v>
          </cell>
          <cell r="D3" t="str">
            <v>F8</v>
          </cell>
          <cell r="E3">
            <v>20</v>
          </cell>
          <cell r="F3" t="str">
            <v>M4</v>
          </cell>
          <cell r="G3">
            <v>20</v>
          </cell>
          <cell r="H3" t="str">
            <v>F7</v>
          </cell>
          <cell r="I3">
            <v>20</v>
          </cell>
          <cell r="J3" t="str">
            <v>F5</v>
          </cell>
          <cell r="K3">
            <v>20</v>
          </cell>
        </row>
        <row r="4">
          <cell r="B4" t="str">
            <v>F7</v>
          </cell>
          <cell r="C4">
            <v>20</v>
          </cell>
          <cell r="D4" t="str">
            <v>F6</v>
          </cell>
          <cell r="E4">
            <v>5</v>
          </cell>
          <cell r="F4" t="str">
            <v>F5</v>
          </cell>
          <cell r="G4">
            <v>5</v>
          </cell>
          <cell r="H4" t="str">
            <v>M2</v>
          </cell>
          <cell r="I4">
            <v>20</v>
          </cell>
          <cell r="J4" t="str">
            <v>F5</v>
          </cell>
          <cell r="K4">
            <v>20</v>
          </cell>
        </row>
        <row r="5">
          <cell r="B5" t="str">
            <v>F8</v>
          </cell>
          <cell r="C5">
            <v>2</v>
          </cell>
          <cell r="D5" t="str">
            <v>MB</v>
          </cell>
          <cell r="E5">
            <v>5</v>
          </cell>
          <cell r="F5" t="str">
            <v>MB</v>
          </cell>
          <cell r="G5">
            <v>5</v>
          </cell>
          <cell r="H5" t="str">
            <v>F6</v>
          </cell>
          <cell r="I5">
            <v>5</v>
          </cell>
          <cell r="J5" t="str">
            <v>M4</v>
          </cell>
          <cell r="K5">
            <v>5</v>
          </cell>
        </row>
        <row r="6">
          <cell r="B6" t="str">
            <v>MB</v>
          </cell>
          <cell r="C6">
            <v>2</v>
          </cell>
          <cell r="D6" t="str">
            <v>F6</v>
          </cell>
          <cell r="E6">
            <v>5</v>
          </cell>
          <cell r="F6" t="str">
            <v>F5</v>
          </cell>
          <cell r="G6">
            <v>5</v>
          </cell>
          <cell r="H6" t="str">
            <v>MB</v>
          </cell>
          <cell r="I6">
            <v>5</v>
          </cell>
          <cell r="J6" t="str">
            <v>MB</v>
          </cell>
          <cell r="K6">
            <v>5</v>
          </cell>
        </row>
        <row r="7">
          <cell r="B7" t="str">
            <v>F9</v>
          </cell>
          <cell r="C7">
            <v>2</v>
          </cell>
          <cell r="D7" t="str">
            <v>F7</v>
          </cell>
          <cell r="E7">
            <v>20</v>
          </cell>
          <cell r="F7" t="str">
            <v>M2</v>
          </cell>
          <cell r="G7">
            <v>20</v>
          </cell>
          <cell r="H7" t="str">
            <v>MB</v>
          </cell>
          <cell r="I7">
            <v>5</v>
          </cell>
          <cell r="J7" t="str">
            <v>F9</v>
          </cell>
          <cell r="K7">
            <v>5</v>
          </cell>
        </row>
        <row r="8">
          <cell r="B8" t="str">
            <v>M1</v>
          </cell>
          <cell r="C8">
            <v>20</v>
          </cell>
          <cell r="D8" t="str">
            <v>M4</v>
          </cell>
          <cell r="E8">
            <v>20</v>
          </cell>
          <cell r="F8" t="str">
            <v>F7</v>
          </cell>
          <cell r="G8">
            <v>20</v>
          </cell>
          <cell r="H8" t="str">
            <v>M1</v>
          </cell>
          <cell r="I8">
            <v>5</v>
          </cell>
          <cell r="J8" t="str">
            <v>F9</v>
          </cell>
          <cell r="K8">
            <v>20</v>
          </cell>
        </row>
        <row r="9">
          <cell r="B9" t="str">
            <v>M2</v>
          </cell>
          <cell r="C9">
            <v>20</v>
          </cell>
          <cell r="D9" t="str">
            <v>F8</v>
          </cell>
          <cell r="E9">
            <v>5</v>
          </cell>
          <cell r="F9" t="str">
            <v>WW</v>
          </cell>
          <cell r="G9">
            <v>20</v>
          </cell>
          <cell r="H9" t="str">
            <v>F8</v>
          </cell>
          <cell r="I9">
            <v>5</v>
          </cell>
          <cell r="J9" t="str">
            <v>F6</v>
          </cell>
          <cell r="K9">
            <v>20</v>
          </cell>
        </row>
        <row r="10">
          <cell r="B10" t="str">
            <v>F6</v>
          </cell>
          <cell r="C10">
            <v>20</v>
          </cell>
          <cell r="D10" t="str">
            <v>BN</v>
          </cell>
          <cell r="E10">
            <v>5</v>
          </cell>
          <cell r="F10" t="str">
            <v>WW</v>
          </cell>
          <cell r="G10">
            <v>20</v>
          </cell>
          <cell r="H10" t="str">
            <v>BN</v>
          </cell>
          <cell r="I10">
            <v>5</v>
          </cell>
          <cell r="J10" t="str">
            <v>M1</v>
          </cell>
          <cell r="K10">
            <v>20</v>
          </cell>
        </row>
        <row r="11">
          <cell r="B11" t="str">
            <v>F6</v>
          </cell>
          <cell r="C11">
            <v>20</v>
          </cell>
          <cell r="D11" t="str">
            <v>F7</v>
          </cell>
          <cell r="E11">
            <v>5</v>
          </cell>
          <cell r="F11" t="str">
            <v>WW</v>
          </cell>
          <cell r="G11">
            <v>20</v>
          </cell>
          <cell r="H11" t="str">
            <v>F7</v>
          </cell>
          <cell r="I11">
            <v>5</v>
          </cell>
          <cell r="J11" t="str">
            <v>F7</v>
          </cell>
          <cell r="K11">
            <v>5</v>
          </cell>
        </row>
        <row r="12">
          <cell r="B12" t="str">
            <v>M2</v>
          </cell>
          <cell r="C12">
            <v>20</v>
          </cell>
          <cell r="D12" t="str">
            <v>F9</v>
          </cell>
          <cell r="E12">
            <v>20</v>
          </cell>
          <cell r="F12" t="str">
            <v>F8</v>
          </cell>
          <cell r="G12">
            <v>20</v>
          </cell>
          <cell r="H12" t="str">
            <v>F8</v>
          </cell>
          <cell r="I12">
            <v>20</v>
          </cell>
          <cell r="J12" t="str">
            <v>MB</v>
          </cell>
          <cell r="K12">
            <v>5</v>
          </cell>
        </row>
        <row r="13">
          <cell r="B13" t="str">
            <v>M1</v>
          </cell>
          <cell r="C13">
            <v>20</v>
          </cell>
          <cell r="D13" t="str">
            <v>WW</v>
          </cell>
          <cell r="E13">
            <v>20</v>
          </cell>
          <cell r="F13" t="str">
            <v>M2</v>
          </cell>
          <cell r="G13">
            <v>20</v>
          </cell>
          <cell r="H13" t="str">
            <v>M4</v>
          </cell>
          <cell r="I13">
            <v>20</v>
          </cell>
          <cell r="J13" t="str">
            <v>MB</v>
          </cell>
          <cell r="K13">
            <v>5</v>
          </cell>
        </row>
        <row r="14">
          <cell r="B14" t="str">
            <v>F5</v>
          </cell>
          <cell r="C14">
            <v>20</v>
          </cell>
          <cell r="D14" t="str">
            <v>WW</v>
          </cell>
          <cell r="E14">
            <v>20</v>
          </cell>
          <cell r="F14" t="str">
            <v>F7</v>
          </cell>
          <cell r="G14">
            <v>20</v>
          </cell>
          <cell r="H14" t="str">
            <v>M4</v>
          </cell>
          <cell r="I14">
            <v>5</v>
          </cell>
          <cell r="J14" t="str">
            <v>F7</v>
          </cell>
          <cell r="K14">
            <v>5</v>
          </cell>
        </row>
        <row r="15">
          <cell r="B15" t="str">
            <v>F9</v>
          </cell>
          <cell r="C15">
            <v>1</v>
          </cell>
          <cell r="D15" t="str">
            <v>WW</v>
          </cell>
          <cell r="E15">
            <v>20</v>
          </cell>
          <cell r="F15" t="str">
            <v>F6</v>
          </cell>
          <cell r="G15">
            <v>5</v>
          </cell>
          <cell r="H15" t="str">
            <v>MB</v>
          </cell>
          <cell r="I15">
            <v>5</v>
          </cell>
          <cell r="J15" t="str">
            <v>M2</v>
          </cell>
          <cell r="K15">
            <v>20</v>
          </cell>
        </row>
        <row r="16">
          <cell r="B16" t="str">
            <v>MB</v>
          </cell>
          <cell r="C16">
            <v>2</v>
          </cell>
          <cell r="D16" t="str">
            <v>F5</v>
          </cell>
          <cell r="E16">
            <v>20</v>
          </cell>
          <cell r="F16" t="str">
            <v>MB</v>
          </cell>
          <cell r="G16">
            <v>1</v>
          </cell>
          <cell r="H16" t="str">
            <v>MB</v>
          </cell>
          <cell r="I16">
            <v>5</v>
          </cell>
          <cell r="J16" t="str">
            <v>F6</v>
          </cell>
          <cell r="K16">
            <v>20</v>
          </cell>
        </row>
        <row r="17">
          <cell r="B17" t="str">
            <v>MB</v>
          </cell>
          <cell r="C17">
            <v>2</v>
          </cell>
          <cell r="D17" t="str">
            <v>F7</v>
          </cell>
          <cell r="E17">
            <v>5</v>
          </cell>
          <cell r="F17" t="str">
            <v>MB</v>
          </cell>
          <cell r="G17">
            <v>1</v>
          </cell>
          <cell r="H17" t="str">
            <v>MB</v>
          </cell>
          <cell r="I17">
            <v>5</v>
          </cell>
          <cell r="J17" t="str">
            <v>M1</v>
          </cell>
          <cell r="K17">
            <v>20</v>
          </cell>
        </row>
        <row r="18">
          <cell r="B18" t="str">
            <v>F7</v>
          </cell>
          <cell r="C18">
            <v>1</v>
          </cell>
          <cell r="D18" t="str">
            <v>MB</v>
          </cell>
          <cell r="E18">
            <v>5</v>
          </cell>
          <cell r="F18" t="str">
            <v>F9</v>
          </cell>
          <cell r="G18">
            <v>5</v>
          </cell>
          <cell r="H18" t="str">
            <v>M2</v>
          </cell>
          <cell r="I18">
            <v>5</v>
          </cell>
          <cell r="J18" t="str">
            <v>F7</v>
          </cell>
          <cell r="K18">
            <v>20</v>
          </cell>
        </row>
        <row r="19">
          <cell r="B19" t="str">
            <v>F8</v>
          </cell>
          <cell r="C19">
            <v>20</v>
          </cell>
          <cell r="D19" t="str">
            <v>F8</v>
          </cell>
          <cell r="E19">
            <v>5</v>
          </cell>
          <cell r="F19" t="str">
            <v>F6</v>
          </cell>
          <cell r="G19">
            <v>20</v>
          </cell>
          <cell r="H19" t="str">
            <v>F8</v>
          </cell>
          <cell r="I19">
            <v>20</v>
          </cell>
          <cell r="J19" t="str">
            <v>M4</v>
          </cell>
          <cell r="K19">
            <v>20</v>
          </cell>
        </row>
        <row r="20">
          <cell r="B20" t="str">
            <v>F8</v>
          </cell>
          <cell r="C20">
            <v>20</v>
          </cell>
          <cell r="D20" t="str">
            <v>F5</v>
          </cell>
          <cell r="E20">
            <v>20</v>
          </cell>
          <cell r="F20" t="str">
            <v>F5</v>
          </cell>
          <cell r="G20">
            <v>20</v>
          </cell>
          <cell r="H20" t="str">
            <v>M1</v>
          </cell>
          <cell r="I20">
            <v>20</v>
          </cell>
          <cell r="J20" t="str">
            <v>F8</v>
          </cell>
          <cell r="K20">
            <v>20</v>
          </cell>
        </row>
        <row r="21">
          <cell r="B21" t="str">
            <v>F5</v>
          </cell>
          <cell r="C21">
            <v>2</v>
          </cell>
          <cell r="D21" t="str">
            <v>M2</v>
          </cell>
          <cell r="E21">
            <v>1</v>
          </cell>
          <cell r="F21" t="str">
            <v>BN</v>
          </cell>
          <cell r="G21">
            <v>20</v>
          </cell>
          <cell r="H21" t="str">
            <v>F5</v>
          </cell>
          <cell r="I21">
            <v>20</v>
          </cell>
          <cell r="J21" t="str">
            <v>M3</v>
          </cell>
          <cell r="K21">
            <v>5</v>
          </cell>
        </row>
        <row r="22">
          <cell r="B22" t="str">
            <v>MB</v>
          </cell>
          <cell r="C22">
            <v>2</v>
          </cell>
          <cell r="D22" t="str">
            <v>MB</v>
          </cell>
          <cell r="E22">
            <v>1</v>
          </cell>
          <cell r="F22" t="str">
            <v>M1</v>
          </cell>
          <cell r="G22">
            <v>20</v>
          </cell>
          <cell r="H22" t="str">
            <v>M3</v>
          </cell>
          <cell r="I22">
            <v>20</v>
          </cell>
          <cell r="J22" t="str">
            <v>MB</v>
          </cell>
          <cell r="K22">
            <v>5</v>
          </cell>
        </row>
        <row r="23">
          <cell r="B23" t="str">
            <v>F9</v>
          </cell>
          <cell r="C23">
            <v>2</v>
          </cell>
          <cell r="D23" t="str">
            <v>MB</v>
          </cell>
          <cell r="E23">
            <v>1</v>
          </cell>
          <cell r="F23" t="str">
            <v>F9</v>
          </cell>
          <cell r="G23">
            <v>20</v>
          </cell>
          <cell r="H23" t="str">
            <v>M3</v>
          </cell>
          <cell r="I23">
            <v>20</v>
          </cell>
          <cell r="J23" t="str">
            <v>MB</v>
          </cell>
          <cell r="K23">
            <v>5</v>
          </cell>
        </row>
        <row r="24">
          <cell r="B24" t="str">
            <v>F9</v>
          </cell>
          <cell r="C24">
            <v>20</v>
          </cell>
          <cell r="D24" t="str">
            <v>MB</v>
          </cell>
          <cell r="E24">
            <v>1</v>
          </cell>
          <cell r="F24" t="str">
            <v>M3</v>
          </cell>
          <cell r="G24">
            <v>20</v>
          </cell>
          <cell r="H24" t="str">
            <v>F6</v>
          </cell>
          <cell r="I24">
            <v>20</v>
          </cell>
          <cell r="J24" t="str">
            <v>MB</v>
          </cell>
          <cell r="K24">
            <v>5</v>
          </cell>
        </row>
        <row r="25">
          <cell r="B25" t="str">
            <v>M3</v>
          </cell>
          <cell r="C25">
            <v>20</v>
          </cell>
          <cell r="D25" t="str">
            <v>M4</v>
          </cell>
          <cell r="E25">
            <v>1</v>
          </cell>
          <cell r="F25" t="str">
            <v>F7</v>
          </cell>
          <cell r="G25">
            <v>5</v>
          </cell>
          <cell r="H25" t="str">
            <v>F6</v>
          </cell>
          <cell r="I25">
            <v>5</v>
          </cell>
          <cell r="J25" t="str">
            <v>M4</v>
          </cell>
          <cell r="K25">
            <v>5</v>
          </cell>
        </row>
        <row r="26">
          <cell r="B26" t="str">
            <v>M3</v>
          </cell>
          <cell r="C26">
            <v>20</v>
          </cell>
          <cell r="D26" t="str">
            <v>F7</v>
          </cell>
          <cell r="E26">
            <v>20</v>
          </cell>
          <cell r="F26" t="str">
            <v>MB</v>
          </cell>
          <cell r="G26">
            <v>1</v>
          </cell>
          <cell r="H26" t="str">
            <v>MB</v>
          </cell>
          <cell r="I26">
            <v>5</v>
          </cell>
          <cell r="J26" t="str">
            <v>F6</v>
          </cell>
          <cell r="K26">
            <v>20</v>
          </cell>
        </row>
        <row r="27">
          <cell r="B27" t="str">
            <v>F9</v>
          </cell>
          <cell r="C27">
            <v>1</v>
          </cell>
          <cell r="D27" t="str">
            <v>M2</v>
          </cell>
          <cell r="E27">
            <v>20</v>
          </cell>
          <cell r="F27" t="str">
            <v>MB</v>
          </cell>
          <cell r="G27">
            <v>1</v>
          </cell>
          <cell r="H27" t="str">
            <v>F9</v>
          </cell>
          <cell r="I27">
            <v>10</v>
          </cell>
          <cell r="J27" t="str">
            <v>M4</v>
          </cell>
          <cell r="K27">
            <v>20</v>
          </cell>
        </row>
        <row r="28">
          <cell r="B28" t="str">
            <v>MB</v>
          </cell>
          <cell r="C28">
            <v>1</v>
          </cell>
          <cell r="D28" t="str">
            <v>F6</v>
          </cell>
          <cell r="E28">
            <v>20</v>
          </cell>
          <cell r="F28" t="str">
            <v>MB</v>
          </cell>
          <cell r="G28">
            <v>1</v>
          </cell>
          <cell r="H28" t="str">
            <v>BN</v>
          </cell>
          <cell r="I28">
            <v>10</v>
          </cell>
          <cell r="J28" t="str">
            <v>F8</v>
          </cell>
          <cell r="K28">
            <v>20</v>
          </cell>
        </row>
        <row r="29">
          <cell r="B29" t="str">
            <v>MB</v>
          </cell>
          <cell r="C29">
            <v>1</v>
          </cell>
          <cell r="D29" t="str">
            <v>M3</v>
          </cell>
          <cell r="E29">
            <v>2</v>
          </cell>
          <cell r="F29" t="str">
            <v>F5</v>
          </cell>
          <cell r="G29">
            <v>5</v>
          </cell>
          <cell r="H29" t="str">
            <v>F9</v>
          </cell>
          <cell r="I29">
            <v>10</v>
          </cell>
          <cell r="J29" t="str">
            <v>F7</v>
          </cell>
          <cell r="K29">
            <v>20</v>
          </cell>
        </row>
        <row r="30">
          <cell r="B30" t="str">
            <v>MB</v>
          </cell>
          <cell r="C30">
            <v>1</v>
          </cell>
          <cell r="D30" t="str">
            <v>MB</v>
          </cell>
          <cell r="E30">
            <v>2</v>
          </cell>
          <cell r="F30" t="str">
            <v>F5</v>
          </cell>
          <cell r="G30">
            <v>20</v>
          </cell>
          <cell r="H30" t="str">
            <v>M2</v>
          </cell>
          <cell r="I30">
            <v>5</v>
          </cell>
          <cell r="J30" t="str">
            <v>M2</v>
          </cell>
          <cell r="K30">
            <v>20</v>
          </cell>
        </row>
        <row r="31">
          <cell r="B31" t="str">
            <v>F9</v>
          </cell>
          <cell r="C31">
            <v>1</v>
          </cell>
          <cell r="D31" t="str">
            <v>MB</v>
          </cell>
          <cell r="E31">
            <v>2</v>
          </cell>
          <cell r="F31" t="str">
            <v>F9</v>
          </cell>
          <cell r="G31">
            <v>5</v>
          </cell>
          <cell r="H31" t="str">
            <v>MB</v>
          </cell>
          <cell r="I31">
            <v>5</v>
          </cell>
          <cell r="J31" t="str">
            <v>F9</v>
          </cell>
          <cell r="K31">
            <v>20</v>
          </cell>
        </row>
        <row r="32">
          <cell r="B32" t="str">
            <v>F7</v>
          </cell>
          <cell r="C32">
            <v>20</v>
          </cell>
          <cell r="D32" t="str">
            <v>F8</v>
          </cell>
          <cell r="E32">
            <v>2</v>
          </cell>
          <cell r="F32" t="str">
            <v>BN</v>
          </cell>
          <cell r="G32">
            <v>5</v>
          </cell>
          <cell r="H32" t="str">
            <v>F9</v>
          </cell>
          <cell r="I32">
            <v>5</v>
          </cell>
          <cell r="J32" t="str">
            <v>M4</v>
          </cell>
          <cell r="K32">
            <v>5</v>
          </cell>
        </row>
        <row r="33">
          <cell r="B33" t="str">
            <v>F7</v>
          </cell>
          <cell r="C33">
            <v>20</v>
          </cell>
          <cell r="D33" t="str">
            <v>M2</v>
          </cell>
          <cell r="E33">
            <v>5</v>
          </cell>
          <cell r="F33" t="str">
            <v>F9</v>
          </cell>
          <cell r="G33">
            <v>5</v>
          </cell>
          <cell r="H33" t="str">
            <v>F9</v>
          </cell>
          <cell r="I33">
            <v>15</v>
          </cell>
          <cell r="J33" t="str">
            <v>MB</v>
          </cell>
          <cell r="K33">
            <v>5</v>
          </cell>
        </row>
        <row r="34">
          <cell r="B34" t="str">
            <v>M4</v>
          </cell>
          <cell r="C34">
            <v>1</v>
          </cell>
          <cell r="D34" t="str">
            <v>BN</v>
          </cell>
          <cell r="E34">
            <v>5</v>
          </cell>
          <cell r="F34" t="str">
            <v>MB</v>
          </cell>
          <cell r="G34">
            <v>5</v>
          </cell>
          <cell r="H34" t="str">
            <v>WW</v>
          </cell>
          <cell r="I34">
            <v>15</v>
          </cell>
          <cell r="J34" t="str">
            <v>MB</v>
          </cell>
          <cell r="K34">
            <v>5</v>
          </cell>
        </row>
        <row r="35">
          <cell r="B35" t="str">
            <v>MB</v>
          </cell>
          <cell r="C35">
            <v>1</v>
          </cell>
          <cell r="D35" t="str">
            <v>F6</v>
          </cell>
          <cell r="E35">
            <v>5</v>
          </cell>
          <cell r="F35" t="str">
            <v>F7</v>
          </cell>
          <cell r="G35">
            <v>5</v>
          </cell>
          <cell r="H35" t="str">
            <v>WW</v>
          </cell>
          <cell r="I35">
            <v>15</v>
          </cell>
          <cell r="J35" t="str">
            <v>F7</v>
          </cell>
          <cell r="K35">
            <v>5</v>
          </cell>
        </row>
        <row r="36">
          <cell r="B36" t="str">
            <v>MB</v>
          </cell>
          <cell r="C36">
            <v>1</v>
          </cell>
          <cell r="D36" t="str">
            <v>M1</v>
          </cell>
          <cell r="E36">
            <v>20</v>
          </cell>
          <cell r="F36" t="str">
            <v>F9</v>
          </cell>
          <cell r="G36">
            <v>20</v>
          </cell>
          <cell r="H36" t="str">
            <v>WW</v>
          </cell>
          <cell r="I36">
            <v>20</v>
          </cell>
          <cell r="J36" t="str">
            <v>M2</v>
          </cell>
          <cell r="K36">
            <v>20</v>
          </cell>
        </row>
        <row r="37">
          <cell r="B37" t="str">
            <v>MB</v>
          </cell>
          <cell r="C37">
            <v>1</v>
          </cell>
          <cell r="D37" t="str">
            <v>F9</v>
          </cell>
          <cell r="E37">
            <v>20</v>
          </cell>
          <cell r="F37" t="str">
            <v>M1</v>
          </cell>
          <cell r="G37">
            <v>1</v>
          </cell>
          <cell r="H37" t="str">
            <v>F9</v>
          </cell>
          <cell r="I37">
            <v>5</v>
          </cell>
          <cell r="J37" t="str">
            <v>M3</v>
          </cell>
          <cell r="K37">
            <v>20</v>
          </cell>
        </row>
        <row r="38">
          <cell r="B38" t="str">
            <v>F8</v>
          </cell>
          <cell r="C38">
            <v>1</v>
          </cell>
          <cell r="D38" t="str">
            <v>M3</v>
          </cell>
          <cell r="E38">
            <v>20</v>
          </cell>
          <cell r="F38" t="str">
            <v>MB</v>
          </cell>
          <cell r="G38">
            <v>1</v>
          </cell>
          <cell r="H38" t="str">
            <v>MB</v>
          </cell>
          <cell r="I38">
            <v>5</v>
          </cell>
          <cell r="J38" t="str">
            <v>F9</v>
          </cell>
          <cell r="K38">
            <v>20</v>
          </cell>
        </row>
        <row r="39">
          <cell r="B39" t="str">
            <v>F8</v>
          </cell>
          <cell r="C39">
            <v>20</v>
          </cell>
          <cell r="D39" t="str">
            <v>F8</v>
          </cell>
          <cell r="E39">
            <v>1</v>
          </cell>
          <cell r="F39" t="str">
            <v>MB</v>
          </cell>
          <cell r="G39">
            <v>1</v>
          </cell>
          <cell r="H39" t="str">
            <v>MB</v>
          </cell>
          <cell r="I39">
            <v>5</v>
          </cell>
          <cell r="J39" t="str">
            <v>F5</v>
          </cell>
          <cell r="K39">
            <v>20</v>
          </cell>
        </row>
        <row r="40">
          <cell r="B40" t="str">
            <v>F6</v>
          </cell>
          <cell r="C40">
            <v>20</v>
          </cell>
          <cell r="D40" t="str">
            <v>MB</v>
          </cell>
          <cell r="E40">
            <v>1</v>
          </cell>
          <cell r="F40" t="str">
            <v>MB</v>
          </cell>
          <cell r="G40">
            <v>1</v>
          </cell>
          <cell r="H40" t="str">
            <v>M1</v>
          </cell>
          <cell r="I40">
            <v>5</v>
          </cell>
          <cell r="J40" t="str">
            <v>M1</v>
          </cell>
          <cell r="K40">
            <v>20</v>
          </cell>
        </row>
        <row r="41">
          <cell r="B41" t="str">
            <v>F9</v>
          </cell>
          <cell r="C41">
            <v>20</v>
          </cell>
          <cell r="D41" t="str">
            <v>MB</v>
          </cell>
          <cell r="E41">
            <v>1</v>
          </cell>
          <cell r="F41" t="str">
            <v>F9</v>
          </cell>
          <cell r="G41">
            <v>5</v>
          </cell>
          <cell r="H41" t="str">
            <v>F7</v>
          </cell>
          <cell r="I41">
            <v>20</v>
          </cell>
          <cell r="J41" t="str">
            <v>F7</v>
          </cell>
          <cell r="K41">
            <v>5</v>
          </cell>
        </row>
        <row r="42">
          <cell r="B42" t="str">
            <v>M4</v>
          </cell>
          <cell r="C42">
            <v>20</v>
          </cell>
          <cell r="D42" t="str">
            <v>MB</v>
          </cell>
          <cell r="E42">
            <v>1</v>
          </cell>
          <cell r="F42" t="str">
            <v>BN</v>
          </cell>
          <cell r="G42">
            <v>5</v>
          </cell>
          <cell r="H42" t="str">
            <v>M4</v>
          </cell>
          <cell r="I42">
            <v>20</v>
          </cell>
          <cell r="J42" t="str">
            <v>MB</v>
          </cell>
          <cell r="K42">
            <v>5</v>
          </cell>
        </row>
        <row r="43">
          <cell r="B43" t="str">
            <v>M4</v>
          </cell>
          <cell r="C43">
            <v>20</v>
          </cell>
          <cell r="D43" t="str">
            <v>F5</v>
          </cell>
          <cell r="E43">
            <v>1</v>
          </cell>
          <cell r="F43" t="str">
            <v>F5</v>
          </cell>
          <cell r="G43">
            <v>5</v>
          </cell>
          <cell r="H43" t="str">
            <v>F6</v>
          </cell>
          <cell r="I43">
            <v>20</v>
          </cell>
          <cell r="J43" t="str">
            <v>MB</v>
          </cell>
          <cell r="K43">
            <v>5</v>
          </cell>
        </row>
        <row r="44">
          <cell r="B44" t="str">
            <v>F7</v>
          </cell>
          <cell r="C44">
            <v>20</v>
          </cell>
          <cell r="D44" t="str">
            <v>F6</v>
          </cell>
          <cell r="E44">
            <v>20</v>
          </cell>
          <cell r="F44" t="str">
            <v>WW</v>
          </cell>
          <cell r="G44">
            <v>20</v>
          </cell>
          <cell r="H44" t="str">
            <v>M1</v>
          </cell>
          <cell r="I44">
            <v>20</v>
          </cell>
          <cell r="J44" t="str">
            <v>MB</v>
          </cell>
          <cell r="K44">
            <v>5</v>
          </cell>
        </row>
        <row r="45">
          <cell r="B45" t="str">
            <v>M3</v>
          </cell>
          <cell r="C45">
            <v>20</v>
          </cell>
          <cell r="D45" t="str">
            <v>M3</v>
          </cell>
          <cell r="E45">
            <v>20</v>
          </cell>
          <cell r="F45" t="str">
            <v>WW</v>
          </cell>
          <cell r="G45">
            <v>20</v>
          </cell>
          <cell r="H45" t="str">
            <v>F5</v>
          </cell>
          <cell r="I45">
            <v>20</v>
          </cell>
          <cell r="J45" t="str">
            <v>F6</v>
          </cell>
          <cell r="K45">
            <v>5</v>
          </cell>
        </row>
        <row r="46">
          <cell r="B46" t="str">
            <v>F5</v>
          </cell>
          <cell r="C46">
            <v>20</v>
          </cell>
          <cell r="D46" t="str">
            <v>F9</v>
          </cell>
          <cell r="E46">
            <v>20</v>
          </cell>
          <cell r="F46" t="str">
            <v>WW</v>
          </cell>
          <cell r="G46">
            <v>20</v>
          </cell>
          <cell r="H46" t="str">
            <v>M2</v>
          </cell>
          <cell r="I46">
            <v>20</v>
          </cell>
          <cell r="J46" t="str">
            <v>M3</v>
          </cell>
          <cell r="K46">
            <v>20</v>
          </cell>
        </row>
        <row r="47">
          <cell r="B47" t="str">
            <v>F9</v>
          </cell>
          <cell r="C47">
            <v>20</v>
          </cell>
          <cell r="D47" t="str">
            <v>M4</v>
          </cell>
          <cell r="E47">
            <v>20</v>
          </cell>
          <cell r="F47" t="str">
            <v>F5</v>
          </cell>
          <cell r="G47">
            <v>2</v>
          </cell>
          <cell r="H47" t="str">
            <v>F9</v>
          </cell>
          <cell r="I47">
            <v>20</v>
          </cell>
          <cell r="J47" t="str">
            <v>F5</v>
          </cell>
          <cell r="K47">
            <v>5</v>
          </cell>
        </row>
        <row r="48">
          <cell r="B48" t="str">
            <v>F7</v>
          </cell>
          <cell r="C48">
            <v>1</v>
          </cell>
          <cell r="D48" t="str">
            <v>F9</v>
          </cell>
          <cell r="E48">
            <v>2</v>
          </cell>
          <cell r="F48" t="str">
            <v>MB</v>
          </cell>
          <cell r="G48">
            <v>2</v>
          </cell>
          <cell r="H48" t="str">
            <v>M3</v>
          </cell>
          <cell r="I48">
            <v>5</v>
          </cell>
          <cell r="J48" t="str">
            <v>MB</v>
          </cell>
          <cell r="K48">
            <v>5</v>
          </cell>
        </row>
        <row r="49">
          <cell r="B49" t="str">
            <v>MB</v>
          </cell>
          <cell r="C49">
            <v>2</v>
          </cell>
          <cell r="D49" t="str">
            <v>MB</v>
          </cell>
          <cell r="E49">
            <v>2</v>
          </cell>
          <cell r="F49" t="str">
            <v>MB</v>
          </cell>
          <cell r="G49">
            <v>2</v>
          </cell>
          <cell r="H49" t="str">
            <v>MB</v>
          </cell>
          <cell r="I49">
            <v>5</v>
          </cell>
          <cell r="J49" t="str">
            <v>F6</v>
          </cell>
          <cell r="K49">
            <v>5</v>
          </cell>
        </row>
        <row r="50">
          <cell r="B50" t="str">
            <v>MB</v>
          </cell>
          <cell r="C50">
            <v>2</v>
          </cell>
          <cell r="D50" t="str">
            <v>MB</v>
          </cell>
          <cell r="E50">
            <v>2</v>
          </cell>
          <cell r="F50" t="str">
            <v>F8</v>
          </cell>
          <cell r="G50">
            <v>2</v>
          </cell>
          <cell r="H50" t="str">
            <v>MB</v>
          </cell>
          <cell r="I50">
            <v>5</v>
          </cell>
          <cell r="J50" t="str">
            <v>M2</v>
          </cell>
          <cell r="K50">
            <v>20</v>
          </cell>
        </row>
        <row r="51">
          <cell r="B51" t="str">
            <v>F9</v>
          </cell>
          <cell r="C51">
            <v>1</v>
          </cell>
          <cell r="D51" t="str">
            <v>F5</v>
          </cell>
          <cell r="E51">
            <v>2</v>
          </cell>
          <cell r="F51" t="str">
            <v>M3</v>
          </cell>
          <cell r="G51">
            <v>20</v>
          </cell>
          <cell r="H51" t="str">
            <v>MB</v>
          </cell>
          <cell r="I51">
            <v>5</v>
          </cell>
          <cell r="J51" t="str">
            <v>F8</v>
          </cell>
          <cell r="K51">
            <v>20</v>
          </cell>
        </row>
      </sheetData>
      <sheetData sheetId="9"/>
      <sheetData sheetId="10">
        <row r="107">
          <cell r="D107" t="str">
            <v>P1_Stopper_Selector</v>
          </cell>
        </row>
        <row r="108">
          <cell r="D108" t="str">
            <v>Name</v>
          </cell>
          <cell r="E108" t="str">
            <v>Weight</v>
          </cell>
        </row>
        <row r="109">
          <cell r="D109" t="str">
            <v>Feat_RS5_Strip</v>
          </cell>
          <cell r="E109">
            <v>58638670</v>
          </cell>
        </row>
        <row r="110">
          <cell r="D110" t="str">
            <v>Feat_RS6_Strip</v>
          </cell>
          <cell r="E110">
            <v>941361330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1D26-7654-4CF6-A8D9-D8ECC8E3E0C7}">
  <dimension ref="A1:AB39"/>
  <sheetViews>
    <sheetView workbookViewId="0">
      <selection activeCell="K29" sqref="K29:O31"/>
    </sheetView>
  </sheetViews>
  <sheetFormatPr defaultRowHeight="14.5" x14ac:dyDescent="0.35"/>
  <cols>
    <col min="1" max="1" width="21.54296875" customWidth="1"/>
    <col min="2" max="2" width="15.453125" customWidth="1"/>
    <col min="3" max="3" width="10.54296875" customWidth="1"/>
  </cols>
  <sheetData>
    <row r="1" spans="1:28" x14ac:dyDescent="0.35">
      <c r="A1" s="166" t="s">
        <v>218</v>
      </c>
      <c r="B1" s="166"/>
      <c r="D1" t="s">
        <v>220</v>
      </c>
      <c r="E1" s="121"/>
      <c r="F1" s="121"/>
      <c r="G1" s="121"/>
      <c r="H1" s="121"/>
      <c r="I1" s="121"/>
      <c r="K1" s="121"/>
      <c r="L1" s="121"/>
      <c r="M1" s="121"/>
      <c r="N1" s="121"/>
      <c r="O1" s="121"/>
      <c r="Q1" t="s">
        <v>222</v>
      </c>
      <c r="R1" s="121"/>
      <c r="S1" s="121"/>
      <c r="T1" s="121"/>
      <c r="U1" s="122"/>
      <c r="V1" s="121"/>
      <c r="X1" s="121"/>
      <c r="Y1" s="121"/>
      <c r="Z1" s="121"/>
      <c r="AA1" s="132"/>
      <c r="AB1" s="121"/>
    </row>
    <row r="2" spans="1:28" x14ac:dyDescent="0.35">
      <c r="A2" s="120" t="s">
        <v>148</v>
      </c>
      <c r="B2" s="120" t="s">
        <v>53</v>
      </c>
      <c r="C2" t="s">
        <v>231</v>
      </c>
      <c r="E2" s="121"/>
      <c r="F2" s="121"/>
      <c r="G2" s="121"/>
      <c r="H2" s="121"/>
      <c r="I2" s="121"/>
      <c r="K2" s="121"/>
      <c r="L2" s="121"/>
      <c r="M2" s="121"/>
      <c r="N2" s="130"/>
      <c r="O2" s="121"/>
      <c r="R2" s="121"/>
      <c r="S2" s="122"/>
      <c r="T2" s="121"/>
      <c r="U2" s="121"/>
      <c r="V2" s="121"/>
      <c r="X2" s="121"/>
      <c r="Y2" s="132"/>
      <c r="Z2" s="121"/>
      <c r="AA2" s="121"/>
      <c r="AB2" s="121"/>
    </row>
    <row r="3" spans="1:28" x14ac:dyDescent="0.35">
      <c r="A3" s="118" t="s">
        <v>187</v>
      </c>
      <c r="B3" s="119">
        <v>99000000</v>
      </c>
      <c r="C3" s="37" t="s">
        <v>219</v>
      </c>
      <c r="E3" s="121"/>
      <c r="F3" s="122"/>
      <c r="G3" s="121"/>
      <c r="H3" s="121"/>
      <c r="I3" s="121"/>
      <c r="K3" s="121"/>
      <c r="L3" s="121"/>
      <c r="M3" s="121"/>
      <c r="N3" s="121"/>
      <c r="O3" s="121"/>
      <c r="R3" s="121"/>
      <c r="S3" s="121"/>
      <c r="T3" s="121"/>
      <c r="U3" s="122"/>
      <c r="V3" s="121"/>
      <c r="X3" s="121"/>
      <c r="Y3" s="121"/>
      <c r="Z3" s="121"/>
      <c r="AA3" s="132"/>
      <c r="AB3" s="121"/>
    </row>
    <row r="4" spans="1:28" x14ac:dyDescent="0.35">
      <c r="A4" s="123" t="s">
        <v>188</v>
      </c>
      <c r="B4" s="119">
        <v>11000000</v>
      </c>
      <c r="C4" s="37" t="s">
        <v>223</v>
      </c>
    </row>
    <row r="5" spans="1:28" x14ac:dyDescent="0.35">
      <c r="A5" s="124" t="s">
        <v>189</v>
      </c>
      <c r="B5" s="119">
        <v>99000000</v>
      </c>
      <c r="C5" s="37" t="s">
        <v>224</v>
      </c>
      <c r="E5" s="121"/>
      <c r="F5" s="121"/>
      <c r="G5" s="121"/>
      <c r="H5" s="121"/>
      <c r="I5" s="121"/>
      <c r="K5" s="121"/>
      <c r="L5" s="121"/>
      <c r="M5" s="121"/>
      <c r="N5" s="121"/>
      <c r="O5" s="121"/>
      <c r="R5" s="121"/>
      <c r="S5" s="121"/>
      <c r="T5" s="121"/>
      <c r="U5" s="125"/>
      <c r="V5" s="121"/>
      <c r="X5" s="121"/>
      <c r="Y5" s="121"/>
      <c r="Z5" s="135"/>
      <c r="AA5" s="121"/>
      <c r="AB5" s="121"/>
    </row>
    <row r="6" spans="1:28" x14ac:dyDescent="0.35">
      <c r="A6" s="124" t="s">
        <v>190</v>
      </c>
      <c r="B6" s="119">
        <v>66000000</v>
      </c>
      <c r="C6" s="37" t="s">
        <v>225</v>
      </c>
      <c r="E6" s="121"/>
      <c r="F6" s="125"/>
      <c r="G6" s="121"/>
      <c r="H6" s="121"/>
      <c r="I6" s="121"/>
      <c r="K6" s="121"/>
      <c r="L6" s="121"/>
      <c r="M6" s="121"/>
      <c r="N6" s="121"/>
      <c r="O6" s="132"/>
      <c r="R6" s="121"/>
      <c r="S6" s="125"/>
      <c r="T6" s="121"/>
      <c r="U6" s="121"/>
      <c r="V6" s="125"/>
      <c r="X6" s="121"/>
      <c r="Y6" s="121"/>
      <c r="Z6" s="135"/>
      <c r="AA6" s="121"/>
      <c r="AB6" s="135"/>
    </row>
    <row r="7" spans="1:28" x14ac:dyDescent="0.35">
      <c r="A7" s="127" t="s">
        <v>191</v>
      </c>
      <c r="B7" s="119">
        <v>11000000</v>
      </c>
      <c r="C7" s="37" t="s">
        <v>226</v>
      </c>
      <c r="E7" s="121"/>
      <c r="F7" s="121"/>
      <c r="G7" s="121"/>
      <c r="H7" s="121"/>
      <c r="I7" s="121"/>
      <c r="K7" s="121"/>
      <c r="L7" s="121"/>
      <c r="M7" s="121"/>
      <c r="N7" s="121"/>
      <c r="O7" s="121"/>
      <c r="R7" s="121"/>
      <c r="S7" s="121"/>
      <c r="T7" s="121"/>
      <c r="U7" s="121"/>
      <c r="V7" s="121"/>
      <c r="X7" s="121"/>
      <c r="Y7" s="121"/>
      <c r="Z7" s="121"/>
      <c r="AA7" s="121"/>
      <c r="AB7" s="121"/>
    </row>
    <row r="8" spans="1:28" x14ac:dyDescent="0.35">
      <c r="A8" s="127" t="s">
        <v>192</v>
      </c>
      <c r="B8" s="119">
        <v>11000000</v>
      </c>
      <c r="C8" s="37" t="s">
        <v>223</v>
      </c>
    </row>
    <row r="9" spans="1:28" x14ac:dyDescent="0.35">
      <c r="A9" s="129" t="s">
        <v>193</v>
      </c>
      <c r="B9" s="119">
        <v>99000000</v>
      </c>
      <c r="C9" s="37" t="s">
        <v>225</v>
      </c>
      <c r="E9" s="121"/>
      <c r="F9" s="121"/>
      <c r="G9" s="121"/>
      <c r="H9" s="121"/>
      <c r="I9" s="121"/>
      <c r="K9" s="121"/>
      <c r="L9" s="121"/>
      <c r="M9" s="121"/>
      <c r="N9" s="135"/>
      <c r="O9" s="121"/>
      <c r="R9" s="121"/>
      <c r="S9" s="121"/>
      <c r="T9" s="126"/>
      <c r="U9" s="121"/>
      <c r="V9" s="121"/>
      <c r="X9" s="121"/>
      <c r="Y9" s="117"/>
      <c r="Z9" s="121"/>
      <c r="AA9" s="121"/>
      <c r="AB9" s="121"/>
    </row>
    <row r="10" spans="1:28" x14ac:dyDescent="0.35">
      <c r="A10" s="131" t="s">
        <v>194</v>
      </c>
      <c r="B10" s="119">
        <v>11000000</v>
      </c>
      <c r="C10" s="37" t="s">
        <v>226</v>
      </c>
      <c r="E10" s="121"/>
      <c r="F10" s="121"/>
      <c r="G10" s="126"/>
      <c r="H10" s="121"/>
      <c r="I10" s="121"/>
      <c r="K10" s="121"/>
      <c r="L10" s="121"/>
      <c r="M10" s="121"/>
      <c r="N10" s="121"/>
      <c r="O10" s="121"/>
      <c r="R10" s="121"/>
      <c r="S10" s="121"/>
      <c r="T10" s="126"/>
      <c r="U10" s="121"/>
      <c r="V10" s="121"/>
      <c r="X10" s="121"/>
      <c r="Y10" s="121"/>
      <c r="Z10" s="117"/>
      <c r="AA10" s="121"/>
      <c r="AB10" s="117"/>
    </row>
    <row r="11" spans="1:28" x14ac:dyDescent="0.35">
      <c r="A11" s="133" t="s">
        <v>195</v>
      </c>
      <c r="B11" s="119">
        <v>550000</v>
      </c>
      <c r="C11" s="37" t="s">
        <v>225</v>
      </c>
      <c r="E11" s="121"/>
      <c r="F11" s="121"/>
      <c r="G11" s="121"/>
      <c r="H11" s="121"/>
      <c r="I11" s="121"/>
      <c r="K11" s="121"/>
      <c r="L11" s="121"/>
      <c r="M11" s="121"/>
      <c r="N11" s="121"/>
      <c r="O11" s="121"/>
      <c r="R11" s="121"/>
      <c r="S11" s="126"/>
      <c r="T11" s="121"/>
      <c r="U11" s="121"/>
      <c r="V11" s="121"/>
      <c r="X11" s="121"/>
      <c r="Y11" s="121"/>
      <c r="Z11" s="121"/>
      <c r="AA11" s="121"/>
      <c r="AB11" s="121"/>
    </row>
    <row r="12" spans="1:28" x14ac:dyDescent="0.35">
      <c r="A12" s="134" t="s">
        <v>196</v>
      </c>
      <c r="B12" s="119">
        <v>99000000</v>
      </c>
      <c r="C12" s="37" t="s">
        <v>224</v>
      </c>
    </row>
    <row r="13" spans="1:28" x14ac:dyDescent="0.35">
      <c r="A13" s="137" t="s">
        <v>197</v>
      </c>
      <c r="B13" s="119">
        <v>11000000</v>
      </c>
      <c r="C13" s="37" t="s">
        <v>223</v>
      </c>
      <c r="E13" s="121"/>
      <c r="F13" s="121"/>
      <c r="G13" s="128"/>
      <c r="H13" s="121"/>
      <c r="I13" s="121"/>
      <c r="K13" s="121"/>
      <c r="L13" s="121"/>
      <c r="M13" s="121"/>
      <c r="N13" s="121"/>
      <c r="O13" s="121"/>
      <c r="R13" s="121"/>
      <c r="S13" s="121"/>
      <c r="T13" s="128"/>
      <c r="U13" s="121"/>
      <c r="V13" s="121"/>
      <c r="X13" s="121"/>
      <c r="Y13" s="121"/>
      <c r="Z13" s="139"/>
      <c r="AA13" s="121"/>
      <c r="AB13" s="121"/>
    </row>
    <row r="14" spans="1:28" x14ac:dyDescent="0.35">
      <c r="A14" s="123" t="s">
        <v>198</v>
      </c>
      <c r="B14" s="119">
        <v>61250000</v>
      </c>
      <c r="C14" s="37" t="s">
        <v>227</v>
      </c>
      <c r="E14" s="121"/>
      <c r="F14" s="121"/>
      <c r="G14" s="121"/>
      <c r="H14" s="121"/>
      <c r="I14" s="121"/>
      <c r="K14" s="121"/>
      <c r="L14" s="121"/>
      <c r="M14" s="121"/>
      <c r="N14" s="136"/>
      <c r="O14" s="121"/>
      <c r="R14" s="121"/>
      <c r="S14" s="128"/>
      <c r="T14" s="121"/>
      <c r="U14" s="121"/>
      <c r="V14" s="121"/>
      <c r="X14" s="121"/>
      <c r="Y14" s="121"/>
      <c r="Z14" s="139"/>
      <c r="AA14" s="121"/>
      <c r="AB14" s="139"/>
    </row>
    <row r="15" spans="1:28" x14ac:dyDescent="0.35">
      <c r="A15" s="124" t="s">
        <v>199</v>
      </c>
      <c r="B15" s="119">
        <v>2100000</v>
      </c>
      <c r="C15" s="37" t="s">
        <v>228</v>
      </c>
      <c r="E15" s="121"/>
      <c r="F15" s="121"/>
      <c r="G15" s="121"/>
      <c r="H15" s="121"/>
      <c r="I15" s="121"/>
      <c r="K15" s="121"/>
      <c r="L15" s="121"/>
      <c r="M15" s="121"/>
      <c r="N15" s="121"/>
      <c r="O15" s="121"/>
      <c r="R15" s="121"/>
      <c r="S15" s="121"/>
      <c r="T15" s="128"/>
      <c r="U15" s="121"/>
      <c r="V15" s="121"/>
      <c r="X15" s="121"/>
      <c r="Y15" s="121"/>
      <c r="Z15" s="121"/>
      <c r="AA15" s="121"/>
      <c r="AB15" s="121"/>
    </row>
    <row r="16" spans="1:28" x14ac:dyDescent="0.35">
      <c r="A16" s="127" t="s">
        <v>200</v>
      </c>
      <c r="B16" s="119">
        <v>49000000</v>
      </c>
      <c r="C16" s="37" t="s">
        <v>229</v>
      </c>
    </row>
    <row r="17" spans="1:28" x14ac:dyDescent="0.35">
      <c r="A17" s="129" t="s">
        <v>201</v>
      </c>
      <c r="B17" s="119">
        <v>1750000</v>
      </c>
      <c r="C17" s="37" t="s">
        <v>230</v>
      </c>
      <c r="D17" t="s">
        <v>221</v>
      </c>
      <c r="E17" s="121"/>
      <c r="F17" s="122"/>
      <c r="G17" s="121"/>
      <c r="H17" s="121"/>
      <c r="I17" s="121"/>
      <c r="K17" s="121"/>
      <c r="L17" s="121"/>
      <c r="M17" s="132"/>
      <c r="N17" s="121"/>
      <c r="O17" s="121"/>
      <c r="R17" s="121"/>
      <c r="S17" s="121"/>
      <c r="T17" s="130"/>
      <c r="U17" s="121"/>
      <c r="V17" s="121"/>
      <c r="X17" s="121"/>
      <c r="Y17" s="121"/>
      <c r="Z17" s="141"/>
      <c r="AA17" s="121"/>
      <c r="AB17" s="121"/>
    </row>
    <row r="18" spans="1:28" x14ac:dyDescent="0.35">
      <c r="A18" s="131" t="s">
        <v>202</v>
      </c>
      <c r="B18" s="119">
        <v>10500000</v>
      </c>
      <c r="C18" s="37" t="s">
        <v>227</v>
      </c>
      <c r="E18" s="121"/>
      <c r="F18" s="122"/>
      <c r="G18" s="121"/>
      <c r="H18" s="121"/>
      <c r="I18" s="121"/>
      <c r="K18" s="121"/>
      <c r="L18" s="121"/>
      <c r="M18" s="121"/>
      <c r="N18" s="132"/>
      <c r="O18" s="121"/>
      <c r="R18" s="121"/>
      <c r="S18" s="130"/>
      <c r="T18" s="130"/>
      <c r="U18" s="121"/>
      <c r="V18" s="121"/>
      <c r="X18" s="121"/>
      <c r="Y18" s="121"/>
      <c r="Z18" s="141"/>
      <c r="AA18" s="121"/>
      <c r="AB18" s="121"/>
    </row>
    <row r="19" spans="1:28" x14ac:dyDescent="0.35">
      <c r="A19" s="133" t="s">
        <v>203</v>
      </c>
      <c r="B19" s="119">
        <v>2100000</v>
      </c>
      <c r="C19" s="37" t="s">
        <v>232</v>
      </c>
      <c r="E19" s="121"/>
      <c r="F19" s="121"/>
      <c r="G19" s="121"/>
      <c r="H19" s="121"/>
      <c r="I19" s="121"/>
      <c r="K19" s="121"/>
      <c r="L19" s="121"/>
      <c r="M19" s="121"/>
      <c r="N19" s="121"/>
      <c r="O19" s="121"/>
      <c r="R19" s="121"/>
      <c r="S19" s="121"/>
      <c r="T19" s="121"/>
      <c r="U19" s="121"/>
      <c r="V19" s="121"/>
      <c r="X19" s="121"/>
      <c r="Y19" s="121"/>
      <c r="Z19" s="121"/>
      <c r="AA19" s="121"/>
      <c r="AB19" s="121"/>
    </row>
    <row r="20" spans="1:28" x14ac:dyDescent="0.35">
      <c r="A20" s="134" t="s">
        <v>204</v>
      </c>
      <c r="B20" s="119">
        <v>10500000</v>
      </c>
      <c r="C20" s="37" t="str" cm="1">
        <f t="array" aca="1" ref="C20" ca="1">_xlfn.TEXTJOIN(",",TRUE,IF(MID(A20,ROW(INDIRECT("2:"&amp;LEN(A20))),1)&lt;&gt;"0",MID(A20,ROW(INDIRECT("2:"&amp;LEN(A20))),1)&amp;"x",""))</f>
        <v>3x,5x</v>
      </c>
    </row>
    <row r="21" spans="1:28" x14ac:dyDescent="0.35">
      <c r="A21" s="138" t="s">
        <v>205</v>
      </c>
      <c r="B21" s="119">
        <v>49000000</v>
      </c>
      <c r="C21" s="37" t="str" cm="1">
        <f t="array" aca="1" ref="C21" ca="1">_xlfn.TEXTJOIN(",",TRUE,IF(MID(A21,ROW(INDIRECT("2:"&amp;LEN(A21))),1)&lt;&gt;"0",MID(A21,ROW(INDIRECT("2:"&amp;LEN(A21))),1)&amp;"x",""))</f>
        <v>2x,5x</v>
      </c>
      <c r="E21" s="121"/>
      <c r="F21" s="121"/>
      <c r="G21" s="125"/>
      <c r="H21" s="121"/>
      <c r="I21" s="121"/>
      <c r="K21" s="121"/>
      <c r="L21" s="121"/>
      <c r="M21" s="121"/>
      <c r="N21" s="121"/>
      <c r="O21" s="121"/>
    </row>
    <row r="22" spans="1:28" x14ac:dyDescent="0.35">
      <c r="A22" s="140" t="s">
        <v>206</v>
      </c>
      <c r="B22" s="119">
        <v>61250000</v>
      </c>
      <c r="C22" s="37" t="str" cm="1">
        <f t="array" aca="1" ref="C22" ca="1">_xlfn.TEXTJOIN(",",TRUE,IF(MID(A22,ROW(INDIRECT("2:"&amp;LEN(A22))),1)&lt;&gt;"0",MID(A22,ROW(INDIRECT("2:"&amp;LEN(A22))),1)&amp;"x",""))</f>
        <v>2x,2x</v>
      </c>
      <c r="E22" s="121"/>
      <c r="F22" s="125"/>
      <c r="G22" s="121"/>
      <c r="H22" s="121"/>
      <c r="I22" s="121"/>
      <c r="K22" s="121"/>
      <c r="L22" s="135"/>
      <c r="M22" s="121"/>
      <c r="N22" s="121"/>
      <c r="O22" s="121"/>
    </row>
    <row r="23" spans="1:28" x14ac:dyDescent="0.35">
      <c r="A23" s="142" t="s">
        <v>207</v>
      </c>
      <c r="B23" s="119">
        <v>700000</v>
      </c>
      <c r="C23" s="37" t="str" cm="1">
        <f t="array" aca="1" ref="C23" ca="1">_xlfn.TEXTJOIN(",",TRUE,IF(MID(A23,ROW(INDIRECT("2:"&amp;LEN(A23))),1)&lt;&gt;"0",MID(A23,ROW(INDIRECT("2:"&amp;LEN(A23))),1)&amp;"x",""))</f>
        <v>3x,4x</v>
      </c>
      <c r="E23" s="121"/>
      <c r="F23" s="121"/>
      <c r="G23" s="121"/>
      <c r="H23" s="121"/>
      <c r="I23" s="121"/>
      <c r="K23" s="121"/>
      <c r="L23" s="135"/>
      <c r="M23" s="121"/>
      <c r="N23" s="121"/>
      <c r="O23" s="121"/>
    </row>
    <row r="24" spans="1:28" x14ac:dyDescent="0.35">
      <c r="A24" s="123" t="s">
        <v>208</v>
      </c>
      <c r="B24" s="119">
        <v>120000</v>
      </c>
      <c r="C24" s="37" t="str" cm="1">
        <f t="array" aca="1" ref="C24" ca="1">_xlfn.TEXTJOIN(",",TRUE,IF(MID(A24,ROW(INDIRECT("2:"&amp;LEN(A24))),1)&lt;&gt;"0",MID(A24,ROW(INDIRECT("2:"&amp;LEN(A24))),1)&amp;"x",""))</f>
        <v>2x,2x,3x</v>
      </c>
    </row>
    <row r="25" spans="1:28" x14ac:dyDescent="0.35">
      <c r="A25" s="124" t="s">
        <v>209</v>
      </c>
      <c r="B25" s="119">
        <v>100000</v>
      </c>
      <c r="C25" s="37" t="str" cm="1">
        <f t="array" aca="1" ref="C25" ca="1">_xlfn.TEXTJOIN(",",TRUE,IF(MID(A25,ROW(INDIRECT("2:"&amp;LEN(A25))),1)&lt;&gt;"0",MID(A25,ROW(INDIRECT("2:"&amp;LEN(A25))),1)&amp;"x",""))</f>
        <v>4x,3x,5x</v>
      </c>
      <c r="E25" s="121"/>
      <c r="F25" s="121"/>
      <c r="G25" s="121"/>
      <c r="H25" s="126"/>
      <c r="I25" s="121"/>
      <c r="K25" s="121"/>
      <c r="L25" s="117"/>
      <c r="M25" s="121"/>
      <c r="N25" s="121"/>
      <c r="O25" s="121"/>
    </row>
    <row r="26" spans="1:28" x14ac:dyDescent="0.35">
      <c r="A26" s="127" t="s">
        <v>210</v>
      </c>
      <c r="B26" s="119">
        <v>180000</v>
      </c>
      <c r="C26" s="37" t="str" cm="1">
        <f t="array" aca="1" ref="C26" ca="1">_xlfn.TEXTJOIN(",",TRUE,IF(MID(A26,ROW(INDIRECT("2:"&amp;LEN(A26))),1)&lt;&gt;"0",MID(A26,ROW(INDIRECT("2:"&amp;LEN(A26))),1)&amp;"x",""))</f>
        <v>2x,3x,2x</v>
      </c>
      <c r="E26" s="121"/>
      <c r="F26" s="121"/>
      <c r="G26" s="121"/>
      <c r="H26" s="126"/>
      <c r="I26" s="121"/>
      <c r="K26" s="121"/>
      <c r="L26" s="121"/>
      <c r="M26" s="121"/>
      <c r="N26" s="121"/>
      <c r="O26" s="121"/>
    </row>
    <row r="27" spans="1:28" x14ac:dyDescent="0.35">
      <c r="A27" s="129" t="s">
        <v>211</v>
      </c>
      <c r="B27" s="119">
        <v>100000</v>
      </c>
      <c r="C27" s="37" t="str" cm="1">
        <f t="array" aca="1" ref="C27" ca="1">_xlfn.TEXTJOIN(",",TRUE,IF(MID(A27,ROW(INDIRECT("2:"&amp;LEN(A27))),1)&lt;&gt;"0",MID(A27,ROW(INDIRECT("2:"&amp;LEN(A27))),1)&amp;"x",""))</f>
        <v>2x,3x,5x</v>
      </c>
      <c r="E27" s="121"/>
      <c r="F27" s="121"/>
      <c r="G27" s="121"/>
      <c r="H27" s="121"/>
      <c r="I27" s="121"/>
      <c r="K27" s="121"/>
      <c r="L27" s="117"/>
      <c r="M27" s="121"/>
      <c r="N27" s="121"/>
      <c r="O27" s="121"/>
    </row>
    <row r="28" spans="1:28" x14ac:dyDescent="0.35">
      <c r="A28" s="131" t="s">
        <v>212</v>
      </c>
      <c r="B28" s="119">
        <v>150000</v>
      </c>
      <c r="C28" s="37" t="str" cm="1">
        <f t="array" aca="1" ref="C28" ca="1">_xlfn.TEXTJOIN(",",TRUE,IF(MID(A28,ROW(INDIRECT("2:"&amp;LEN(A28))),1)&lt;&gt;"0",MID(A28,ROW(INDIRECT("2:"&amp;LEN(A28))),1)&amp;"x",""))</f>
        <v>2x,4x,3x</v>
      </c>
    </row>
    <row r="29" spans="1:28" x14ac:dyDescent="0.35">
      <c r="A29" s="133" t="s">
        <v>213</v>
      </c>
      <c r="B29" s="119">
        <v>100000</v>
      </c>
      <c r="C29" s="37" t="str" cm="1">
        <f t="array" aca="1" ref="C29" ca="1">_xlfn.TEXTJOIN(",",TRUE,IF(MID(A29,ROW(INDIRECT("2:"&amp;LEN(A29))),1)&lt;&gt;"0",MID(A29,ROW(INDIRECT("2:"&amp;LEN(A29))),1)&amp;"x",""))</f>
        <v>2x,5x,3x</v>
      </c>
      <c r="E29" s="121"/>
      <c r="F29" s="121"/>
      <c r="G29" s="121"/>
      <c r="H29" s="121"/>
      <c r="I29" s="121"/>
      <c r="K29" s="121"/>
      <c r="L29" s="121"/>
      <c r="M29" s="121"/>
      <c r="N29" s="121"/>
      <c r="O29" s="121"/>
    </row>
    <row r="30" spans="1:28" x14ac:dyDescent="0.35">
      <c r="A30" s="134" t="s">
        <v>214</v>
      </c>
      <c r="B30" s="119">
        <v>200000</v>
      </c>
      <c r="C30" s="37" t="str" cm="1">
        <f t="array" aca="1" ref="C30" ca="1">_xlfn.TEXTJOIN(",",TRUE,IF(MID(A30,ROW(INDIRECT("2:"&amp;LEN(A30))),1)&lt;&gt;"0",MID(A30,ROW(INDIRECT("2:"&amp;LEN(A30))),1)&amp;"x",""))</f>
        <v>2x,3x,2x</v>
      </c>
      <c r="E30" s="121"/>
      <c r="F30" s="128"/>
      <c r="G30" s="121"/>
      <c r="H30" s="128"/>
      <c r="I30" s="121"/>
      <c r="K30" s="121"/>
      <c r="L30" s="121"/>
      <c r="M30" s="139"/>
      <c r="N30" s="139"/>
      <c r="O30" s="121"/>
    </row>
    <row r="31" spans="1:28" x14ac:dyDescent="0.35">
      <c r="A31" s="138" t="s">
        <v>215</v>
      </c>
      <c r="B31" s="119">
        <v>100000</v>
      </c>
      <c r="C31" s="37" t="str" cm="1">
        <f t="array" aca="1" ref="C31" ca="1">_xlfn.TEXTJOIN(",",TRUE,IF(MID(A31,ROW(INDIRECT("2:"&amp;LEN(A31))),1)&lt;&gt;"0",MID(A31,ROW(INDIRECT("2:"&amp;LEN(A31))),1)&amp;"x",""))</f>
        <v>2x,3x,5x</v>
      </c>
      <c r="E31" s="121"/>
      <c r="F31" s="121"/>
      <c r="G31" s="121"/>
      <c r="H31" s="121"/>
      <c r="I31" s="121"/>
      <c r="K31" s="121"/>
      <c r="L31" s="121"/>
      <c r="M31" s="121"/>
      <c r="N31" s="121"/>
      <c r="O31" s="121"/>
    </row>
    <row r="32" spans="1:28" x14ac:dyDescent="0.35">
      <c r="A32" s="140" t="s">
        <v>216</v>
      </c>
      <c r="B32" s="119">
        <v>100000</v>
      </c>
      <c r="C32" s="37" t="str" cm="1">
        <f t="array" aca="1" ref="C32" ca="1">_xlfn.TEXTJOIN(",",TRUE,IF(MID(A32,ROW(INDIRECT("2:"&amp;LEN(A32))),1)&lt;&gt;"0",MID(A32,ROW(INDIRECT("2:"&amp;LEN(A32))),1)&amp;"x",""))</f>
        <v>4x,3x,5x</v>
      </c>
    </row>
    <row r="33" spans="1:15" x14ac:dyDescent="0.35">
      <c r="A33" s="142" t="s">
        <v>217</v>
      </c>
      <c r="B33" s="119">
        <v>100000</v>
      </c>
      <c r="C33" s="37" t="str" cm="1">
        <f t="array" aca="1" ref="C33" ca="1">_xlfn.TEXTJOIN(",",TRUE,IF(MID(A33,ROW(INDIRECT("2:"&amp;LEN(A33))),1)&lt;&gt;"0",MID(A33,ROW(INDIRECT("2:"&amp;LEN(A33))),1)&amp;"x",""))</f>
        <v>2x,3x,5x</v>
      </c>
      <c r="E33" s="121"/>
      <c r="F33" s="121"/>
      <c r="G33" s="121"/>
      <c r="H33" s="121"/>
      <c r="I33" s="130"/>
      <c r="K33" s="121"/>
      <c r="L33" s="121"/>
      <c r="M33" s="121"/>
      <c r="N33" s="141"/>
      <c r="O33" s="121"/>
    </row>
    <row r="34" spans="1:15" x14ac:dyDescent="0.35">
      <c r="E34" s="121"/>
      <c r="F34" s="121"/>
      <c r="G34" s="130"/>
      <c r="H34" s="121"/>
      <c r="I34" s="121"/>
      <c r="K34" s="121"/>
      <c r="L34" s="141"/>
      <c r="M34" s="121"/>
      <c r="N34" s="121"/>
      <c r="O34" s="121"/>
    </row>
    <row r="35" spans="1:15" x14ac:dyDescent="0.35">
      <c r="E35" s="121"/>
      <c r="F35" s="121"/>
      <c r="G35" s="121"/>
      <c r="H35" s="121"/>
      <c r="I35" s="121"/>
      <c r="K35" s="121"/>
      <c r="L35" s="121"/>
      <c r="M35" s="121"/>
      <c r="N35" s="121"/>
      <c r="O35" s="121"/>
    </row>
    <row r="36" spans="1:15" x14ac:dyDescent="0.35">
      <c r="C36" t="e" cm="1">
        <f t="array" ref="C36:D39">TEXT('[1]Bonus Inputs'!$D$107:$E$110+'[1]Bonus Inputs'!$D$107:$E$110+HaS!T36Game-PLINK1,TRUE)</f>
        <v>#VALUE!</v>
      </c>
      <c r="D36" t="e">
        <v>#NAME?</v>
      </c>
    </row>
    <row r="37" spans="1:15" x14ac:dyDescent="0.35">
      <c r="C37" t="e">
        <v>#VALUE!</v>
      </c>
      <c r="D37" t="e">
        <v>#VALUE!</v>
      </c>
    </row>
    <row r="38" spans="1:15" x14ac:dyDescent="0.35">
      <c r="C38" t="e">
        <v>#VALUE!</v>
      </c>
      <c r="D38" t="e">
        <v>#NAME?</v>
      </c>
    </row>
    <row r="39" spans="1:15" x14ac:dyDescent="0.35">
      <c r="C39" t="e">
        <v>#VALUE!</v>
      </c>
      <c r="D39" t="e">
        <v>#NAME?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6B339-DB58-4D74-82F7-1482399AFD80}">
  <sheetPr codeName="Sheet6"/>
  <dimension ref="A1:P36"/>
  <sheetViews>
    <sheetView tabSelected="1" workbookViewId="0">
      <selection activeCell="G20" sqref="G20:G23"/>
    </sheetView>
  </sheetViews>
  <sheetFormatPr defaultColWidth="9.1796875" defaultRowHeight="12.5" x14ac:dyDescent="0.25"/>
  <cols>
    <col min="1" max="1" width="50.7265625" style="1" bestFit="1" customWidth="1"/>
    <col min="2" max="2" width="6" style="1" bestFit="1" customWidth="1"/>
    <col min="3" max="3" width="9" style="1" bestFit="1" customWidth="1"/>
    <col min="4" max="4" width="4.7265625" style="1" customWidth="1"/>
    <col min="5" max="5" width="8.54296875" style="1" bestFit="1" customWidth="1"/>
    <col min="6" max="6" width="4.7265625" style="1" customWidth="1"/>
    <col min="7" max="7" width="6" style="1" bestFit="1" customWidth="1"/>
    <col min="8" max="8" width="4.7265625" style="1" customWidth="1"/>
    <col min="9" max="9" width="13.54296875" style="1" bestFit="1" customWidth="1"/>
    <col min="10" max="10" width="14.453125" style="1" bestFit="1" customWidth="1"/>
    <col min="11" max="14" width="9.1796875" style="1"/>
    <col min="15" max="15" width="9.54296875" style="1" customWidth="1"/>
    <col min="16" max="16384" width="9.1796875" style="1"/>
  </cols>
  <sheetData>
    <row r="1" spans="1:16" ht="13" x14ac:dyDescent="0.3">
      <c r="A1" s="16"/>
    </row>
    <row r="2" spans="1:16" ht="14.5" x14ac:dyDescent="0.25">
      <c r="A2" s="2" t="s">
        <v>4</v>
      </c>
      <c r="B2" s="1">
        <v>19630</v>
      </c>
    </row>
    <row r="3" spans="1:16" ht="13" thickBot="1" x14ac:dyDescent="0.3"/>
    <row r="4" spans="1:16" ht="13" x14ac:dyDescent="0.3">
      <c r="C4" s="3" t="s">
        <v>5</v>
      </c>
      <c r="D4" s="4"/>
      <c r="E4" s="5">
        <v>1</v>
      </c>
      <c r="F4" s="5"/>
      <c r="G4" s="5">
        <v>2</v>
      </c>
      <c r="H4" s="5"/>
      <c r="I4" s="6">
        <v>3</v>
      </c>
    </row>
    <row r="5" spans="1:16" ht="13.5" thickBot="1" x14ac:dyDescent="0.35">
      <c r="A5" s="1" t="s">
        <v>6</v>
      </c>
      <c r="C5" s="7">
        <v>1</v>
      </c>
      <c r="D5" s="25"/>
      <c r="E5" s="26" t="s">
        <v>7</v>
      </c>
      <c r="F5" s="25"/>
      <c r="G5" s="26" t="s">
        <v>8</v>
      </c>
      <c r="H5" s="25"/>
      <c r="I5" s="8" t="s">
        <v>9</v>
      </c>
      <c r="M5" s="9"/>
      <c r="N5" s="9"/>
      <c r="O5" s="9"/>
      <c r="P5" s="9"/>
    </row>
    <row r="6" spans="1:16" ht="12.75" customHeight="1" x14ac:dyDescent="0.35">
      <c r="B6" s="1">
        <v>0</v>
      </c>
      <c r="C6" s="32" t="str">
        <f t="shared" ref="C6:C18" si="0">IF($C$5=1,E6,IF($C$5=2,G6,I6))</f>
        <v>_TOP_1_</v>
      </c>
      <c r="D6" s="28"/>
      <c r="E6" s="33" t="s">
        <v>29</v>
      </c>
      <c r="F6" s="29"/>
      <c r="G6" s="33">
        <v>1</v>
      </c>
      <c r="H6" s="29"/>
      <c r="I6" s="34"/>
    </row>
    <row r="7" spans="1:16" ht="12.75" customHeight="1" x14ac:dyDescent="0.25">
      <c r="B7" s="1">
        <v>1</v>
      </c>
      <c r="C7" s="27" t="str">
        <f t="shared" si="0"/>
        <v>_HIG_1_</v>
      </c>
      <c r="D7" s="52"/>
      <c r="E7" s="22" t="s">
        <v>10</v>
      </c>
      <c r="F7" s="52"/>
      <c r="G7" s="22">
        <v>2</v>
      </c>
      <c r="H7" s="53"/>
      <c r="I7" s="30"/>
    </row>
    <row r="8" spans="1:16" ht="12.75" customHeight="1" x14ac:dyDescent="0.25">
      <c r="B8" s="1">
        <v>2</v>
      </c>
      <c r="C8" s="27" t="str">
        <f t="shared" si="0"/>
        <v>_HIG_2_</v>
      </c>
      <c r="D8" s="52"/>
      <c r="E8" s="22" t="s">
        <v>11</v>
      </c>
      <c r="F8" s="52"/>
      <c r="G8" s="22">
        <v>3</v>
      </c>
      <c r="H8" s="53"/>
      <c r="I8" s="30"/>
    </row>
    <row r="9" spans="1:16" ht="12.75" customHeight="1" x14ac:dyDescent="0.25">
      <c r="B9" s="1">
        <v>3</v>
      </c>
      <c r="C9" s="27" t="str">
        <f t="shared" si="0"/>
        <v>_HIG_3_</v>
      </c>
      <c r="D9" s="52"/>
      <c r="E9" s="22" t="s">
        <v>27</v>
      </c>
      <c r="F9" s="52"/>
      <c r="G9" s="22">
        <v>4</v>
      </c>
      <c r="H9" s="53"/>
      <c r="I9" s="30"/>
    </row>
    <row r="10" spans="1:16" ht="12.75" customHeight="1" x14ac:dyDescent="0.25">
      <c r="B10" s="1">
        <v>4</v>
      </c>
      <c r="C10" s="27" t="str">
        <f>IF($C$5=1,E10,IF($C$5=2,G10,I10))</f>
        <v>_low_1_</v>
      </c>
      <c r="D10" s="52"/>
      <c r="E10" s="22" t="s">
        <v>12</v>
      </c>
      <c r="F10" s="52"/>
      <c r="G10" s="22">
        <v>5</v>
      </c>
      <c r="H10" s="53"/>
      <c r="I10" s="30"/>
    </row>
    <row r="11" spans="1:16" ht="12.75" customHeight="1" x14ac:dyDescent="0.25">
      <c r="B11" s="1">
        <v>5</v>
      </c>
      <c r="C11" s="27" t="str">
        <f t="shared" si="0"/>
        <v>_low_2_</v>
      </c>
      <c r="D11" s="52"/>
      <c r="E11" s="22" t="s">
        <v>13</v>
      </c>
      <c r="F11" s="52"/>
      <c r="G11" s="22">
        <v>6</v>
      </c>
      <c r="H11" s="53"/>
      <c r="I11" s="30"/>
    </row>
    <row r="12" spans="1:16" ht="12.75" customHeight="1" x14ac:dyDescent="0.25">
      <c r="B12" s="1">
        <v>6</v>
      </c>
      <c r="C12" s="27" t="str">
        <f t="shared" si="0"/>
        <v>_low_3_</v>
      </c>
      <c r="D12" s="52"/>
      <c r="E12" s="22" t="s">
        <v>14</v>
      </c>
      <c r="F12" s="52"/>
      <c r="G12" s="22">
        <v>7</v>
      </c>
      <c r="H12" s="53"/>
      <c r="I12" s="30"/>
    </row>
    <row r="13" spans="1:16" ht="12.75" customHeight="1" x14ac:dyDescent="0.25">
      <c r="B13" s="1">
        <v>7</v>
      </c>
      <c r="C13" s="27" t="str">
        <f t="shared" si="0"/>
        <v>_low_4_</v>
      </c>
      <c r="D13" s="52"/>
      <c r="E13" s="22" t="s">
        <v>15</v>
      </c>
      <c r="F13" s="52"/>
      <c r="G13" s="22">
        <v>8</v>
      </c>
      <c r="H13" s="53"/>
      <c r="I13" s="30"/>
    </row>
    <row r="14" spans="1:16" ht="12.75" customHeight="1" x14ac:dyDescent="0.25">
      <c r="B14" s="1">
        <v>8</v>
      </c>
      <c r="C14" s="27" t="str">
        <f t="shared" si="0"/>
        <v>_low_5_</v>
      </c>
      <c r="D14" s="52"/>
      <c r="E14" s="22" t="s">
        <v>16</v>
      </c>
      <c r="F14" s="53"/>
      <c r="G14" s="22">
        <v>9</v>
      </c>
      <c r="H14" s="53"/>
      <c r="I14" s="30"/>
    </row>
    <row r="15" spans="1:16" ht="12.75" customHeight="1" x14ac:dyDescent="0.3">
      <c r="B15" s="1">
        <v>9</v>
      </c>
      <c r="C15" s="27" t="str">
        <f t="shared" si="0"/>
        <v>_JOK_1_</v>
      </c>
      <c r="D15" s="52"/>
      <c r="E15" s="22" t="s">
        <v>25</v>
      </c>
      <c r="F15" s="53"/>
      <c r="G15" s="22">
        <v>10</v>
      </c>
      <c r="H15" s="53"/>
      <c r="I15" s="30"/>
      <c r="J15" s="11"/>
      <c r="M15" s="12"/>
    </row>
    <row r="16" spans="1:16" ht="12.75" customHeight="1" x14ac:dyDescent="0.35">
      <c r="B16" s="1">
        <v>10</v>
      </c>
      <c r="C16" s="31" t="str">
        <f t="shared" si="0"/>
        <v>_SCA_1_</v>
      </c>
      <c r="E16" s="22" t="s">
        <v>28</v>
      </c>
      <c r="F16"/>
      <c r="G16" s="22">
        <v>11</v>
      </c>
      <c r="H16" s="53"/>
      <c r="I16" s="30"/>
      <c r="M16" s="13"/>
      <c r="N16" s="13"/>
      <c r="O16" s="14"/>
    </row>
    <row r="17" spans="2:15" ht="12.75" customHeight="1" x14ac:dyDescent="0.35">
      <c r="B17" s="1">
        <v>11</v>
      </c>
      <c r="C17" s="31" t="str">
        <f t="shared" si="0"/>
        <v>_COI_1_</v>
      </c>
      <c r="E17" s="1" t="s">
        <v>35</v>
      </c>
      <c r="F17"/>
      <c r="G17" s="22">
        <v>12</v>
      </c>
      <c r="H17" s="53"/>
      <c r="I17" s="30"/>
      <c r="M17" s="13"/>
      <c r="N17" s="13"/>
      <c r="O17" s="14"/>
    </row>
    <row r="18" spans="2:15" x14ac:dyDescent="0.25">
      <c r="B18" s="1">
        <v>12</v>
      </c>
      <c r="C18" s="31" t="str">
        <f t="shared" si="0"/>
        <v>_COI_1_gray</v>
      </c>
      <c r="E18" s="1" t="s">
        <v>38</v>
      </c>
      <c r="G18" s="164">
        <v>13</v>
      </c>
      <c r="I18" s="85"/>
    </row>
    <row r="19" spans="2:15" ht="13" thickBot="1" x14ac:dyDescent="0.3">
      <c r="B19" s="1">
        <v>13</v>
      </c>
      <c r="C19" s="86" t="s">
        <v>50</v>
      </c>
      <c r="D19" s="15"/>
      <c r="E19" s="15" t="s">
        <v>50</v>
      </c>
      <c r="F19" s="15"/>
      <c r="G19" s="165">
        <v>14</v>
      </c>
      <c r="H19" s="15"/>
      <c r="I19" s="24"/>
    </row>
    <row r="20" spans="2:15" x14ac:dyDescent="0.25">
      <c r="B20" s="1">
        <v>14</v>
      </c>
      <c r="C20" s="44" t="s">
        <v>241</v>
      </c>
      <c r="E20" s="44" t="s">
        <v>241</v>
      </c>
      <c r="G20" s="164">
        <v>15</v>
      </c>
    </row>
    <row r="21" spans="2:15" ht="13" thickBot="1" x14ac:dyDescent="0.3">
      <c r="B21" s="1">
        <v>15</v>
      </c>
      <c r="C21" s="44" t="s">
        <v>242</v>
      </c>
      <c r="E21" s="44" t="s">
        <v>242</v>
      </c>
      <c r="G21" s="165">
        <v>16</v>
      </c>
    </row>
    <row r="22" spans="2:15" x14ac:dyDescent="0.25">
      <c r="B22" s="1">
        <v>16</v>
      </c>
      <c r="C22" s="44" t="s">
        <v>243</v>
      </c>
      <c r="E22" s="44" t="s">
        <v>243</v>
      </c>
      <c r="G22" s="164">
        <v>17</v>
      </c>
    </row>
    <row r="23" spans="2:15" ht="13" thickBot="1" x14ac:dyDescent="0.3">
      <c r="B23" s="1">
        <v>17</v>
      </c>
      <c r="C23" s="44" t="s">
        <v>244</v>
      </c>
      <c r="E23" s="44" t="s">
        <v>244</v>
      </c>
      <c r="G23" s="165">
        <v>18</v>
      </c>
    </row>
    <row r="24" spans="2:15" x14ac:dyDescent="0.25">
      <c r="B24" s="1">
        <v>18</v>
      </c>
    </row>
    <row r="25" spans="2:15" x14ac:dyDescent="0.25">
      <c r="B25" s="1">
        <v>19</v>
      </c>
    </row>
    <row r="26" spans="2:15" x14ac:dyDescent="0.25">
      <c r="B26" s="1">
        <v>20</v>
      </c>
    </row>
    <row r="27" spans="2:15" x14ac:dyDescent="0.25">
      <c r="B27" s="1">
        <v>21</v>
      </c>
    </row>
    <row r="28" spans="2:15" x14ac:dyDescent="0.25">
      <c r="B28" s="1">
        <v>22</v>
      </c>
    </row>
    <row r="29" spans="2:15" x14ac:dyDescent="0.25">
      <c r="B29" s="1">
        <v>23</v>
      </c>
    </row>
    <row r="30" spans="2:15" x14ac:dyDescent="0.25">
      <c r="B30" s="1">
        <v>24</v>
      </c>
    </row>
    <row r="31" spans="2:15" x14ac:dyDescent="0.25">
      <c r="B31" s="1">
        <v>25</v>
      </c>
    </row>
    <row r="32" spans="2:15" x14ac:dyDescent="0.25">
      <c r="B32" s="1">
        <v>26</v>
      </c>
    </row>
    <row r="33" spans="2:2" x14ac:dyDescent="0.25">
      <c r="B33" s="1">
        <v>27</v>
      </c>
    </row>
    <row r="34" spans="2:2" x14ac:dyDescent="0.25">
      <c r="B34" s="1">
        <v>28</v>
      </c>
    </row>
    <row r="35" spans="2:2" x14ac:dyDescent="0.25">
      <c r="B35" s="1">
        <v>29</v>
      </c>
    </row>
    <row r="36" spans="2:2" x14ac:dyDescent="0.25">
      <c r="B36" s="1">
        <v>30</v>
      </c>
    </row>
  </sheetData>
  <conditionalFormatting sqref="C6:C19">
    <cfRule type="containsText" dxfId="77" priority="35" operator="containsText" text="mid">
      <formula>NOT(ISERROR(SEARCH("mid",C6)))</formula>
    </cfRule>
    <cfRule type="containsText" dxfId="76" priority="53" operator="containsText" text="act_2">
      <formula>NOT(ISERROR(SEARCH("act_2",C6)))</formula>
    </cfRule>
    <cfRule type="containsText" dxfId="75" priority="54" operator="containsText" text="act_1">
      <formula>NOT(ISERROR(SEARCH("act_1",C6)))</formula>
    </cfRule>
    <cfRule type="containsText" dxfId="74" priority="55" operator="containsText" text="low">
      <formula>NOT(ISERROR(SEARCH("low",C6)))</formula>
    </cfRule>
    <cfRule type="containsText" dxfId="73" priority="56" operator="containsText" text="hig">
      <formula>NOT(ISERROR(SEARCH("hig",C6)))</formula>
    </cfRule>
    <cfRule type="containsText" dxfId="72" priority="57" operator="containsText" text="top">
      <formula>NOT(ISERROR(SEARCH("top",C6)))</formula>
    </cfRule>
    <cfRule type="containsText" dxfId="71" priority="62" operator="containsText" text="coin">
      <formula>NOT(ISERROR(SEARCH("coin",C6)))</formula>
    </cfRule>
  </conditionalFormatting>
  <conditionalFormatting sqref="E18:E19">
    <cfRule type="containsText" dxfId="70" priority="29" operator="containsText" text="coin">
      <formula>NOT(ISERROR(SEARCH("coin",E18)))</formula>
    </cfRule>
    <cfRule type="containsText" dxfId="69" priority="30" operator="containsText" text="top">
      <formula>NOT(ISERROR(SEARCH("top",E18)))</formula>
    </cfRule>
    <cfRule type="containsText" dxfId="68" priority="31" operator="containsText" text="hig">
      <formula>NOT(ISERROR(SEARCH("hig",E18)))</formula>
    </cfRule>
    <cfRule type="containsText" dxfId="67" priority="32" operator="containsText" text="low">
      <formula>NOT(ISERROR(SEARCH("low",E18)))</formula>
    </cfRule>
    <cfRule type="containsText" dxfId="66" priority="33" operator="containsText" text="act_1">
      <formula>NOT(ISERROR(SEARCH("act_1",E18)))</formula>
    </cfRule>
    <cfRule type="containsText" dxfId="65" priority="34" operator="containsText" text="act_2">
      <formula>NOT(ISERROR(SEARCH("act_2",E18)))</formula>
    </cfRule>
    <cfRule type="containsText" dxfId="64" priority="36" operator="containsText" text="mid">
      <formula>NOT(ISERROR(SEARCH("mid",E18)))</formula>
    </cfRule>
  </conditionalFormatting>
  <conditionalFormatting sqref="E6:E17">
    <cfRule type="containsText" dxfId="63" priority="15" operator="containsText" text="coin">
      <formula>NOT(ISERROR(SEARCH("coin",E6)))</formula>
    </cfRule>
    <cfRule type="containsText" dxfId="62" priority="16" operator="containsText" text="top">
      <formula>NOT(ISERROR(SEARCH("top",E6)))</formula>
    </cfRule>
    <cfRule type="containsText" dxfId="61" priority="17" operator="containsText" text="hig">
      <formula>NOT(ISERROR(SEARCH("hig",E6)))</formula>
    </cfRule>
    <cfRule type="containsText" dxfId="60" priority="18" operator="containsText" text="low">
      <formula>NOT(ISERROR(SEARCH("low",E6)))</formula>
    </cfRule>
    <cfRule type="containsText" dxfId="59" priority="19" operator="containsText" text="act_1">
      <formula>NOT(ISERROR(SEARCH("act_1",E6)))</formula>
    </cfRule>
    <cfRule type="containsText" dxfId="58" priority="20" operator="containsText" text="act_2">
      <formula>NOT(ISERROR(SEARCH("act_2",E6)))</formula>
    </cfRule>
    <cfRule type="containsText" dxfId="57" priority="21" operator="containsText" text="mid">
      <formula>NOT(ISERROR(SEARCH("mid",E6)))</formula>
    </cfRule>
  </conditionalFormatting>
  <conditionalFormatting sqref="C20:C23">
    <cfRule type="containsText" dxfId="56" priority="8" operator="containsText" text="mid">
      <formula>NOT(ISERROR(SEARCH("mid",C20)))</formula>
    </cfRule>
    <cfRule type="containsText" dxfId="55" priority="9" operator="containsText" text="act_2">
      <formula>NOT(ISERROR(SEARCH("act_2",C20)))</formula>
    </cfRule>
    <cfRule type="containsText" dxfId="54" priority="10" operator="containsText" text="act_1">
      <formula>NOT(ISERROR(SEARCH("act_1",C20)))</formula>
    </cfRule>
    <cfRule type="containsText" dxfId="53" priority="11" operator="containsText" text="low">
      <formula>NOT(ISERROR(SEARCH("low",C20)))</formula>
    </cfRule>
    <cfRule type="containsText" dxfId="52" priority="12" operator="containsText" text="hig">
      <formula>NOT(ISERROR(SEARCH("hig",C20)))</formula>
    </cfRule>
    <cfRule type="containsText" dxfId="51" priority="13" operator="containsText" text="top">
      <formula>NOT(ISERROR(SEARCH("top",C20)))</formula>
    </cfRule>
    <cfRule type="containsText" dxfId="50" priority="14" operator="containsText" text="coin">
      <formula>NOT(ISERROR(SEARCH("coin",C20)))</formula>
    </cfRule>
  </conditionalFormatting>
  <conditionalFormatting sqref="E20:E23">
    <cfRule type="containsText" dxfId="49" priority="1" operator="containsText" text="mid">
      <formula>NOT(ISERROR(SEARCH("mid",E20)))</formula>
    </cfRule>
    <cfRule type="containsText" dxfId="48" priority="2" operator="containsText" text="act_2">
      <formula>NOT(ISERROR(SEARCH("act_2",E20)))</formula>
    </cfRule>
    <cfRule type="containsText" dxfId="47" priority="3" operator="containsText" text="act_1">
      <formula>NOT(ISERROR(SEARCH("act_1",E20)))</formula>
    </cfRule>
    <cfRule type="containsText" dxfId="46" priority="4" operator="containsText" text="low">
      <formula>NOT(ISERROR(SEARCH("low",E20)))</formula>
    </cfRule>
    <cfRule type="containsText" dxfId="45" priority="5" operator="containsText" text="hig">
      <formula>NOT(ISERROR(SEARCH("hig",E20)))</formula>
    </cfRule>
    <cfRule type="containsText" dxfId="44" priority="6" operator="containsText" text="top">
      <formula>NOT(ISERROR(SEARCH("top",E20)))</formula>
    </cfRule>
    <cfRule type="containsText" dxfId="43" priority="7" operator="containsText" text="coin">
      <formula>NOT(ISERROR(SEARCH("coin",E20)))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F32B9-F83D-4141-A57B-7B513822A747}">
  <sheetPr codeName="Sheet23"/>
  <dimension ref="A1:K53"/>
  <sheetViews>
    <sheetView workbookViewId="0">
      <selection activeCell="D14" sqref="D14"/>
    </sheetView>
  </sheetViews>
  <sheetFormatPr defaultColWidth="9.1796875" defaultRowHeight="12.5" x14ac:dyDescent="0.25"/>
  <cols>
    <col min="1" max="1" width="8.81640625" style="1" customWidth="1"/>
    <col min="2" max="2" width="9.1796875" style="1"/>
    <col min="3" max="3" width="8.54296875" style="1" bestFit="1" customWidth="1"/>
    <col min="4" max="5" width="5.54296875" style="1" bestFit="1" customWidth="1"/>
    <col min="6" max="6" width="4.453125" style="1" bestFit="1" customWidth="1"/>
    <col min="7" max="8" width="9.1796875" style="1"/>
    <col min="9" max="9" width="16.54296875" style="1" bestFit="1" customWidth="1"/>
    <col min="10" max="10" width="9.1796875" style="1"/>
    <col min="11" max="11" width="12.26953125" style="1" customWidth="1"/>
    <col min="12" max="16384" width="9.1796875" style="1"/>
  </cols>
  <sheetData>
    <row r="1" spans="1:11" ht="13" x14ac:dyDescent="0.3">
      <c r="A1" s="16"/>
    </row>
    <row r="5" spans="1:11" ht="13" x14ac:dyDescent="0.3">
      <c r="C5" s="17"/>
    </row>
    <row r="6" spans="1:11" ht="13" thickBot="1" x14ac:dyDescent="0.3"/>
    <row r="7" spans="1:11" ht="13" thickBot="1" x14ac:dyDescent="0.3">
      <c r="C7" s="3" t="s">
        <v>17</v>
      </c>
      <c r="D7" s="10">
        <v>5</v>
      </c>
      <c r="E7" s="10">
        <v>4</v>
      </c>
      <c r="F7" s="10">
        <v>3</v>
      </c>
      <c r="G7" s="20">
        <v>2</v>
      </c>
      <c r="I7" s="56" t="s">
        <v>41</v>
      </c>
      <c r="J7" s="9"/>
      <c r="K7" s="56" t="s">
        <v>40</v>
      </c>
    </row>
    <row r="8" spans="1:11" ht="15.5" x14ac:dyDescent="0.35">
      <c r="B8" s="58">
        <v>0</v>
      </c>
      <c r="C8" s="32" t="s">
        <v>25</v>
      </c>
      <c r="D8" s="36"/>
      <c r="E8" s="36"/>
      <c r="F8" s="36"/>
      <c r="G8" s="23"/>
      <c r="I8" s="44" t="s">
        <v>39</v>
      </c>
      <c r="J8" s="36"/>
      <c r="K8" s="44" t="s">
        <v>39</v>
      </c>
    </row>
    <row r="9" spans="1:11" ht="15.5" x14ac:dyDescent="0.35">
      <c r="B9" s="58">
        <v>1</v>
      </c>
      <c r="C9" s="27" t="s">
        <v>29</v>
      </c>
      <c r="D9" s="36"/>
      <c r="E9" s="36"/>
      <c r="F9" s="36"/>
      <c r="G9" s="21"/>
      <c r="I9" s="87" t="s">
        <v>50</v>
      </c>
      <c r="J9" s="36"/>
      <c r="K9" s="44"/>
    </row>
    <row r="10" spans="1:11" ht="15.5" x14ac:dyDescent="0.35">
      <c r="B10" s="58">
        <v>2</v>
      </c>
      <c r="C10" s="27" t="s">
        <v>10</v>
      </c>
      <c r="D10" s="1">
        <v>150</v>
      </c>
      <c r="E10" s="1">
        <v>50</v>
      </c>
      <c r="F10" s="13">
        <v>20</v>
      </c>
      <c r="G10" s="21"/>
      <c r="K10" s="54"/>
    </row>
    <row r="11" spans="1:11" ht="15.5" x14ac:dyDescent="0.35">
      <c r="B11" s="58">
        <v>3</v>
      </c>
      <c r="C11" s="27" t="s">
        <v>11</v>
      </c>
      <c r="D11" s="1">
        <v>125</v>
      </c>
      <c r="E11" s="1">
        <v>50</v>
      </c>
      <c r="F11" s="13">
        <v>20</v>
      </c>
      <c r="G11" s="21"/>
      <c r="I11" s="54"/>
      <c r="K11" s="54"/>
    </row>
    <row r="12" spans="1:11" ht="15.5" x14ac:dyDescent="0.35">
      <c r="B12" s="58">
        <v>4</v>
      </c>
      <c r="C12" s="27" t="s">
        <v>27</v>
      </c>
      <c r="D12" s="1">
        <v>100</v>
      </c>
      <c r="E12" s="1">
        <v>30</v>
      </c>
      <c r="F12" s="13">
        <v>15</v>
      </c>
      <c r="G12" s="21"/>
      <c r="I12" s="54"/>
      <c r="K12" s="54"/>
    </row>
    <row r="13" spans="1:11" ht="15.5" x14ac:dyDescent="0.35">
      <c r="B13" s="58">
        <v>5</v>
      </c>
      <c r="C13" s="27" t="s">
        <v>112</v>
      </c>
      <c r="D13" s="1">
        <v>100</v>
      </c>
      <c r="E13" s="1">
        <v>30</v>
      </c>
      <c r="F13" s="13">
        <v>15</v>
      </c>
      <c r="G13" s="21"/>
      <c r="I13" s="54"/>
      <c r="K13" s="54"/>
    </row>
    <row r="14" spans="1:11" ht="15.5" x14ac:dyDescent="0.35">
      <c r="B14" s="58">
        <v>6</v>
      </c>
      <c r="C14" s="27" t="s">
        <v>12</v>
      </c>
      <c r="D14" s="1">
        <v>75</v>
      </c>
      <c r="E14" s="1">
        <v>20</v>
      </c>
      <c r="F14" s="13">
        <v>10</v>
      </c>
      <c r="G14" s="21"/>
      <c r="I14" s="54"/>
      <c r="K14" s="54"/>
    </row>
    <row r="15" spans="1:11" ht="15.5" x14ac:dyDescent="0.35">
      <c r="B15" s="58">
        <v>7</v>
      </c>
      <c r="C15" s="27" t="s">
        <v>13</v>
      </c>
      <c r="D15" s="1">
        <v>75</v>
      </c>
      <c r="E15" s="1">
        <v>20</v>
      </c>
      <c r="F15" s="13">
        <v>10</v>
      </c>
      <c r="G15" s="21"/>
      <c r="I15" s="54"/>
      <c r="K15" s="54"/>
    </row>
    <row r="16" spans="1:11" ht="15.5" x14ac:dyDescent="0.35">
      <c r="B16" s="58">
        <v>8</v>
      </c>
      <c r="C16" s="27" t="s">
        <v>14</v>
      </c>
      <c r="D16" s="1">
        <v>50</v>
      </c>
      <c r="E16" s="1">
        <v>10</v>
      </c>
      <c r="F16" s="13">
        <v>5</v>
      </c>
      <c r="G16" s="21"/>
      <c r="I16" s="54"/>
      <c r="K16" s="54"/>
    </row>
    <row r="17" spans="2:11" ht="15.5" x14ac:dyDescent="0.35">
      <c r="B17" s="58">
        <v>9</v>
      </c>
      <c r="C17" s="27" t="s">
        <v>15</v>
      </c>
      <c r="D17" s="1">
        <v>50</v>
      </c>
      <c r="E17" s="1">
        <v>10</v>
      </c>
      <c r="F17" s="13">
        <v>5</v>
      </c>
      <c r="G17" s="21"/>
      <c r="I17" s="54"/>
      <c r="K17" s="54"/>
    </row>
    <row r="18" spans="2:11" ht="16" thickBot="1" x14ac:dyDescent="0.3">
      <c r="C18" s="27" t="s">
        <v>16</v>
      </c>
      <c r="D18" s="1">
        <v>50</v>
      </c>
      <c r="E18" s="1">
        <v>10</v>
      </c>
      <c r="F18" s="13">
        <v>5</v>
      </c>
      <c r="G18" s="24"/>
      <c r="I18" s="55"/>
      <c r="K18" s="55"/>
    </row>
    <row r="19" spans="2:11" x14ac:dyDescent="0.25">
      <c r="C19" s="44" t="s">
        <v>241</v>
      </c>
      <c r="D19" s="9"/>
      <c r="E19" s="9"/>
      <c r="F19" s="9"/>
      <c r="G19" s="9"/>
    </row>
    <row r="20" spans="2:11" ht="15.5" x14ac:dyDescent="0.25">
      <c r="C20" s="44" t="s">
        <v>242</v>
      </c>
      <c r="D20" s="13"/>
      <c r="E20" s="13"/>
      <c r="F20" s="13"/>
    </row>
    <row r="21" spans="2:11" ht="15.5" x14ac:dyDescent="0.25">
      <c r="C21" s="44" t="s">
        <v>243</v>
      </c>
      <c r="D21" s="13"/>
      <c r="E21" s="13"/>
      <c r="F21" s="13"/>
    </row>
    <row r="22" spans="2:11" ht="15.5" x14ac:dyDescent="0.25">
      <c r="C22" s="44" t="s">
        <v>244</v>
      </c>
      <c r="D22" s="13"/>
      <c r="E22" s="13"/>
      <c r="F22" s="13"/>
    </row>
    <row r="23" spans="2:11" ht="15.5" x14ac:dyDescent="0.25">
      <c r="D23" s="13"/>
      <c r="E23" s="13"/>
      <c r="F23" s="13"/>
    </row>
    <row r="24" spans="2:11" ht="15.5" x14ac:dyDescent="0.25">
      <c r="D24" s="13"/>
      <c r="E24" s="13"/>
      <c r="F24" s="13"/>
    </row>
    <row r="25" spans="2:11" ht="15.5" x14ac:dyDescent="0.25">
      <c r="D25" s="13"/>
      <c r="E25" s="13"/>
      <c r="F25" s="13"/>
    </row>
    <row r="26" spans="2:11" ht="15.5" x14ac:dyDescent="0.25">
      <c r="D26" s="13"/>
      <c r="E26" s="13"/>
      <c r="F26" s="13"/>
    </row>
    <row r="27" spans="2:11" ht="15.5" x14ac:dyDescent="0.25">
      <c r="D27" s="13"/>
      <c r="E27" s="13"/>
      <c r="F27" s="13"/>
    </row>
    <row r="28" spans="2:11" ht="15.5" x14ac:dyDescent="0.25">
      <c r="D28" s="13"/>
      <c r="E28" s="13"/>
      <c r="F28" s="13"/>
    </row>
    <row r="29" spans="2:11" ht="15.5" x14ac:dyDescent="0.25">
      <c r="D29" s="13"/>
      <c r="E29" s="13"/>
      <c r="F29" s="13"/>
    </row>
    <row r="30" spans="2:11" ht="16" x14ac:dyDescent="0.25">
      <c r="J30" s="18"/>
      <c r="K30" s="19"/>
    </row>
    <row r="31" spans="2:11" ht="16" x14ac:dyDescent="0.25">
      <c r="C31" s="37"/>
      <c r="D31" s="37"/>
      <c r="J31" s="18"/>
      <c r="K31" s="19"/>
    </row>
    <row r="32" spans="2:11" ht="16" x14ac:dyDescent="0.25">
      <c r="C32" s="37"/>
      <c r="D32" s="37"/>
      <c r="J32" s="18"/>
      <c r="K32" s="19"/>
    </row>
    <row r="33" spans="3:11" ht="16" x14ac:dyDescent="0.25">
      <c r="C33" s="37"/>
      <c r="D33" s="37"/>
      <c r="J33" s="18"/>
      <c r="K33" s="19"/>
    </row>
    <row r="34" spans="3:11" ht="16" x14ac:dyDescent="0.25">
      <c r="C34" s="37"/>
      <c r="D34" s="37"/>
      <c r="J34" s="18"/>
      <c r="K34" s="18"/>
    </row>
    <row r="35" spans="3:11" ht="16" x14ac:dyDescent="0.25">
      <c r="C35" s="37"/>
      <c r="D35" s="37"/>
      <c r="J35" s="18"/>
      <c r="K35" s="19"/>
    </row>
    <row r="36" spans="3:11" ht="16" x14ac:dyDescent="0.25">
      <c r="C36" s="37"/>
      <c r="D36" s="37"/>
      <c r="J36" s="18"/>
      <c r="K36" s="19"/>
    </row>
    <row r="37" spans="3:11" ht="16" x14ac:dyDescent="0.25">
      <c r="C37" s="37"/>
      <c r="D37" s="37"/>
      <c r="J37" s="18"/>
      <c r="K37" s="19"/>
    </row>
    <row r="38" spans="3:11" ht="16" x14ac:dyDescent="0.25">
      <c r="C38" s="37"/>
      <c r="D38" s="37"/>
      <c r="J38" s="18"/>
      <c r="K38" s="18"/>
    </row>
    <row r="39" spans="3:11" ht="16" x14ac:dyDescent="0.25">
      <c r="C39" s="37"/>
      <c r="D39" s="37"/>
      <c r="J39" s="18"/>
      <c r="K39" s="19"/>
    </row>
    <row r="40" spans="3:11" ht="16" x14ac:dyDescent="0.25">
      <c r="C40" s="37"/>
      <c r="D40" s="37"/>
      <c r="J40" s="18"/>
      <c r="K40" s="19"/>
    </row>
    <row r="41" spans="3:11" ht="16" x14ac:dyDescent="0.25">
      <c r="C41" s="37"/>
      <c r="D41" s="37"/>
      <c r="J41" s="18"/>
      <c r="K41" s="19"/>
    </row>
    <row r="42" spans="3:11" ht="16" x14ac:dyDescent="0.25">
      <c r="C42" s="37"/>
      <c r="D42" s="37"/>
      <c r="J42" s="18"/>
      <c r="K42" s="18"/>
    </row>
    <row r="43" spans="3:11" ht="16" x14ac:dyDescent="0.25">
      <c r="C43" s="37"/>
      <c r="D43" s="37"/>
      <c r="J43" s="18"/>
      <c r="K43" s="19"/>
    </row>
    <row r="44" spans="3:11" ht="16" x14ac:dyDescent="0.25">
      <c r="J44" s="18"/>
      <c r="K44" s="19"/>
    </row>
    <row r="45" spans="3:11" ht="16" x14ac:dyDescent="0.25">
      <c r="J45" s="18"/>
      <c r="K45" s="19"/>
    </row>
    <row r="46" spans="3:11" ht="16" x14ac:dyDescent="0.25">
      <c r="J46" s="18"/>
      <c r="K46" s="18"/>
    </row>
    <row r="47" spans="3:11" ht="16" x14ac:dyDescent="0.25">
      <c r="J47" s="18"/>
      <c r="K47" s="19"/>
    </row>
    <row r="48" spans="3:11" ht="16" x14ac:dyDescent="0.25">
      <c r="J48" s="18"/>
      <c r="K48" s="19"/>
    </row>
    <row r="49" spans="10:11" ht="16" x14ac:dyDescent="0.25">
      <c r="J49" s="18"/>
      <c r="K49" s="19"/>
    </row>
    <row r="50" spans="10:11" ht="16" x14ac:dyDescent="0.25">
      <c r="J50" s="18"/>
      <c r="K50" s="18"/>
    </row>
    <row r="51" spans="10:11" ht="16" x14ac:dyDescent="0.25">
      <c r="J51" s="18"/>
      <c r="K51" s="19"/>
    </row>
    <row r="52" spans="10:11" ht="16" x14ac:dyDescent="0.25">
      <c r="J52" s="18"/>
      <c r="K52" s="19"/>
    </row>
    <row r="53" spans="10:11" ht="16" x14ac:dyDescent="0.25">
      <c r="J53" s="18"/>
      <c r="K53" s="19"/>
    </row>
  </sheetData>
  <conditionalFormatting sqref="C8:C18 I8">
    <cfRule type="containsText" dxfId="42" priority="50" operator="containsText" text="mid">
      <formula>NOT(ISERROR(SEARCH("mid",C8)))</formula>
    </cfRule>
    <cfRule type="containsText" dxfId="41" priority="51" operator="containsText" text="act_2">
      <formula>NOT(ISERROR(SEARCH("act_2",C8)))</formula>
    </cfRule>
    <cfRule type="containsText" dxfId="40" priority="52" operator="containsText" text="act_1">
      <formula>NOT(ISERROR(SEARCH("act_1",C8)))</formula>
    </cfRule>
    <cfRule type="containsText" dxfId="39" priority="53" operator="containsText" text="low">
      <formula>NOT(ISERROR(SEARCH("low",C8)))</formula>
    </cfRule>
    <cfRule type="containsText" dxfId="38" priority="54" operator="containsText" text="hig">
      <formula>NOT(ISERROR(SEARCH("hig",C8)))</formula>
    </cfRule>
    <cfRule type="containsText" dxfId="37" priority="55" operator="containsText" text="top">
      <formula>NOT(ISERROR(SEARCH("top",C8)))</formula>
    </cfRule>
    <cfRule type="containsText" dxfId="36" priority="56" operator="containsText" text="coin">
      <formula>NOT(ISERROR(SEARCH("coin",C8)))</formula>
    </cfRule>
  </conditionalFormatting>
  <conditionalFormatting sqref="K8:K9">
    <cfRule type="containsText" dxfId="35" priority="8" operator="containsText" text="mid">
      <formula>NOT(ISERROR(SEARCH("mid",K8)))</formula>
    </cfRule>
    <cfRule type="containsText" dxfId="34" priority="9" operator="containsText" text="act_2">
      <formula>NOT(ISERROR(SEARCH("act_2",K8)))</formula>
    </cfRule>
    <cfRule type="containsText" dxfId="33" priority="10" operator="containsText" text="act_1">
      <formula>NOT(ISERROR(SEARCH("act_1",K8)))</formula>
    </cfRule>
    <cfRule type="containsText" dxfId="32" priority="11" operator="containsText" text="low">
      <formula>NOT(ISERROR(SEARCH("low",K8)))</formula>
    </cfRule>
    <cfRule type="containsText" dxfId="31" priority="12" operator="containsText" text="hig">
      <formula>NOT(ISERROR(SEARCH("hig",K8)))</formula>
    </cfRule>
    <cfRule type="containsText" dxfId="30" priority="13" operator="containsText" text="top">
      <formula>NOT(ISERROR(SEARCH("top",K8)))</formula>
    </cfRule>
    <cfRule type="containsText" dxfId="29" priority="14" operator="containsText" text="coin">
      <formula>NOT(ISERROR(SEARCH("coin",K8)))</formula>
    </cfRule>
  </conditionalFormatting>
  <conditionalFormatting sqref="C19:C22">
    <cfRule type="containsText" dxfId="28" priority="1" operator="containsText" text="mid">
      <formula>NOT(ISERROR(SEARCH("mid",C19)))</formula>
    </cfRule>
    <cfRule type="containsText" dxfId="27" priority="2" operator="containsText" text="act_2">
      <formula>NOT(ISERROR(SEARCH("act_2",C19)))</formula>
    </cfRule>
    <cfRule type="containsText" dxfId="26" priority="3" operator="containsText" text="act_1">
      <formula>NOT(ISERROR(SEARCH("act_1",C19)))</formula>
    </cfRule>
    <cfRule type="containsText" dxfId="25" priority="4" operator="containsText" text="low">
      <formula>NOT(ISERROR(SEARCH("low",C19)))</formula>
    </cfRule>
    <cfRule type="containsText" dxfId="24" priority="5" operator="containsText" text="hig">
      <formula>NOT(ISERROR(SEARCH("hig",C19)))</formula>
    </cfRule>
    <cfRule type="containsText" dxfId="23" priority="6" operator="containsText" text="top">
      <formula>NOT(ISERROR(SEARCH("top",C19)))</formula>
    </cfRule>
    <cfRule type="containsText" dxfId="22" priority="7" operator="containsText" text="coin">
      <formula>NOT(ISERROR(SEARCH("coin",C19)))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06C9-1E33-4157-A626-0EDC375CB3BC}">
  <sheetPr codeName="Sheet2">
    <tabColor rgb="FF92D050"/>
  </sheetPr>
  <dimension ref="B2:S26"/>
  <sheetViews>
    <sheetView workbookViewId="0">
      <selection activeCell="I18" sqref="I18:I21"/>
    </sheetView>
  </sheetViews>
  <sheetFormatPr defaultColWidth="7.81640625" defaultRowHeight="14.5" x14ac:dyDescent="0.35"/>
  <cols>
    <col min="1" max="1" width="7.81640625" style="37"/>
    <col min="2" max="2" width="22" style="37" bestFit="1" customWidth="1"/>
    <col min="3" max="3" width="7.81640625" style="37"/>
    <col min="4" max="4" width="10.81640625" style="37" bestFit="1" customWidth="1"/>
    <col min="5" max="5" width="11.81640625" style="37" bestFit="1" customWidth="1"/>
    <col min="6" max="6" width="11.81640625" style="37" customWidth="1"/>
    <col min="7" max="7" width="7.81640625" style="37"/>
    <col min="8" max="8" width="2.7265625" style="37" bestFit="1" customWidth="1"/>
    <col min="9" max="9" width="12" style="37" bestFit="1" customWidth="1"/>
    <col min="10" max="10" width="7.81640625" style="37"/>
    <col min="11" max="11" width="16.54296875" style="37" bestFit="1" customWidth="1"/>
    <col min="12" max="12" width="9" style="37" bestFit="1" customWidth="1"/>
    <col min="13" max="13" width="15.453125" style="37" bestFit="1" customWidth="1"/>
    <col min="14" max="14" width="18.453125" style="37" bestFit="1" customWidth="1"/>
    <col min="15" max="15" width="4.26953125" style="37" customWidth="1"/>
    <col min="16" max="16" width="18.453125" style="37" customWidth="1"/>
    <col min="17" max="17" width="9" style="37" bestFit="1" customWidth="1"/>
    <col min="18" max="18" width="15.453125" style="37" bestFit="1" customWidth="1"/>
    <col min="19" max="19" width="18.453125" style="37" customWidth="1"/>
    <col min="20" max="16384" width="7.81640625" style="37"/>
  </cols>
  <sheetData>
    <row r="2" spans="2:19" x14ac:dyDescent="0.35">
      <c r="K2" s="37" t="s">
        <v>30</v>
      </c>
      <c r="P2" s="37" t="s">
        <v>37</v>
      </c>
    </row>
    <row r="3" spans="2:19" ht="15" thickBot="1" x14ac:dyDescent="0.4"/>
    <row r="4" spans="2:19" ht="15" thickBot="1" x14ac:dyDescent="0.3">
      <c r="B4" s="40" t="s">
        <v>33</v>
      </c>
      <c r="D4" s="46" t="s">
        <v>2</v>
      </c>
      <c r="E4" s="46" t="s">
        <v>3</v>
      </c>
      <c r="F4" s="46" t="s">
        <v>45</v>
      </c>
      <c r="H4" s="42"/>
      <c r="I4" s="41" t="s">
        <v>34</v>
      </c>
      <c r="K4" s="38" t="s">
        <v>1</v>
      </c>
      <c r="L4" s="51" t="s">
        <v>26</v>
      </c>
      <c r="M4" s="38" t="s">
        <v>31</v>
      </c>
      <c r="N4" s="39" t="s">
        <v>32</v>
      </c>
      <c r="P4" s="38" t="s">
        <v>1</v>
      </c>
      <c r="Q4" s="51" t="s">
        <v>26</v>
      </c>
      <c r="R4" s="38" t="s">
        <v>31</v>
      </c>
      <c r="S4" s="39" t="s">
        <v>32</v>
      </c>
    </row>
    <row r="5" spans="2:19" ht="15" thickBot="1" x14ac:dyDescent="0.3">
      <c r="B5" s="63">
        <v>0</v>
      </c>
      <c r="D5" s="59">
        <v>88</v>
      </c>
      <c r="E5" s="59">
        <v>1</v>
      </c>
      <c r="F5" s="59">
        <v>0</v>
      </c>
      <c r="H5" s="41">
        <v>0</v>
      </c>
      <c r="I5" s="43" t="s">
        <v>29</v>
      </c>
      <c r="K5" s="49" t="s">
        <v>42</v>
      </c>
      <c r="L5" s="49">
        <v>1</v>
      </c>
      <c r="M5" s="49" t="s">
        <v>43</v>
      </c>
      <c r="N5" s="47" t="s">
        <v>44</v>
      </c>
      <c r="P5" s="49" t="s">
        <v>42</v>
      </c>
      <c r="Q5" s="49">
        <v>1</v>
      </c>
      <c r="R5" s="49" t="s">
        <v>43</v>
      </c>
      <c r="S5" s="47" t="s">
        <v>44</v>
      </c>
    </row>
    <row r="6" spans="2:19" ht="15" thickBot="1" x14ac:dyDescent="0.3">
      <c r="B6" s="63">
        <v>0.5</v>
      </c>
      <c r="D6" s="59">
        <v>88</v>
      </c>
      <c r="E6" s="49">
        <v>2</v>
      </c>
      <c r="F6" s="49">
        <v>0</v>
      </c>
      <c r="H6" s="41">
        <v>1</v>
      </c>
      <c r="I6" s="27" t="s">
        <v>10</v>
      </c>
      <c r="K6" s="49" t="s">
        <v>42</v>
      </c>
      <c r="L6" s="49">
        <v>2</v>
      </c>
      <c r="M6" s="49" t="s">
        <v>114</v>
      </c>
      <c r="N6" s="47" t="s">
        <v>115</v>
      </c>
      <c r="P6" s="49"/>
      <c r="Q6" s="49"/>
      <c r="R6" s="49"/>
      <c r="S6" s="47"/>
    </row>
    <row r="7" spans="2:19" ht="15" thickBot="1" x14ac:dyDescent="0.3">
      <c r="B7" s="63">
        <v>1</v>
      </c>
      <c r="D7" s="59">
        <v>88</v>
      </c>
      <c r="E7" s="49">
        <v>3</v>
      </c>
      <c r="F7" s="49">
        <v>0</v>
      </c>
      <c r="H7" s="41">
        <v>2</v>
      </c>
      <c r="I7" s="27" t="s">
        <v>11</v>
      </c>
      <c r="K7" s="49" t="s">
        <v>42</v>
      </c>
      <c r="L7" s="49">
        <v>3</v>
      </c>
      <c r="M7" s="49" t="s">
        <v>116</v>
      </c>
      <c r="N7" s="47" t="s">
        <v>117</v>
      </c>
      <c r="P7" s="49"/>
      <c r="Q7" s="49"/>
      <c r="R7" s="49"/>
      <c r="S7" s="47"/>
    </row>
    <row r="8" spans="2:19" ht="15" thickBot="1" x14ac:dyDescent="0.3">
      <c r="B8" s="63">
        <v>2</v>
      </c>
      <c r="D8" s="59">
        <v>88</v>
      </c>
      <c r="E8" s="49">
        <v>4</v>
      </c>
      <c r="F8" s="49">
        <v>0</v>
      </c>
      <c r="H8" s="41">
        <v>3</v>
      </c>
      <c r="I8" s="27" t="s">
        <v>27</v>
      </c>
      <c r="K8" s="49" t="s">
        <v>42</v>
      </c>
      <c r="L8" s="49">
        <v>4</v>
      </c>
      <c r="M8" s="49" t="s">
        <v>118</v>
      </c>
      <c r="N8" s="47" t="s">
        <v>119</v>
      </c>
      <c r="P8" s="49"/>
      <c r="Q8" s="49"/>
      <c r="R8" s="49"/>
      <c r="S8" s="47"/>
    </row>
    <row r="9" spans="2:19" ht="15" thickBot="1" x14ac:dyDescent="0.3">
      <c r="B9" s="63">
        <v>3</v>
      </c>
      <c r="D9" s="59">
        <v>88</v>
      </c>
      <c r="E9" s="37">
        <v>5</v>
      </c>
      <c r="F9" s="37">
        <v>0</v>
      </c>
      <c r="H9" s="41">
        <v>4</v>
      </c>
      <c r="I9" s="27" t="s">
        <v>112</v>
      </c>
      <c r="K9" s="49" t="s">
        <v>42</v>
      </c>
      <c r="L9" s="49">
        <v>5</v>
      </c>
      <c r="M9" s="49" t="s">
        <v>120</v>
      </c>
      <c r="N9" s="47" t="s">
        <v>121</v>
      </c>
      <c r="P9" s="49"/>
      <c r="Q9" s="49"/>
      <c r="R9" s="49"/>
      <c r="S9" s="47"/>
    </row>
    <row r="10" spans="2:19" ht="15" thickBot="1" x14ac:dyDescent="0.3">
      <c r="B10" s="63">
        <v>5</v>
      </c>
      <c r="H10" s="41">
        <v>5</v>
      </c>
      <c r="I10" s="27" t="s">
        <v>12</v>
      </c>
      <c r="K10" s="49" t="s">
        <v>42</v>
      </c>
      <c r="L10" s="49">
        <v>6</v>
      </c>
      <c r="M10" s="49" t="s">
        <v>122</v>
      </c>
      <c r="N10" s="47" t="s">
        <v>123</v>
      </c>
      <c r="P10" s="50"/>
      <c r="Q10" s="50"/>
      <c r="R10" s="50"/>
      <c r="S10" s="48"/>
    </row>
    <row r="11" spans="2:19" ht="15" thickBot="1" x14ac:dyDescent="0.3">
      <c r="B11" s="63">
        <v>10</v>
      </c>
      <c r="H11" s="41">
        <v>6</v>
      </c>
      <c r="I11" s="27" t="s">
        <v>13</v>
      </c>
      <c r="K11" s="49" t="s">
        <v>42</v>
      </c>
      <c r="L11" s="49">
        <v>7</v>
      </c>
      <c r="M11" s="49" t="s">
        <v>124</v>
      </c>
      <c r="N11" s="47" t="s">
        <v>125</v>
      </c>
    </row>
    <row r="12" spans="2:19" ht="15" thickBot="1" x14ac:dyDescent="0.3">
      <c r="B12" s="63">
        <v>15</v>
      </c>
      <c r="H12" s="41">
        <v>7</v>
      </c>
      <c r="I12" s="27" t="s">
        <v>14</v>
      </c>
      <c r="K12" s="49" t="s">
        <v>42</v>
      </c>
      <c r="L12" s="49">
        <v>8</v>
      </c>
      <c r="M12" s="49" t="s">
        <v>126</v>
      </c>
      <c r="N12" s="47" t="s">
        <v>127</v>
      </c>
    </row>
    <row r="13" spans="2:19" ht="15" thickBot="1" x14ac:dyDescent="0.3">
      <c r="B13" s="63">
        <v>20</v>
      </c>
      <c r="H13" s="41">
        <v>8</v>
      </c>
      <c r="I13" s="27" t="s">
        <v>15</v>
      </c>
      <c r="K13" s="49" t="s">
        <v>42</v>
      </c>
      <c r="L13" s="49">
        <v>9</v>
      </c>
      <c r="M13" s="49" t="s">
        <v>128</v>
      </c>
      <c r="N13" s="47" t="s">
        <v>129</v>
      </c>
    </row>
    <row r="14" spans="2:19" ht="15" thickBot="1" x14ac:dyDescent="0.3">
      <c r="B14" s="63">
        <v>25</v>
      </c>
      <c r="H14" s="41">
        <v>9</v>
      </c>
      <c r="I14" s="27" t="s">
        <v>16</v>
      </c>
      <c r="K14" s="49" t="s">
        <v>42</v>
      </c>
      <c r="L14" s="49">
        <v>10</v>
      </c>
      <c r="M14" s="49" t="s">
        <v>130</v>
      </c>
      <c r="N14" s="47" t="s">
        <v>131</v>
      </c>
    </row>
    <row r="15" spans="2:19" ht="15" thickBot="1" x14ac:dyDescent="0.3">
      <c r="B15" s="63">
        <v>30</v>
      </c>
      <c r="H15" s="41">
        <v>10</v>
      </c>
      <c r="I15" s="44" t="s">
        <v>28</v>
      </c>
      <c r="K15" s="49" t="s">
        <v>42</v>
      </c>
      <c r="L15" s="49">
        <v>11</v>
      </c>
      <c r="M15" s="49" t="s">
        <v>132</v>
      </c>
      <c r="N15" s="47" t="s">
        <v>133</v>
      </c>
    </row>
    <row r="16" spans="2:19" ht="15" thickBot="1" x14ac:dyDescent="0.3">
      <c r="B16" s="63">
        <v>35</v>
      </c>
      <c r="H16" s="41">
        <v>11</v>
      </c>
      <c r="I16" s="44" t="s">
        <v>35</v>
      </c>
      <c r="K16" s="49" t="s">
        <v>42</v>
      </c>
      <c r="L16" s="49">
        <v>12</v>
      </c>
      <c r="M16" s="49" t="s">
        <v>134</v>
      </c>
      <c r="N16" s="47" t="s">
        <v>135</v>
      </c>
    </row>
    <row r="17" spans="2:14" ht="15" thickBot="1" x14ac:dyDescent="0.3">
      <c r="B17" s="63">
        <v>40</v>
      </c>
      <c r="H17" s="41">
        <v>12</v>
      </c>
      <c r="I17" s="44" t="s">
        <v>25</v>
      </c>
      <c r="K17" s="49" t="s">
        <v>42</v>
      </c>
      <c r="L17" s="49">
        <v>13</v>
      </c>
      <c r="M17" s="49" t="s">
        <v>136</v>
      </c>
      <c r="N17" s="47" t="s">
        <v>137</v>
      </c>
    </row>
    <row r="18" spans="2:14" ht="15" thickBot="1" x14ac:dyDescent="0.3">
      <c r="B18" s="63">
        <v>50</v>
      </c>
      <c r="D18" s="37" t="s">
        <v>36</v>
      </c>
      <c r="H18" s="41">
        <v>13</v>
      </c>
      <c r="I18" s="44" t="s">
        <v>241</v>
      </c>
      <c r="K18" s="49" t="s">
        <v>42</v>
      </c>
      <c r="L18" s="49">
        <v>14</v>
      </c>
      <c r="M18" s="49" t="s">
        <v>138</v>
      </c>
      <c r="N18" s="47" t="s">
        <v>139</v>
      </c>
    </row>
    <row r="19" spans="2:14" ht="15" thickBot="1" x14ac:dyDescent="0.3">
      <c r="B19" s="63">
        <v>75</v>
      </c>
      <c r="D19" s="37" t="s">
        <v>36</v>
      </c>
      <c r="H19" s="41">
        <v>14</v>
      </c>
      <c r="I19" s="44" t="s">
        <v>242</v>
      </c>
      <c r="K19" s="49" t="s">
        <v>42</v>
      </c>
      <c r="L19" s="49">
        <v>15</v>
      </c>
      <c r="M19" s="49" t="s">
        <v>140</v>
      </c>
      <c r="N19" s="47" t="s">
        <v>141</v>
      </c>
    </row>
    <row r="20" spans="2:14" ht="15" thickBot="1" x14ac:dyDescent="0.3">
      <c r="B20" s="63">
        <v>100</v>
      </c>
      <c r="D20" s="37" t="s">
        <v>36</v>
      </c>
      <c r="H20" s="41">
        <v>15</v>
      </c>
      <c r="I20" s="44" t="s">
        <v>243</v>
      </c>
      <c r="K20" s="49" t="s">
        <v>42</v>
      </c>
      <c r="L20" s="49">
        <v>16</v>
      </c>
      <c r="M20" s="49" t="s">
        <v>142</v>
      </c>
      <c r="N20" s="47" t="s">
        <v>143</v>
      </c>
    </row>
    <row r="21" spans="2:14" ht="15" thickBot="1" x14ac:dyDescent="0.3">
      <c r="B21" s="63">
        <v>150</v>
      </c>
      <c r="D21" s="37" t="s">
        <v>36</v>
      </c>
      <c r="H21" s="41">
        <v>16</v>
      </c>
      <c r="I21" s="44" t="s">
        <v>244</v>
      </c>
      <c r="K21" s="49"/>
      <c r="L21" s="49"/>
      <c r="M21" s="49"/>
      <c r="N21" s="47"/>
    </row>
    <row r="22" spans="2:14" ht="15" thickBot="1" x14ac:dyDescent="0.3">
      <c r="B22" s="63">
        <v>200</v>
      </c>
      <c r="D22" s="37" t="s">
        <v>36</v>
      </c>
      <c r="H22" s="41">
        <v>17</v>
      </c>
      <c r="I22" s="45"/>
      <c r="K22" s="49"/>
      <c r="L22" s="49"/>
      <c r="M22" s="49"/>
      <c r="N22" s="47"/>
    </row>
    <row r="23" spans="2:14" ht="15" thickBot="1" x14ac:dyDescent="0.4">
      <c r="B23" s="63">
        <v>250</v>
      </c>
      <c r="D23" s="37" t="s">
        <v>36</v>
      </c>
      <c r="K23" s="49"/>
      <c r="L23" s="49"/>
      <c r="M23" s="49"/>
      <c r="N23" s="47"/>
    </row>
    <row r="24" spans="2:14" ht="15" thickBot="1" x14ac:dyDescent="0.4">
      <c r="B24" s="63">
        <v>500</v>
      </c>
      <c r="D24" s="37" t="s">
        <v>36</v>
      </c>
    </row>
    <row r="25" spans="2:14" ht="15" thickBot="1" x14ac:dyDescent="0.4">
      <c r="B25" s="40">
        <v>750</v>
      </c>
      <c r="D25" s="37" t="s">
        <v>36</v>
      </c>
    </row>
    <row r="26" spans="2:14" ht="15" thickBot="1" x14ac:dyDescent="0.4">
      <c r="B26" s="40">
        <v>1000</v>
      </c>
    </row>
  </sheetData>
  <phoneticPr fontId="33" type="noConversion"/>
  <conditionalFormatting sqref="I5 I15:I22">
    <cfRule type="containsText" dxfId="21" priority="8" operator="containsText" text="mid">
      <formula>NOT(ISERROR(SEARCH("mid",I5)))</formula>
    </cfRule>
    <cfRule type="containsText" dxfId="20" priority="9" operator="containsText" text="act_2">
      <formula>NOT(ISERROR(SEARCH("act_2",I5)))</formula>
    </cfRule>
    <cfRule type="containsText" dxfId="19" priority="10" operator="containsText" text="act_1">
      <formula>NOT(ISERROR(SEARCH("act_1",I5)))</formula>
    </cfRule>
    <cfRule type="containsText" dxfId="18" priority="11" operator="containsText" text="low">
      <formula>NOT(ISERROR(SEARCH("low",I5)))</formula>
    </cfRule>
    <cfRule type="containsText" dxfId="17" priority="12" operator="containsText" text="hig">
      <formula>NOT(ISERROR(SEARCH("hig",I5)))</formula>
    </cfRule>
    <cfRule type="containsText" dxfId="16" priority="13" operator="containsText" text="top">
      <formula>NOT(ISERROR(SEARCH("top",I5)))</formula>
    </cfRule>
    <cfRule type="containsText" dxfId="15" priority="14" operator="containsText" text="coin">
      <formula>NOT(ISERROR(SEARCH("coin",I5)))</formula>
    </cfRule>
  </conditionalFormatting>
  <conditionalFormatting sqref="I6:I14">
    <cfRule type="containsText" dxfId="14" priority="1" operator="containsText" text="mid">
      <formula>NOT(ISERROR(SEARCH("mid",I6)))</formula>
    </cfRule>
    <cfRule type="containsText" dxfId="13" priority="2" operator="containsText" text="act_2">
      <formula>NOT(ISERROR(SEARCH("act_2",I6)))</formula>
    </cfRule>
    <cfRule type="containsText" dxfId="12" priority="3" operator="containsText" text="act_1">
      <formula>NOT(ISERROR(SEARCH("act_1",I6)))</formula>
    </cfRule>
    <cfRule type="containsText" dxfId="11" priority="4" operator="containsText" text="low">
      <formula>NOT(ISERROR(SEARCH("low",I6)))</formula>
    </cfRule>
    <cfRule type="containsText" dxfId="10" priority="5" operator="containsText" text="hig">
      <formula>NOT(ISERROR(SEARCH("hig",I6)))</formula>
    </cfRule>
    <cfRule type="containsText" dxfId="9" priority="6" operator="containsText" text="top">
      <formula>NOT(ISERROR(SEARCH("top",I6)))</formula>
    </cfRule>
    <cfRule type="containsText" dxfId="8" priority="7" operator="containsText" text="coin">
      <formula>NOT(ISERROR(SEARCH("coin",I6)))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973CA-E558-4469-A7E4-B539BE8EDE1B}">
  <sheetPr>
    <tabColor rgb="FFFF0000"/>
  </sheetPr>
  <dimension ref="A1:HO125"/>
  <sheetViews>
    <sheetView zoomScale="101" zoomScaleNormal="70" workbookViewId="0">
      <selection activeCell="G5" sqref="G5"/>
    </sheetView>
  </sheetViews>
  <sheetFormatPr defaultColWidth="13.81640625" defaultRowHeight="14.5" x14ac:dyDescent="0.35"/>
  <cols>
    <col min="1" max="16384" width="13.81640625" style="37"/>
  </cols>
  <sheetData>
    <row r="1" spans="1:223" x14ac:dyDescent="0.35">
      <c r="A1" s="37" t="e">
        <f>#REF!</f>
        <v>#REF!</v>
      </c>
    </row>
    <row r="2" spans="1:223" x14ac:dyDescent="0.35">
      <c r="C2" s="37" t="s">
        <v>19</v>
      </c>
    </row>
    <row r="4" spans="1:223" x14ac:dyDescent="0.35">
      <c r="A4" s="37" t="s">
        <v>0</v>
      </c>
      <c r="B4" s="37" t="s">
        <v>20</v>
      </c>
      <c r="C4" s="37" t="s">
        <v>21</v>
      </c>
      <c r="D4" s="37" t="s">
        <v>22</v>
      </c>
      <c r="E4" s="37" t="s">
        <v>23</v>
      </c>
      <c r="F4" s="37" t="s">
        <v>24</v>
      </c>
      <c r="I4" s="37" t="s">
        <v>20</v>
      </c>
      <c r="J4" s="37" t="s">
        <v>21</v>
      </c>
      <c r="K4" s="37" t="s">
        <v>22</v>
      </c>
      <c r="L4" s="37" t="s">
        <v>23</v>
      </c>
      <c r="M4" s="37" t="s">
        <v>24</v>
      </c>
    </row>
    <row r="5" spans="1:223" x14ac:dyDescent="0.35">
      <c r="A5" s="37">
        <v>1</v>
      </c>
      <c r="B5" s="37" t="str">
        <f>VLOOKUP(B60,$B$114:$C$126,2,FALSE)</f>
        <v>_low_5_</v>
      </c>
      <c r="C5" s="37" t="str">
        <f t="shared" ref="C5:F5" si="0">VLOOKUP(C60,$B$114:$C$126,2,FALSE)</f>
        <v>_low_4_</v>
      </c>
      <c r="D5" s="37" t="str">
        <f t="shared" si="0"/>
        <v>_HIG_4_</v>
      </c>
      <c r="E5" s="37" t="str">
        <f t="shared" si="0"/>
        <v>_HIG_4_</v>
      </c>
      <c r="F5" s="37" t="str">
        <f t="shared" si="0"/>
        <v>_low_4_</v>
      </c>
      <c r="I5" s="60" cm="1">
        <f t="array" ref="I5:M54">I60:M109</f>
        <v>20</v>
      </c>
      <c r="J5" s="60">
        <v>20</v>
      </c>
      <c r="K5" s="60">
        <v>20</v>
      </c>
      <c r="L5" s="60">
        <v>1</v>
      </c>
      <c r="M5" s="60">
        <v>20</v>
      </c>
      <c r="P5" s="37" t="str">
        <f>VLOOKUP(P60,$B$114:$C$126,2,FALSE)</f>
        <v>_low_5_</v>
      </c>
      <c r="Q5" s="37" t="str">
        <f t="shared" ref="Q5:T5" si="1">VLOOKUP(Q60,$B$114:$C$126,2,FALSE)</f>
        <v>_low_4_</v>
      </c>
      <c r="R5" s="37" t="str">
        <f t="shared" si="1"/>
        <v>_HIG_4_</v>
      </c>
      <c r="S5" s="37" t="str">
        <f t="shared" si="1"/>
        <v>_HIG_4_</v>
      </c>
      <c r="T5" s="37" t="str">
        <f t="shared" si="1"/>
        <v>_low_4_</v>
      </c>
      <c r="W5" s="37" cm="1">
        <f t="array" ref="W5:AA54">W60:AA109</f>
        <v>20</v>
      </c>
      <c r="X5" s="37">
        <v>20</v>
      </c>
      <c r="Y5" s="37">
        <v>20</v>
      </c>
      <c r="Z5" s="37">
        <v>1</v>
      </c>
      <c r="AA5" s="37">
        <v>20</v>
      </c>
      <c r="AD5" s="37" t="str">
        <f>VLOOKUP(AD60,$B$114:$C$126,2,FALSE)</f>
        <v>_low_5_</v>
      </c>
      <c r="AE5" s="37" t="str">
        <f t="shared" ref="AE5:AH5" si="2">VLOOKUP(AE60,$B$114:$C$126,2,FALSE)</f>
        <v>_low_4_</v>
      </c>
      <c r="AF5" s="37" t="str">
        <f t="shared" si="2"/>
        <v>_HIG_4_</v>
      </c>
      <c r="AG5" s="37" t="str">
        <f t="shared" si="2"/>
        <v>_HIG_4_</v>
      </c>
      <c r="AH5" s="37" t="str">
        <f t="shared" si="2"/>
        <v>_low_4_</v>
      </c>
      <c r="AK5" s="37" cm="1">
        <f t="array" ref="AK5:AO54">AK60:AO109</f>
        <v>20</v>
      </c>
      <c r="AL5" s="37">
        <v>20</v>
      </c>
      <c r="AM5" s="37">
        <v>20</v>
      </c>
      <c r="AN5" s="37">
        <v>1</v>
      </c>
      <c r="AO5" s="37">
        <v>20</v>
      </c>
      <c r="AR5" s="37" t="str">
        <f>VLOOKUP(AR60,$B$114:$C$126,2,FALSE)</f>
        <v>_low_5_</v>
      </c>
      <c r="AS5" s="37" t="str">
        <f t="shared" ref="AS5:AV5" si="3">VLOOKUP(AS60,$B$114:$C$126,2,FALSE)</f>
        <v>_low_4_</v>
      </c>
      <c r="AT5" s="37" t="str">
        <f t="shared" si="3"/>
        <v>_HIG_4_</v>
      </c>
      <c r="AU5" s="37" t="str">
        <f t="shared" si="3"/>
        <v>_HIG_4_</v>
      </c>
      <c r="AV5" s="37" t="str">
        <f t="shared" si="3"/>
        <v>_low_4_</v>
      </c>
      <c r="AY5" s="37" cm="1">
        <f t="array" ref="AY5:BC54">AY60:BC109</f>
        <v>20</v>
      </c>
      <c r="AZ5" s="37">
        <v>20</v>
      </c>
      <c r="BA5" s="37">
        <v>20</v>
      </c>
      <c r="BB5" s="37">
        <v>1</v>
      </c>
      <c r="BC5" s="37">
        <v>20</v>
      </c>
      <c r="BF5" s="37" t="str">
        <f>VLOOKUP(BF60,$B$114:$C$126,2,FALSE)</f>
        <v>_low_5_</v>
      </c>
      <c r="BG5" s="37" t="str">
        <f t="shared" ref="BG5:BJ5" si="4">VLOOKUP(BG60,$B$114:$C$126,2,FALSE)</f>
        <v>_low_4_</v>
      </c>
      <c r="BH5" s="37" t="str">
        <f t="shared" si="4"/>
        <v>_HIG_4_</v>
      </c>
      <c r="BI5" s="37" t="str">
        <f t="shared" si="4"/>
        <v>_HIG_4_</v>
      </c>
      <c r="BJ5" s="37" t="str">
        <f t="shared" si="4"/>
        <v>_low_4_</v>
      </c>
      <c r="BM5" s="37" cm="1">
        <f t="array" ref="BM5:BQ54">BM60:BQ109</f>
        <v>20</v>
      </c>
      <c r="BN5" s="37">
        <v>20</v>
      </c>
      <c r="BO5" s="37">
        <v>20</v>
      </c>
      <c r="BP5" s="37">
        <v>1</v>
      </c>
      <c r="BQ5" s="37">
        <v>20</v>
      </c>
      <c r="BT5" s="37" t="str">
        <f>VLOOKUP(BT60,$B$114:$C$126,2,FALSE)</f>
        <v>_low_5_</v>
      </c>
      <c r="BU5" s="37" t="str">
        <f t="shared" ref="BU5:BX5" si="5">VLOOKUP(BU60,$B$114:$C$126,2,FALSE)</f>
        <v>_low_4_</v>
      </c>
      <c r="BV5" s="37" t="str">
        <f t="shared" si="5"/>
        <v>_HIG_4_</v>
      </c>
      <c r="BW5" s="37" t="str">
        <f t="shared" si="5"/>
        <v>_HIG_4_</v>
      </c>
      <c r="BX5" s="37" t="str">
        <f t="shared" si="5"/>
        <v>_low_4_</v>
      </c>
      <c r="CA5" s="37" cm="1">
        <f t="array" ref="CA5:CE54">CA60:CE109</f>
        <v>20</v>
      </c>
      <c r="CB5" s="37">
        <v>20</v>
      </c>
      <c r="CC5" s="37">
        <v>20</v>
      </c>
      <c r="CD5" s="37">
        <v>1</v>
      </c>
      <c r="CE5" s="37">
        <v>20</v>
      </c>
      <c r="CH5" s="37" t="str">
        <f>VLOOKUP(CH60,$B$114:$C$126,2,FALSE)</f>
        <v>_low_5_</v>
      </c>
      <c r="CI5" s="37" t="str">
        <f t="shared" ref="CI5:CL5" si="6">VLOOKUP(CI60,$B$114:$C$126,2,FALSE)</f>
        <v>_low_4_</v>
      </c>
      <c r="CJ5" s="37" t="str">
        <f t="shared" si="6"/>
        <v>_HIG_4_</v>
      </c>
      <c r="CK5" s="37" t="str">
        <f t="shared" si="6"/>
        <v>_HIG_4_</v>
      </c>
      <c r="CL5" s="37" t="str">
        <f t="shared" si="6"/>
        <v>_low_4_</v>
      </c>
      <c r="CO5" s="37" cm="1">
        <f t="array" ref="CO5:CS54">CO60:CS109</f>
        <v>20</v>
      </c>
      <c r="CP5" s="37">
        <v>20</v>
      </c>
      <c r="CQ5" s="37">
        <v>20</v>
      </c>
      <c r="CR5" s="37">
        <v>1</v>
      </c>
      <c r="CS5" s="37">
        <v>20</v>
      </c>
      <c r="CV5" s="37" t="str">
        <f>VLOOKUP(CV60,$B$114:$C$126,2,FALSE)</f>
        <v>_low_5_</v>
      </c>
      <c r="CW5" s="37" t="str">
        <f t="shared" ref="CW5:CZ5" si="7">VLOOKUP(CW60,$B$114:$C$126,2,FALSE)</f>
        <v>_low_4_</v>
      </c>
      <c r="CX5" s="37" t="str">
        <f t="shared" si="7"/>
        <v>_HIG_4_</v>
      </c>
      <c r="CY5" s="37" t="str">
        <f t="shared" si="7"/>
        <v>_HIG_4_</v>
      </c>
      <c r="CZ5" s="37" t="str">
        <f t="shared" si="7"/>
        <v>_low_4_</v>
      </c>
      <c r="DC5" s="37" cm="1">
        <f t="array" ref="DC5:DG54">DC60:DG109</f>
        <v>20</v>
      </c>
      <c r="DD5" s="37">
        <v>20</v>
      </c>
      <c r="DE5" s="37">
        <v>20</v>
      </c>
      <c r="DF5" s="37">
        <v>1</v>
      </c>
      <c r="DG5" s="37">
        <v>20</v>
      </c>
      <c r="DJ5" s="37" t="str">
        <f>VLOOKUP(DJ60,$B$114:$C$126,2,FALSE)</f>
        <v>_low_5_</v>
      </c>
      <c r="DK5" s="37" t="str">
        <f t="shared" ref="DK5:DN5" si="8">VLOOKUP(DK60,$B$114:$C$126,2,FALSE)</f>
        <v>_low_4_</v>
      </c>
      <c r="DL5" s="37" t="str">
        <f t="shared" si="8"/>
        <v>_HIG_4_</v>
      </c>
      <c r="DM5" s="37" t="str">
        <f t="shared" si="8"/>
        <v>_HIG_4_</v>
      </c>
      <c r="DN5" s="37" t="str">
        <f t="shared" si="8"/>
        <v>_low_4_</v>
      </c>
      <c r="DQ5" s="37" cm="1">
        <f t="array" ref="DQ5:DU54">DQ60:DU109</f>
        <v>20</v>
      </c>
      <c r="DR5" s="37">
        <v>20</v>
      </c>
      <c r="DS5" s="37">
        <v>20</v>
      </c>
      <c r="DT5" s="37">
        <v>1</v>
      </c>
      <c r="DU5" s="37">
        <v>20</v>
      </c>
      <c r="DX5" s="37" t="str">
        <f>VLOOKUP(DX60,$B$114:$C$126,2,FALSE)</f>
        <v>_low_5_</v>
      </c>
      <c r="DY5" s="37" t="str">
        <f t="shared" ref="DY5:EB5" si="9">VLOOKUP(DY60,$B$114:$C$126,2,FALSE)</f>
        <v>_low_4_</v>
      </c>
      <c r="DZ5" s="37" t="str">
        <f t="shared" si="9"/>
        <v>_HIG_4_</v>
      </c>
      <c r="EA5" s="37" t="str">
        <f t="shared" si="9"/>
        <v>_HIG_4_</v>
      </c>
      <c r="EB5" s="37" t="str">
        <f t="shared" si="9"/>
        <v>_low_4_</v>
      </c>
      <c r="EE5" s="37" cm="1">
        <f t="array" ref="EE5:EI54">EE60:EI109</f>
        <v>20</v>
      </c>
      <c r="EF5" s="37">
        <v>20</v>
      </c>
      <c r="EG5" s="37">
        <v>20</v>
      </c>
      <c r="EH5" s="37">
        <v>1</v>
      </c>
      <c r="EI5" s="37">
        <v>20</v>
      </c>
      <c r="EL5" s="37" t="str">
        <f>VLOOKUP(EL60,$B$114:$C$126,2,FALSE)</f>
        <v>_low_5_</v>
      </c>
      <c r="EM5" s="37" t="str">
        <f t="shared" ref="EM5:EP5" si="10">VLOOKUP(EM60,$B$114:$C$126,2,FALSE)</f>
        <v>_low_4_</v>
      </c>
      <c r="EN5" s="37" t="str">
        <f t="shared" si="10"/>
        <v>_HIG_4_</v>
      </c>
      <c r="EO5" s="37" t="str">
        <f t="shared" si="10"/>
        <v>_HIG_4_</v>
      </c>
      <c r="EP5" s="37" t="str">
        <f t="shared" si="10"/>
        <v>_low_4_</v>
      </c>
      <c r="ES5" s="37" cm="1">
        <f t="array" ref="ES5:EW54">ES60:EW109</f>
        <v>20</v>
      </c>
      <c r="ET5" s="37">
        <v>20</v>
      </c>
      <c r="EU5" s="37">
        <v>20</v>
      </c>
      <c r="EV5" s="37">
        <v>1</v>
      </c>
      <c r="EW5" s="37">
        <v>20</v>
      </c>
      <c r="EZ5" s="37" t="str">
        <f>VLOOKUP(EZ60,$B$114:$C$126,2,FALSE)</f>
        <v>_low_5_</v>
      </c>
      <c r="FA5" s="37" t="str">
        <f t="shared" ref="FA5:FD5" si="11">VLOOKUP(FA60,$B$114:$C$126,2,FALSE)</f>
        <v>_low_4_</v>
      </c>
      <c r="FB5" s="37" t="str">
        <f t="shared" si="11"/>
        <v>_HIG_4_</v>
      </c>
      <c r="FC5" s="37" t="str">
        <f t="shared" si="11"/>
        <v>_HIG_4_</v>
      </c>
      <c r="FD5" s="37" t="str">
        <f t="shared" si="11"/>
        <v>_low_4_</v>
      </c>
      <c r="FG5" s="37" cm="1">
        <f t="array" ref="FG5:FK54">FG60:FK109</f>
        <v>20</v>
      </c>
      <c r="FH5" s="37">
        <v>20</v>
      </c>
      <c r="FI5" s="37">
        <v>20</v>
      </c>
      <c r="FJ5" s="37">
        <v>1</v>
      </c>
      <c r="FK5" s="37">
        <v>20</v>
      </c>
      <c r="FN5" s="37" t="str">
        <f>VLOOKUP(FN60,$B$114:$C$126,2,FALSE)</f>
        <v>_low_5_</v>
      </c>
      <c r="FO5" s="37" t="str">
        <f t="shared" ref="FO5:FR5" si="12">VLOOKUP(FO60,$B$114:$C$126,2,FALSE)</f>
        <v>_low_4_</v>
      </c>
      <c r="FP5" s="37" t="str">
        <f t="shared" si="12"/>
        <v>_HIG_4_</v>
      </c>
      <c r="FQ5" s="37" t="str">
        <f t="shared" si="12"/>
        <v>_HIG_4_</v>
      </c>
      <c r="FR5" s="37" t="str">
        <f t="shared" si="12"/>
        <v>_low_4_</v>
      </c>
      <c r="FU5" s="37" cm="1">
        <f t="array" ref="FU5:FY54">FU60:FY109</f>
        <v>20</v>
      </c>
      <c r="FV5" s="37">
        <v>20</v>
      </c>
      <c r="FW5" s="37">
        <v>20</v>
      </c>
      <c r="FX5" s="37">
        <v>1</v>
      </c>
      <c r="FY5" s="37">
        <v>20</v>
      </c>
      <c r="GB5" s="37" t="str">
        <f>VLOOKUP(GB60,$B$114:$C$126,2,FALSE)</f>
        <v>_low_5_</v>
      </c>
      <c r="GC5" s="37" t="str">
        <f t="shared" ref="GC5:GF5" si="13">VLOOKUP(GC60,$B$114:$C$126,2,FALSE)</f>
        <v>_low_4_</v>
      </c>
      <c r="GD5" s="37" t="str">
        <f t="shared" si="13"/>
        <v>_HIG_4_</v>
      </c>
      <c r="GE5" s="37" t="str">
        <f t="shared" si="13"/>
        <v>_HIG_4_</v>
      </c>
      <c r="GF5" s="37" t="str">
        <f t="shared" si="13"/>
        <v>_low_4_</v>
      </c>
      <c r="GI5" s="37" cm="1">
        <f t="array" ref="GI5:GM54">GI60:GM109</f>
        <v>20</v>
      </c>
      <c r="GJ5" s="37">
        <v>20</v>
      </c>
      <c r="GK5" s="37">
        <v>20</v>
      </c>
      <c r="GL5" s="37">
        <v>1</v>
      </c>
      <c r="GM5" s="37">
        <v>20</v>
      </c>
      <c r="GP5" s="37" t="str">
        <f>VLOOKUP(GP60,$B$114:$C$126,2,FALSE)</f>
        <v>_low_5_</v>
      </c>
      <c r="GQ5" s="37" t="str">
        <f t="shared" ref="GQ5:GT5" si="14">VLOOKUP(GQ60,$B$114:$C$126,2,FALSE)</f>
        <v>_low_4_</v>
      </c>
      <c r="GR5" s="37" t="str">
        <f t="shared" si="14"/>
        <v>_HIG_4_</v>
      </c>
      <c r="GS5" s="37" t="str">
        <f t="shared" si="14"/>
        <v>_HIG_4_</v>
      </c>
      <c r="GT5" s="37" t="str">
        <f t="shared" si="14"/>
        <v>_low_4_</v>
      </c>
      <c r="GW5" s="37" cm="1">
        <f t="array" ref="GW5:HA54">GW60:HA109</f>
        <v>20</v>
      </c>
      <c r="GX5" s="37">
        <v>20</v>
      </c>
      <c r="GY5" s="37">
        <v>20</v>
      </c>
      <c r="GZ5" s="37">
        <v>1</v>
      </c>
      <c r="HA5" s="37">
        <v>20</v>
      </c>
      <c r="HD5" s="37" t="str">
        <f>VLOOKUP(HD60,$B$114:$C$126,2,FALSE)</f>
        <v>_low_5_</v>
      </c>
      <c r="HE5" s="37" t="str">
        <f t="shared" ref="HE5:HH5" si="15">VLOOKUP(HE60,$B$114:$C$126,2,FALSE)</f>
        <v>_low_4_</v>
      </c>
      <c r="HF5" s="37" t="str">
        <f t="shared" si="15"/>
        <v>_HIG_4_</v>
      </c>
      <c r="HG5" s="37" t="str">
        <f t="shared" si="15"/>
        <v>_HIG_4_</v>
      </c>
      <c r="HH5" s="37" t="str">
        <f t="shared" si="15"/>
        <v>_low_4_</v>
      </c>
      <c r="HK5" s="37" cm="1">
        <f t="array" ref="HK5:HO54">HK60:HO109</f>
        <v>20</v>
      </c>
      <c r="HL5" s="37">
        <v>20</v>
      </c>
      <c r="HM5" s="37">
        <v>20</v>
      </c>
      <c r="HN5" s="37">
        <v>1</v>
      </c>
      <c r="HO5" s="37">
        <v>20</v>
      </c>
    </row>
    <row r="6" spans="1:223" x14ac:dyDescent="0.35">
      <c r="A6" s="37">
        <v>2</v>
      </c>
      <c r="B6" s="37" t="str">
        <f t="shared" ref="B6:F6" si="16">VLOOKUP(B61,$B$114:$C$126,2,FALSE)</f>
        <v>_low_4_</v>
      </c>
      <c r="C6" s="37" t="str">
        <f t="shared" si="16"/>
        <v>_low_4_</v>
      </c>
      <c r="D6" s="37" t="str">
        <f t="shared" si="16"/>
        <v>_HIG_4_</v>
      </c>
      <c r="E6" s="37" t="str">
        <f t="shared" si="16"/>
        <v>_low_3_</v>
      </c>
      <c r="F6" s="37" t="str">
        <f t="shared" si="16"/>
        <v>_low_1_</v>
      </c>
      <c r="I6" s="60">
        <v>20</v>
      </c>
      <c r="J6" s="60">
        <v>20</v>
      </c>
      <c r="K6" s="60">
        <v>20</v>
      </c>
      <c r="L6" s="60">
        <v>20</v>
      </c>
      <c r="M6" s="60">
        <v>20</v>
      </c>
      <c r="P6" s="37" t="str">
        <f t="shared" ref="P6:T6" si="17">VLOOKUP(P61,$B$114:$C$126,2,FALSE)</f>
        <v>_low_4_</v>
      </c>
      <c r="Q6" s="37" t="str">
        <f t="shared" si="17"/>
        <v>_low_4_</v>
      </c>
      <c r="R6" s="37" t="str">
        <f t="shared" si="17"/>
        <v>_HIG_4_</v>
      </c>
      <c r="S6" s="37" t="str">
        <f t="shared" si="17"/>
        <v>_low_3_</v>
      </c>
      <c r="T6" s="37" t="str">
        <f t="shared" si="17"/>
        <v>_low_1_</v>
      </c>
      <c r="W6" s="37">
        <v>1</v>
      </c>
      <c r="X6" s="37">
        <v>20</v>
      </c>
      <c r="Y6" s="37">
        <v>20</v>
      </c>
      <c r="Z6" s="37">
        <v>20</v>
      </c>
      <c r="AA6" s="37">
        <v>20</v>
      </c>
      <c r="AD6" s="37" t="str">
        <f t="shared" ref="AD6:AH6" si="18">VLOOKUP(AD61,$B$114:$C$126,2,FALSE)</f>
        <v>_low_4_</v>
      </c>
      <c r="AE6" s="37" t="str">
        <f t="shared" si="18"/>
        <v>_low_4_</v>
      </c>
      <c r="AF6" s="37" t="str">
        <f t="shared" si="18"/>
        <v>_HIG_4_</v>
      </c>
      <c r="AG6" s="37" t="str">
        <f t="shared" si="18"/>
        <v>_low_3_</v>
      </c>
      <c r="AH6" s="37" t="str">
        <f t="shared" si="18"/>
        <v>_low_1_</v>
      </c>
      <c r="AK6" s="37">
        <v>20</v>
      </c>
      <c r="AL6" s="37">
        <v>20</v>
      </c>
      <c r="AM6" s="37">
        <v>20</v>
      </c>
      <c r="AN6" s="37">
        <v>20</v>
      </c>
      <c r="AO6" s="37">
        <v>20</v>
      </c>
      <c r="AR6" s="37" t="str">
        <f t="shared" ref="AR6:AV6" si="19">VLOOKUP(AR61,$B$114:$C$126,2,FALSE)</f>
        <v>_low_4_</v>
      </c>
      <c r="AS6" s="37" t="str">
        <f t="shared" si="19"/>
        <v>_low_4_</v>
      </c>
      <c r="AT6" s="37" t="str">
        <f t="shared" si="19"/>
        <v>_HIG_4_</v>
      </c>
      <c r="AU6" s="37" t="str">
        <f t="shared" si="19"/>
        <v>_low_3_</v>
      </c>
      <c r="AV6" s="37" t="str">
        <f t="shared" si="19"/>
        <v>_low_1_</v>
      </c>
      <c r="AY6" s="37">
        <v>20</v>
      </c>
      <c r="AZ6" s="37">
        <v>20</v>
      </c>
      <c r="BA6" s="37">
        <v>20</v>
      </c>
      <c r="BB6" s="37">
        <v>20</v>
      </c>
      <c r="BC6" s="37">
        <v>20</v>
      </c>
      <c r="BF6" s="37" t="str">
        <f t="shared" ref="BF6:BJ6" si="20">VLOOKUP(BF61,$B$114:$C$126,2,FALSE)</f>
        <v>_low_4_</v>
      </c>
      <c r="BG6" s="37" t="str">
        <f t="shared" si="20"/>
        <v>_low_4_</v>
      </c>
      <c r="BH6" s="37" t="str">
        <f t="shared" si="20"/>
        <v>_HIG_4_</v>
      </c>
      <c r="BI6" s="37" t="str">
        <f t="shared" si="20"/>
        <v>_low_3_</v>
      </c>
      <c r="BJ6" s="37" t="str">
        <f t="shared" si="20"/>
        <v>_low_1_</v>
      </c>
      <c r="BM6" s="37">
        <v>20</v>
      </c>
      <c r="BN6" s="37">
        <v>20</v>
      </c>
      <c r="BO6" s="37">
        <v>20</v>
      </c>
      <c r="BP6" s="37">
        <v>20</v>
      </c>
      <c r="BQ6" s="37">
        <v>20</v>
      </c>
      <c r="BT6" s="37" t="str">
        <f t="shared" ref="BT6:BX6" si="21">VLOOKUP(BT61,$B$114:$C$126,2,FALSE)</f>
        <v>_low_4_</v>
      </c>
      <c r="BU6" s="37" t="str">
        <f t="shared" si="21"/>
        <v>_low_4_</v>
      </c>
      <c r="BV6" s="37" t="str">
        <f t="shared" si="21"/>
        <v>_HIG_4_</v>
      </c>
      <c r="BW6" s="37" t="str">
        <f t="shared" si="21"/>
        <v>_low_3_</v>
      </c>
      <c r="BX6" s="37" t="str">
        <f t="shared" si="21"/>
        <v>_low_1_</v>
      </c>
      <c r="CA6" s="37">
        <v>20</v>
      </c>
      <c r="CB6" s="37">
        <v>20</v>
      </c>
      <c r="CC6" s="37">
        <v>20</v>
      </c>
      <c r="CD6" s="37">
        <v>20</v>
      </c>
      <c r="CE6" s="37">
        <v>20</v>
      </c>
      <c r="CH6" s="37" t="str">
        <f t="shared" ref="CH6:CL6" si="22">VLOOKUP(CH61,$B$114:$C$126,2,FALSE)</f>
        <v>_low_4_</v>
      </c>
      <c r="CI6" s="37" t="str">
        <f t="shared" si="22"/>
        <v>_low_4_</v>
      </c>
      <c r="CJ6" s="37" t="str">
        <f t="shared" si="22"/>
        <v>_HIG_4_</v>
      </c>
      <c r="CK6" s="37" t="str">
        <f t="shared" si="22"/>
        <v>_low_3_</v>
      </c>
      <c r="CL6" s="37" t="str">
        <f t="shared" si="22"/>
        <v>_low_1_</v>
      </c>
      <c r="CO6" s="37">
        <v>20</v>
      </c>
      <c r="CP6" s="37">
        <v>20</v>
      </c>
      <c r="CQ6" s="37">
        <v>20</v>
      </c>
      <c r="CR6" s="37">
        <v>20</v>
      </c>
      <c r="CS6" s="37">
        <v>20</v>
      </c>
      <c r="CV6" s="37" t="str">
        <f t="shared" ref="CV6:CZ6" si="23">VLOOKUP(CV61,$B$114:$C$126,2,FALSE)</f>
        <v>_low_4_</v>
      </c>
      <c r="CW6" s="37" t="str">
        <f t="shared" si="23"/>
        <v>_low_4_</v>
      </c>
      <c r="CX6" s="37" t="str">
        <f t="shared" si="23"/>
        <v>_HIG_4_</v>
      </c>
      <c r="CY6" s="37" t="str">
        <f t="shared" si="23"/>
        <v>_low_3_</v>
      </c>
      <c r="CZ6" s="37" t="str">
        <f t="shared" si="23"/>
        <v>_low_1_</v>
      </c>
      <c r="DC6" s="37">
        <v>20</v>
      </c>
      <c r="DD6" s="37">
        <v>20</v>
      </c>
      <c r="DE6" s="37">
        <v>20</v>
      </c>
      <c r="DF6" s="37">
        <v>20</v>
      </c>
      <c r="DG6" s="37">
        <v>20</v>
      </c>
      <c r="DJ6" s="37" t="str">
        <f t="shared" ref="DJ6:DN6" si="24">VLOOKUP(DJ61,$B$114:$C$126,2,FALSE)</f>
        <v>_low_4_</v>
      </c>
      <c r="DK6" s="37" t="str">
        <f t="shared" si="24"/>
        <v>_low_4_</v>
      </c>
      <c r="DL6" s="37" t="str">
        <f t="shared" si="24"/>
        <v>_HIG_4_</v>
      </c>
      <c r="DM6" s="37" t="str">
        <f t="shared" si="24"/>
        <v>_low_3_</v>
      </c>
      <c r="DN6" s="37" t="str">
        <f t="shared" si="24"/>
        <v>_low_1_</v>
      </c>
      <c r="DQ6" s="37">
        <v>20</v>
      </c>
      <c r="DR6" s="37">
        <v>20</v>
      </c>
      <c r="DS6" s="37">
        <v>20</v>
      </c>
      <c r="DT6" s="37">
        <v>20</v>
      </c>
      <c r="DU6" s="37">
        <v>20</v>
      </c>
      <c r="DX6" s="37" t="str">
        <f t="shared" ref="DX6:EB6" si="25">VLOOKUP(DX61,$B$114:$C$126,2,FALSE)</f>
        <v>_low_4_</v>
      </c>
      <c r="DY6" s="37" t="str">
        <f t="shared" si="25"/>
        <v>_low_4_</v>
      </c>
      <c r="DZ6" s="37" t="str">
        <f t="shared" si="25"/>
        <v>_HIG_4_</v>
      </c>
      <c r="EA6" s="37" t="str">
        <f t="shared" si="25"/>
        <v>_low_3_</v>
      </c>
      <c r="EB6" s="37" t="str">
        <f t="shared" si="25"/>
        <v>_low_1_</v>
      </c>
      <c r="EE6" s="37">
        <v>20</v>
      </c>
      <c r="EF6" s="37">
        <v>20</v>
      </c>
      <c r="EG6" s="37">
        <v>20</v>
      </c>
      <c r="EH6" s="37">
        <v>20</v>
      </c>
      <c r="EI6" s="37">
        <v>20</v>
      </c>
      <c r="EL6" s="37" t="str">
        <f t="shared" ref="EL6:EP6" si="26">VLOOKUP(EL61,$B$114:$C$126,2,FALSE)</f>
        <v>_low_4_</v>
      </c>
      <c r="EM6" s="37" t="str">
        <f t="shared" si="26"/>
        <v>_low_4_</v>
      </c>
      <c r="EN6" s="37" t="str">
        <f t="shared" si="26"/>
        <v>_HIG_4_</v>
      </c>
      <c r="EO6" s="37" t="str">
        <f t="shared" si="26"/>
        <v>_low_3_</v>
      </c>
      <c r="EP6" s="37" t="str">
        <f t="shared" si="26"/>
        <v>_low_1_</v>
      </c>
      <c r="ES6" s="37">
        <v>20</v>
      </c>
      <c r="ET6" s="37">
        <v>20</v>
      </c>
      <c r="EU6" s="37">
        <v>20</v>
      </c>
      <c r="EV6" s="37">
        <v>20</v>
      </c>
      <c r="EW6" s="37">
        <v>20</v>
      </c>
      <c r="EZ6" s="37" t="str">
        <f t="shared" ref="EZ6:FD6" si="27">VLOOKUP(EZ61,$B$114:$C$126,2,FALSE)</f>
        <v>_low_4_</v>
      </c>
      <c r="FA6" s="37" t="str">
        <f t="shared" si="27"/>
        <v>_low_4_</v>
      </c>
      <c r="FB6" s="37" t="str">
        <f t="shared" si="27"/>
        <v>_HIG_4_</v>
      </c>
      <c r="FC6" s="37" t="str">
        <f t="shared" si="27"/>
        <v>_low_3_</v>
      </c>
      <c r="FD6" s="37" t="str">
        <f t="shared" si="27"/>
        <v>_low_1_</v>
      </c>
      <c r="FG6" s="37">
        <v>20</v>
      </c>
      <c r="FH6" s="37">
        <v>20</v>
      </c>
      <c r="FI6" s="37">
        <v>20</v>
      </c>
      <c r="FJ6" s="37">
        <v>20</v>
      </c>
      <c r="FK6" s="37">
        <v>20</v>
      </c>
      <c r="FN6" s="37" t="str">
        <f t="shared" ref="FN6:FR6" si="28">VLOOKUP(FN61,$B$114:$C$126,2,FALSE)</f>
        <v>_low_4_</v>
      </c>
      <c r="FO6" s="37" t="str">
        <f t="shared" si="28"/>
        <v>_low_4_</v>
      </c>
      <c r="FP6" s="37" t="str">
        <f t="shared" si="28"/>
        <v>_HIG_4_</v>
      </c>
      <c r="FQ6" s="37" t="str">
        <f t="shared" si="28"/>
        <v>_low_3_</v>
      </c>
      <c r="FR6" s="37" t="str">
        <f t="shared" si="28"/>
        <v>_low_1_</v>
      </c>
      <c r="FU6" s="37">
        <v>20</v>
      </c>
      <c r="FV6" s="37">
        <v>20</v>
      </c>
      <c r="FW6" s="37">
        <v>20</v>
      </c>
      <c r="FX6" s="37">
        <v>20</v>
      </c>
      <c r="FY6" s="37">
        <v>20</v>
      </c>
      <c r="GB6" s="37" t="str">
        <f t="shared" ref="GB6:GF6" si="29">VLOOKUP(GB61,$B$114:$C$126,2,FALSE)</f>
        <v>_low_4_</v>
      </c>
      <c r="GC6" s="37" t="str">
        <f t="shared" si="29"/>
        <v>_low_4_</v>
      </c>
      <c r="GD6" s="37" t="str">
        <f t="shared" si="29"/>
        <v>_HIG_4_</v>
      </c>
      <c r="GE6" s="37" t="str">
        <f t="shared" si="29"/>
        <v>_low_3_</v>
      </c>
      <c r="GF6" s="37" t="str">
        <f t="shared" si="29"/>
        <v>_low_1_</v>
      </c>
      <c r="GI6" s="37">
        <v>20</v>
      </c>
      <c r="GJ6" s="37">
        <v>20</v>
      </c>
      <c r="GK6" s="37">
        <v>20</v>
      </c>
      <c r="GL6" s="37">
        <v>20</v>
      </c>
      <c r="GM6" s="37">
        <v>20</v>
      </c>
      <c r="GP6" s="37" t="str">
        <f t="shared" ref="GP6:GT6" si="30">VLOOKUP(GP61,$B$114:$C$126,2,FALSE)</f>
        <v>_low_4_</v>
      </c>
      <c r="GQ6" s="37" t="str">
        <f t="shared" si="30"/>
        <v>_low_4_</v>
      </c>
      <c r="GR6" s="37" t="str">
        <f t="shared" si="30"/>
        <v>_HIG_4_</v>
      </c>
      <c r="GS6" s="37" t="str">
        <f t="shared" si="30"/>
        <v>_low_3_</v>
      </c>
      <c r="GT6" s="37" t="str">
        <f t="shared" si="30"/>
        <v>_low_1_</v>
      </c>
      <c r="GW6" s="37">
        <v>20</v>
      </c>
      <c r="GX6" s="37">
        <v>20</v>
      </c>
      <c r="GY6" s="37">
        <v>20</v>
      </c>
      <c r="GZ6" s="37">
        <v>20</v>
      </c>
      <c r="HA6" s="37">
        <v>20</v>
      </c>
      <c r="HD6" s="37" t="str">
        <f t="shared" ref="HD6:HH6" si="31">VLOOKUP(HD61,$B$114:$C$126,2,FALSE)</f>
        <v>_low_4_</v>
      </c>
      <c r="HE6" s="37" t="str">
        <f t="shared" si="31"/>
        <v>_low_4_</v>
      </c>
      <c r="HF6" s="37" t="str">
        <f t="shared" si="31"/>
        <v>_HIG_4_</v>
      </c>
      <c r="HG6" s="37" t="str">
        <f t="shared" si="31"/>
        <v>_low_3_</v>
      </c>
      <c r="HH6" s="37" t="str">
        <f t="shared" si="31"/>
        <v>_low_1_</v>
      </c>
      <c r="HK6" s="37">
        <v>20</v>
      </c>
      <c r="HL6" s="37">
        <v>20</v>
      </c>
      <c r="HM6" s="37">
        <v>20</v>
      </c>
      <c r="HN6" s="37">
        <v>20</v>
      </c>
      <c r="HO6" s="37">
        <v>20</v>
      </c>
    </row>
    <row r="7" spans="1:223" x14ac:dyDescent="0.35">
      <c r="A7" s="37">
        <v>3</v>
      </c>
      <c r="B7" s="37" t="str">
        <f t="shared" ref="B7:F7" si="32">VLOOKUP(B62,$B$114:$C$126,2,FALSE)</f>
        <v>_low_3_</v>
      </c>
      <c r="C7" s="37" t="str">
        <f t="shared" si="32"/>
        <v>_low_2_</v>
      </c>
      <c r="D7" s="37" t="str">
        <f t="shared" si="32"/>
        <v>_low_1_</v>
      </c>
      <c r="E7" s="37" t="str">
        <f t="shared" si="32"/>
        <v>_HIG_2_</v>
      </c>
      <c r="F7" s="37" t="str">
        <f t="shared" si="32"/>
        <v>_low_1_</v>
      </c>
      <c r="I7" s="60">
        <v>20</v>
      </c>
      <c r="J7" s="60">
        <v>1</v>
      </c>
      <c r="K7" s="60">
        <v>1</v>
      </c>
      <c r="L7" s="60">
        <v>20</v>
      </c>
      <c r="M7" s="60">
        <v>20</v>
      </c>
      <c r="P7" s="37" t="str">
        <f t="shared" ref="P7:T7" si="33">VLOOKUP(P62,$B$114:$C$126,2,FALSE)</f>
        <v>_low_3_</v>
      </c>
      <c r="Q7" s="37" t="str">
        <f t="shared" si="33"/>
        <v>_low_2_</v>
      </c>
      <c r="R7" s="37" t="str">
        <f t="shared" si="33"/>
        <v>_low_1_</v>
      </c>
      <c r="S7" s="37" t="str">
        <f t="shared" si="33"/>
        <v>_HIG_2_</v>
      </c>
      <c r="T7" s="37" t="str">
        <f t="shared" si="33"/>
        <v>_low_1_</v>
      </c>
      <c r="W7" s="37">
        <v>20</v>
      </c>
      <c r="X7" s="37">
        <v>1</v>
      </c>
      <c r="Y7" s="37">
        <v>1</v>
      </c>
      <c r="Z7" s="37">
        <v>20</v>
      </c>
      <c r="AA7" s="37">
        <v>20</v>
      </c>
      <c r="AD7" s="37" t="str">
        <f t="shared" ref="AD7:AH7" si="34">VLOOKUP(AD62,$B$114:$C$126,2,FALSE)</f>
        <v>_low_3_</v>
      </c>
      <c r="AE7" s="37" t="str">
        <f t="shared" si="34"/>
        <v>_low_2_</v>
      </c>
      <c r="AF7" s="37" t="str">
        <f t="shared" si="34"/>
        <v>_low_1_</v>
      </c>
      <c r="AG7" s="37" t="str">
        <f t="shared" si="34"/>
        <v>_HIG_2_</v>
      </c>
      <c r="AH7" s="37" t="str">
        <f t="shared" si="34"/>
        <v>_low_1_</v>
      </c>
      <c r="AK7" s="37">
        <v>20</v>
      </c>
      <c r="AL7" s="37">
        <v>2000</v>
      </c>
      <c r="AM7" s="37">
        <v>1</v>
      </c>
      <c r="AN7" s="37">
        <v>20</v>
      </c>
      <c r="AO7" s="37">
        <v>20</v>
      </c>
      <c r="AR7" s="37" t="str">
        <f t="shared" ref="AR7:AV7" si="35">VLOOKUP(AR62,$B$114:$C$126,2,FALSE)</f>
        <v>_low_3_</v>
      </c>
      <c r="AS7" s="37" t="str">
        <f t="shared" si="35"/>
        <v>_low_2_</v>
      </c>
      <c r="AT7" s="37" t="str">
        <f t="shared" si="35"/>
        <v>_low_1_</v>
      </c>
      <c r="AU7" s="37" t="str">
        <f t="shared" si="35"/>
        <v>_HIG_2_</v>
      </c>
      <c r="AV7" s="37" t="str">
        <f t="shared" si="35"/>
        <v>_low_1_</v>
      </c>
      <c r="AY7" s="37">
        <v>20</v>
      </c>
      <c r="AZ7" s="37">
        <v>4000</v>
      </c>
      <c r="BA7" s="37">
        <v>1</v>
      </c>
      <c r="BB7" s="37">
        <v>20</v>
      </c>
      <c r="BC7" s="37">
        <v>20</v>
      </c>
      <c r="BF7" s="37" t="str">
        <f t="shared" ref="BF7:BJ7" si="36">VLOOKUP(BF62,$B$114:$C$126,2,FALSE)</f>
        <v>_low_3_</v>
      </c>
      <c r="BG7" s="37" t="str">
        <f t="shared" si="36"/>
        <v>_low_2_</v>
      </c>
      <c r="BH7" s="37" t="str">
        <f t="shared" si="36"/>
        <v>_low_1_</v>
      </c>
      <c r="BI7" s="37" t="str">
        <f t="shared" si="36"/>
        <v>_HIG_2_</v>
      </c>
      <c r="BJ7" s="37" t="str">
        <f t="shared" si="36"/>
        <v>_low_1_</v>
      </c>
      <c r="BM7" s="37">
        <v>20</v>
      </c>
      <c r="BN7" s="37">
        <v>5000</v>
      </c>
      <c r="BO7" s="37">
        <v>5000</v>
      </c>
      <c r="BP7" s="37">
        <v>20</v>
      </c>
      <c r="BQ7" s="37">
        <v>20</v>
      </c>
      <c r="BT7" s="37" t="str">
        <f t="shared" ref="BT7:BX7" si="37">VLOOKUP(BT62,$B$114:$C$126,2,FALSE)</f>
        <v>_low_3_</v>
      </c>
      <c r="BU7" s="37" t="str">
        <f t="shared" si="37"/>
        <v>_low_2_</v>
      </c>
      <c r="BV7" s="37" t="str">
        <f t="shared" si="37"/>
        <v>_low_1_</v>
      </c>
      <c r="BW7" s="37" t="str">
        <f t="shared" si="37"/>
        <v>_HIG_2_</v>
      </c>
      <c r="BX7" s="37" t="str">
        <f t="shared" si="37"/>
        <v>_low_1_</v>
      </c>
      <c r="CA7" s="37">
        <v>20</v>
      </c>
      <c r="CB7" s="37">
        <v>4000</v>
      </c>
      <c r="CC7" s="37">
        <v>1</v>
      </c>
      <c r="CD7" s="37">
        <v>20</v>
      </c>
      <c r="CE7" s="37">
        <v>20</v>
      </c>
      <c r="CH7" s="37" t="str">
        <f t="shared" ref="CH7:CL7" si="38">VLOOKUP(CH62,$B$114:$C$126,2,FALSE)</f>
        <v>_low_3_</v>
      </c>
      <c r="CI7" s="37" t="str">
        <f t="shared" si="38"/>
        <v>_low_2_</v>
      </c>
      <c r="CJ7" s="37" t="str">
        <f t="shared" si="38"/>
        <v>_low_1_</v>
      </c>
      <c r="CK7" s="37" t="str">
        <f t="shared" si="38"/>
        <v>_HIG_2_</v>
      </c>
      <c r="CL7" s="37" t="str">
        <f t="shared" si="38"/>
        <v>_low_1_</v>
      </c>
      <c r="CO7" s="37">
        <v>20</v>
      </c>
      <c r="CP7" s="37">
        <v>1</v>
      </c>
      <c r="CQ7" s="37">
        <v>1</v>
      </c>
      <c r="CR7" s="37">
        <v>20</v>
      </c>
      <c r="CS7" s="37">
        <v>20</v>
      </c>
      <c r="CV7" s="37" t="str">
        <f t="shared" ref="CV7:CZ7" si="39">VLOOKUP(CV62,$B$114:$C$126,2,FALSE)</f>
        <v>_low_3_</v>
      </c>
      <c r="CW7" s="37" t="str">
        <f t="shared" si="39"/>
        <v>_low_2_</v>
      </c>
      <c r="CX7" s="37" t="str">
        <f t="shared" si="39"/>
        <v>_low_1_</v>
      </c>
      <c r="CY7" s="37" t="str">
        <f t="shared" si="39"/>
        <v>_HIG_2_</v>
      </c>
      <c r="CZ7" s="37" t="str">
        <f t="shared" si="39"/>
        <v>_low_1_</v>
      </c>
      <c r="DC7" s="37">
        <v>20</v>
      </c>
      <c r="DD7" s="37">
        <v>4000</v>
      </c>
      <c r="DE7" s="37">
        <v>1</v>
      </c>
      <c r="DF7" s="37">
        <v>20</v>
      </c>
      <c r="DG7" s="37">
        <v>20</v>
      </c>
      <c r="DJ7" s="37" t="str">
        <f t="shared" ref="DJ7:DN7" si="40">VLOOKUP(DJ62,$B$114:$C$126,2,FALSE)</f>
        <v>_low_3_</v>
      </c>
      <c r="DK7" s="37" t="str">
        <f t="shared" si="40"/>
        <v>_low_2_</v>
      </c>
      <c r="DL7" s="37" t="str">
        <f t="shared" si="40"/>
        <v>_low_1_</v>
      </c>
      <c r="DM7" s="37" t="str">
        <f t="shared" si="40"/>
        <v>_HIG_2_</v>
      </c>
      <c r="DN7" s="37" t="str">
        <f t="shared" si="40"/>
        <v>_low_1_</v>
      </c>
      <c r="DQ7" s="37">
        <v>20</v>
      </c>
      <c r="DR7" s="37">
        <v>1</v>
      </c>
      <c r="DS7" s="37">
        <v>4000</v>
      </c>
      <c r="DT7" s="37">
        <v>20</v>
      </c>
      <c r="DU7" s="37">
        <v>20</v>
      </c>
      <c r="DX7" s="37" t="str">
        <f t="shared" ref="DX7:EB7" si="41">VLOOKUP(DX62,$B$114:$C$126,2,FALSE)</f>
        <v>_low_3_</v>
      </c>
      <c r="DY7" s="37" t="str">
        <f t="shared" si="41"/>
        <v>_low_2_</v>
      </c>
      <c r="DZ7" s="37" t="str">
        <f t="shared" si="41"/>
        <v>_low_1_</v>
      </c>
      <c r="EA7" s="37" t="str">
        <f t="shared" si="41"/>
        <v>_HIG_2_</v>
      </c>
      <c r="EB7" s="37" t="str">
        <f t="shared" si="41"/>
        <v>_low_1_</v>
      </c>
      <c r="EE7" s="37">
        <v>20</v>
      </c>
      <c r="EF7" s="37">
        <v>1</v>
      </c>
      <c r="EG7" s="37">
        <v>1</v>
      </c>
      <c r="EH7" s="37">
        <v>20</v>
      </c>
      <c r="EI7" s="37">
        <v>20</v>
      </c>
      <c r="EL7" s="37" t="str">
        <f t="shared" ref="EL7:EP7" si="42">VLOOKUP(EL62,$B$114:$C$126,2,FALSE)</f>
        <v>_low_3_</v>
      </c>
      <c r="EM7" s="37" t="str">
        <f t="shared" si="42"/>
        <v>_low_2_</v>
      </c>
      <c r="EN7" s="37" t="str">
        <f t="shared" si="42"/>
        <v>_low_1_</v>
      </c>
      <c r="EO7" s="37" t="str">
        <f t="shared" si="42"/>
        <v>_HIG_2_</v>
      </c>
      <c r="EP7" s="37" t="str">
        <f t="shared" si="42"/>
        <v>_low_1_</v>
      </c>
      <c r="ES7" s="37">
        <v>20</v>
      </c>
      <c r="ET7" s="37">
        <v>1</v>
      </c>
      <c r="EU7" s="37">
        <v>1</v>
      </c>
      <c r="EV7" s="37">
        <v>20</v>
      </c>
      <c r="EW7" s="37">
        <v>20</v>
      </c>
      <c r="EZ7" s="37" t="str">
        <f t="shared" ref="EZ7:FD7" si="43">VLOOKUP(EZ62,$B$114:$C$126,2,FALSE)</f>
        <v>_low_3_</v>
      </c>
      <c r="FA7" s="37" t="str">
        <f t="shared" si="43"/>
        <v>_low_2_</v>
      </c>
      <c r="FB7" s="37" t="str">
        <f t="shared" si="43"/>
        <v>_low_1_</v>
      </c>
      <c r="FC7" s="37" t="str">
        <f t="shared" si="43"/>
        <v>_HIG_2_</v>
      </c>
      <c r="FD7" s="37" t="str">
        <f t="shared" si="43"/>
        <v>_low_1_</v>
      </c>
      <c r="FG7" s="37">
        <v>20</v>
      </c>
      <c r="FH7" s="37">
        <v>1</v>
      </c>
      <c r="FI7" s="37">
        <v>1</v>
      </c>
      <c r="FJ7" s="37">
        <v>20</v>
      </c>
      <c r="FK7" s="37">
        <v>20</v>
      </c>
      <c r="FN7" s="37" t="str">
        <f t="shared" ref="FN7:FR7" si="44">VLOOKUP(FN62,$B$114:$C$126,2,FALSE)</f>
        <v>_low_3_</v>
      </c>
      <c r="FO7" s="37" t="str">
        <f t="shared" si="44"/>
        <v>_low_2_</v>
      </c>
      <c r="FP7" s="37" t="str">
        <f t="shared" si="44"/>
        <v>_low_1_</v>
      </c>
      <c r="FQ7" s="37" t="str">
        <f t="shared" si="44"/>
        <v>_HIG_2_</v>
      </c>
      <c r="FR7" s="37" t="str">
        <f t="shared" si="44"/>
        <v>_low_1_</v>
      </c>
      <c r="FU7" s="37">
        <v>20</v>
      </c>
      <c r="FV7" s="37">
        <v>4000</v>
      </c>
      <c r="FW7" s="37">
        <v>1</v>
      </c>
      <c r="FX7" s="37">
        <v>20</v>
      </c>
      <c r="FY7" s="37">
        <v>20</v>
      </c>
      <c r="GB7" s="37" t="str">
        <f t="shared" ref="GB7:GF7" si="45">VLOOKUP(GB62,$B$114:$C$126,2,FALSE)</f>
        <v>_low_3_</v>
      </c>
      <c r="GC7" s="37" t="str">
        <f t="shared" si="45"/>
        <v>_low_2_</v>
      </c>
      <c r="GD7" s="37" t="str">
        <f t="shared" si="45"/>
        <v>_low_1_</v>
      </c>
      <c r="GE7" s="37" t="str">
        <f t="shared" si="45"/>
        <v>_HIG_2_</v>
      </c>
      <c r="GF7" s="37" t="str">
        <f t="shared" si="45"/>
        <v>_low_1_</v>
      </c>
      <c r="GI7" s="37">
        <v>20</v>
      </c>
      <c r="GJ7" s="37">
        <v>1</v>
      </c>
      <c r="GK7" s="37">
        <v>1</v>
      </c>
      <c r="GL7" s="37">
        <v>20</v>
      </c>
      <c r="GM7" s="37">
        <v>20</v>
      </c>
      <c r="GP7" s="37" t="str">
        <f t="shared" ref="GP7:GT7" si="46">VLOOKUP(GP62,$B$114:$C$126,2,FALSE)</f>
        <v>_low_3_</v>
      </c>
      <c r="GQ7" s="37" t="str">
        <f t="shared" si="46"/>
        <v>_low_2_</v>
      </c>
      <c r="GR7" s="37" t="str">
        <f t="shared" si="46"/>
        <v>_low_1_</v>
      </c>
      <c r="GS7" s="37" t="str">
        <f t="shared" si="46"/>
        <v>_HIG_2_</v>
      </c>
      <c r="GT7" s="37" t="str">
        <f t="shared" si="46"/>
        <v>_low_1_</v>
      </c>
      <c r="GW7" s="37">
        <v>20</v>
      </c>
      <c r="GX7" s="37">
        <v>1</v>
      </c>
      <c r="GY7" s="37">
        <v>1</v>
      </c>
      <c r="GZ7" s="37">
        <v>20</v>
      </c>
      <c r="HA7" s="37">
        <v>20</v>
      </c>
      <c r="HD7" s="37" t="str">
        <f t="shared" ref="HD7:HH7" si="47">VLOOKUP(HD62,$B$114:$C$126,2,FALSE)</f>
        <v>_low_3_</v>
      </c>
      <c r="HE7" s="37" t="str">
        <f t="shared" si="47"/>
        <v>_low_2_</v>
      </c>
      <c r="HF7" s="37" t="str">
        <f t="shared" si="47"/>
        <v>_low_1_</v>
      </c>
      <c r="HG7" s="37" t="str">
        <f t="shared" si="47"/>
        <v>_HIG_2_</v>
      </c>
      <c r="HH7" s="37" t="str">
        <f t="shared" si="47"/>
        <v>_low_1_</v>
      </c>
      <c r="HK7" s="37">
        <v>20</v>
      </c>
      <c r="HL7" s="37">
        <v>1</v>
      </c>
      <c r="HM7" s="37">
        <v>1</v>
      </c>
      <c r="HN7" s="37">
        <v>20</v>
      </c>
      <c r="HO7" s="37">
        <v>20</v>
      </c>
    </row>
    <row r="8" spans="1:223" x14ac:dyDescent="0.35">
      <c r="A8" s="37">
        <v>4</v>
      </c>
      <c r="B8" s="37" t="str">
        <f t="shared" ref="B8:F8" si="48">VLOOKUP(B63,$B$114:$C$126,2,FALSE)</f>
        <v>_low_4_</v>
      </c>
      <c r="C8" s="37" t="str">
        <f t="shared" si="48"/>
        <v>_COI_1_</v>
      </c>
      <c r="D8" s="37" t="str">
        <f t="shared" si="48"/>
        <v>_COI_1_</v>
      </c>
      <c r="E8" s="37" t="str">
        <f t="shared" si="48"/>
        <v>_low_2_</v>
      </c>
      <c r="F8" s="37" t="str">
        <f t="shared" si="48"/>
        <v>_HIG_4_</v>
      </c>
      <c r="I8" s="60">
        <v>1</v>
      </c>
      <c r="J8" s="60">
        <v>1</v>
      </c>
      <c r="K8" s="60">
        <v>1</v>
      </c>
      <c r="L8" s="60">
        <v>1</v>
      </c>
      <c r="M8" s="60">
        <v>1</v>
      </c>
      <c r="P8" s="37" t="str">
        <f t="shared" ref="P8:T8" si="49">VLOOKUP(P63,$B$114:$C$126,2,FALSE)</f>
        <v>_low_4_</v>
      </c>
      <c r="Q8" s="37" t="str">
        <f t="shared" si="49"/>
        <v>_COI_1_</v>
      </c>
      <c r="R8" s="37" t="str">
        <f t="shared" si="49"/>
        <v>_COI_1_</v>
      </c>
      <c r="S8" s="37" t="str">
        <f t="shared" si="49"/>
        <v>_low_2_</v>
      </c>
      <c r="T8" s="37" t="str">
        <f t="shared" si="49"/>
        <v>_HIG_4_</v>
      </c>
      <c r="W8" s="37">
        <v>1</v>
      </c>
      <c r="X8" s="37">
        <v>1</v>
      </c>
      <c r="Y8" s="37">
        <v>1</v>
      </c>
      <c r="Z8" s="37">
        <v>1</v>
      </c>
      <c r="AA8" s="37">
        <v>2000</v>
      </c>
      <c r="AD8" s="37" t="str">
        <f t="shared" ref="AD8:AH8" si="50">VLOOKUP(AD63,$B$114:$C$126,2,FALSE)</f>
        <v>_low_4_</v>
      </c>
      <c r="AE8" s="37" t="str">
        <f t="shared" si="50"/>
        <v>_COI_1_</v>
      </c>
      <c r="AF8" s="37" t="str">
        <f t="shared" si="50"/>
        <v>_COI_1_</v>
      </c>
      <c r="AG8" s="37" t="str">
        <f t="shared" si="50"/>
        <v>_low_2_</v>
      </c>
      <c r="AH8" s="37" t="str">
        <f t="shared" si="50"/>
        <v>_HIG_4_</v>
      </c>
      <c r="AK8" s="37">
        <v>1</v>
      </c>
      <c r="AL8" s="37">
        <v>2000</v>
      </c>
      <c r="AM8" s="37">
        <v>1</v>
      </c>
      <c r="AN8" s="37">
        <v>1</v>
      </c>
      <c r="AO8" s="37">
        <v>1</v>
      </c>
      <c r="AR8" s="37" t="str">
        <f t="shared" ref="AR8:AV8" si="51">VLOOKUP(AR63,$B$114:$C$126,2,FALSE)</f>
        <v>_low_4_</v>
      </c>
      <c r="AS8" s="37" t="str">
        <f t="shared" si="51"/>
        <v>_COI_1_</v>
      </c>
      <c r="AT8" s="37" t="str">
        <f t="shared" si="51"/>
        <v>_COI_1_</v>
      </c>
      <c r="AU8" s="37" t="str">
        <f t="shared" si="51"/>
        <v>_low_2_</v>
      </c>
      <c r="AV8" s="37" t="str">
        <f t="shared" si="51"/>
        <v>_HIG_4_</v>
      </c>
      <c r="AY8" s="37">
        <v>1</v>
      </c>
      <c r="AZ8" s="37">
        <v>4000</v>
      </c>
      <c r="BA8" s="37">
        <v>1</v>
      </c>
      <c r="BB8" s="37">
        <v>1</v>
      </c>
      <c r="BC8" s="37">
        <v>1</v>
      </c>
      <c r="BF8" s="37" t="str">
        <f t="shared" ref="BF8:BJ8" si="52">VLOOKUP(BF63,$B$114:$C$126,2,FALSE)</f>
        <v>_low_4_</v>
      </c>
      <c r="BG8" s="37" t="str">
        <f t="shared" si="52"/>
        <v>_COI_1_</v>
      </c>
      <c r="BH8" s="37" t="str">
        <f t="shared" si="52"/>
        <v>_COI_1_</v>
      </c>
      <c r="BI8" s="37" t="str">
        <f t="shared" si="52"/>
        <v>_low_2_</v>
      </c>
      <c r="BJ8" s="37" t="str">
        <f t="shared" si="52"/>
        <v>_HIG_4_</v>
      </c>
      <c r="BM8" s="37">
        <v>5000</v>
      </c>
      <c r="BN8" s="37">
        <v>5000</v>
      </c>
      <c r="BO8" s="37">
        <v>5000</v>
      </c>
      <c r="BP8" s="37">
        <v>1</v>
      </c>
      <c r="BQ8" s="37">
        <v>5000</v>
      </c>
      <c r="BT8" s="37" t="str">
        <f t="shared" ref="BT8:BX8" si="53">VLOOKUP(BT63,$B$114:$C$126,2,FALSE)</f>
        <v>_low_4_</v>
      </c>
      <c r="BU8" s="37" t="str">
        <f t="shared" si="53"/>
        <v>_COI_1_</v>
      </c>
      <c r="BV8" s="37" t="str">
        <f t="shared" si="53"/>
        <v>_COI_1_</v>
      </c>
      <c r="BW8" s="37" t="str">
        <f t="shared" si="53"/>
        <v>_low_2_</v>
      </c>
      <c r="BX8" s="37" t="str">
        <f t="shared" si="53"/>
        <v>_HIG_4_</v>
      </c>
      <c r="CA8" s="37">
        <v>1</v>
      </c>
      <c r="CB8" s="37">
        <v>4000</v>
      </c>
      <c r="CC8" s="37">
        <v>1</v>
      </c>
      <c r="CD8" s="37">
        <v>1</v>
      </c>
      <c r="CE8" s="37">
        <v>4000</v>
      </c>
      <c r="CH8" s="37" t="str">
        <f t="shared" ref="CH8:CL8" si="54">VLOOKUP(CH63,$B$114:$C$126,2,FALSE)</f>
        <v>_low_4_</v>
      </c>
      <c r="CI8" s="37" t="str">
        <f t="shared" si="54"/>
        <v>_COI_1_</v>
      </c>
      <c r="CJ8" s="37" t="str">
        <f t="shared" si="54"/>
        <v>_COI_1_</v>
      </c>
      <c r="CK8" s="37" t="str">
        <f t="shared" si="54"/>
        <v>_low_2_</v>
      </c>
      <c r="CL8" s="37" t="str">
        <f t="shared" si="54"/>
        <v>_HIG_4_</v>
      </c>
      <c r="CO8" s="37">
        <v>1</v>
      </c>
      <c r="CP8" s="37">
        <v>1</v>
      </c>
      <c r="CQ8" s="37">
        <v>1</v>
      </c>
      <c r="CR8" s="37">
        <v>1</v>
      </c>
      <c r="CS8" s="37">
        <v>4000</v>
      </c>
      <c r="CV8" s="37" t="str">
        <f t="shared" ref="CV8:CZ8" si="55">VLOOKUP(CV63,$B$114:$C$126,2,FALSE)</f>
        <v>_low_4_</v>
      </c>
      <c r="CW8" s="37" t="str">
        <f t="shared" si="55"/>
        <v>_COI_1_</v>
      </c>
      <c r="CX8" s="37" t="str">
        <f t="shared" si="55"/>
        <v>_COI_1_</v>
      </c>
      <c r="CY8" s="37" t="str">
        <f t="shared" si="55"/>
        <v>_low_2_</v>
      </c>
      <c r="CZ8" s="37" t="str">
        <f t="shared" si="55"/>
        <v>_HIG_4_</v>
      </c>
      <c r="DC8" s="37">
        <v>1</v>
      </c>
      <c r="DD8" s="37">
        <v>4000</v>
      </c>
      <c r="DE8" s="37">
        <v>1</v>
      </c>
      <c r="DF8" s="37">
        <v>1</v>
      </c>
      <c r="DG8" s="37">
        <v>1</v>
      </c>
      <c r="DJ8" s="37" t="str">
        <f t="shared" ref="DJ8:DN8" si="56">VLOOKUP(DJ63,$B$114:$C$126,2,FALSE)</f>
        <v>_low_4_</v>
      </c>
      <c r="DK8" s="37" t="str">
        <f t="shared" si="56"/>
        <v>_COI_1_</v>
      </c>
      <c r="DL8" s="37" t="str">
        <f t="shared" si="56"/>
        <v>_COI_1_</v>
      </c>
      <c r="DM8" s="37" t="str">
        <f t="shared" si="56"/>
        <v>_low_2_</v>
      </c>
      <c r="DN8" s="37" t="str">
        <f t="shared" si="56"/>
        <v>_HIG_4_</v>
      </c>
      <c r="DQ8" s="37">
        <v>4000</v>
      </c>
      <c r="DR8" s="37">
        <v>1</v>
      </c>
      <c r="DS8" s="37">
        <v>4000</v>
      </c>
      <c r="DT8" s="37">
        <v>1</v>
      </c>
      <c r="DU8" s="37">
        <v>4000</v>
      </c>
      <c r="DX8" s="37" t="str">
        <f t="shared" ref="DX8:EB8" si="57">VLOOKUP(DX63,$B$114:$C$126,2,FALSE)</f>
        <v>_low_4_</v>
      </c>
      <c r="DY8" s="37" t="str">
        <f t="shared" si="57"/>
        <v>_COI_1_</v>
      </c>
      <c r="DZ8" s="37" t="str">
        <f t="shared" si="57"/>
        <v>_COI_1_</v>
      </c>
      <c r="EA8" s="37" t="str">
        <f t="shared" si="57"/>
        <v>_low_2_</v>
      </c>
      <c r="EB8" s="37" t="str">
        <f t="shared" si="57"/>
        <v>_HIG_4_</v>
      </c>
      <c r="EE8" s="37">
        <v>8000</v>
      </c>
      <c r="EF8" s="37">
        <v>1</v>
      </c>
      <c r="EG8" s="37">
        <v>1</v>
      </c>
      <c r="EH8" s="37">
        <v>1</v>
      </c>
      <c r="EI8" s="37">
        <v>1</v>
      </c>
      <c r="EL8" s="37" t="str">
        <f t="shared" ref="EL8:EP8" si="58">VLOOKUP(EL63,$B$114:$C$126,2,FALSE)</f>
        <v>_low_4_</v>
      </c>
      <c r="EM8" s="37" t="str">
        <f t="shared" si="58"/>
        <v>_COI_1_</v>
      </c>
      <c r="EN8" s="37" t="str">
        <f t="shared" si="58"/>
        <v>_COI_1_</v>
      </c>
      <c r="EO8" s="37" t="str">
        <f t="shared" si="58"/>
        <v>_low_2_</v>
      </c>
      <c r="EP8" s="37" t="str">
        <f t="shared" si="58"/>
        <v>_HIG_4_</v>
      </c>
      <c r="ES8" s="37">
        <v>1</v>
      </c>
      <c r="ET8" s="37">
        <v>1</v>
      </c>
      <c r="EU8" s="37">
        <v>1</v>
      </c>
      <c r="EV8" s="37">
        <v>1</v>
      </c>
      <c r="EW8" s="37">
        <v>1</v>
      </c>
      <c r="EZ8" s="37" t="str">
        <f t="shared" ref="EZ8:FD8" si="59">VLOOKUP(EZ63,$B$114:$C$126,2,FALSE)</f>
        <v>_low_4_</v>
      </c>
      <c r="FA8" s="37" t="str">
        <f t="shared" si="59"/>
        <v>_COI_1_</v>
      </c>
      <c r="FB8" s="37" t="str">
        <f t="shared" si="59"/>
        <v>_COI_1_</v>
      </c>
      <c r="FC8" s="37" t="str">
        <f t="shared" si="59"/>
        <v>_low_2_</v>
      </c>
      <c r="FD8" s="37" t="str">
        <f t="shared" si="59"/>
        <v>_HIG_4_</v>
      </c>
      <c r="FG8" s="37">
        <v>1</v>
      </c>
      <c r="FH8" s="37">
        <v>1</v>
      </c>
      <c r="FI8" s="37">
        <v>1</v>
      </c>
      <c r="FJ8" s="37">
        <v>1</v>
      </c>
      <c r="FK8" s="37">
        <v>1</v>
      </c>
      <c r="FN8" s="37" t="str">
        <f t="shared" ref="FN8:FR8" si="60">VLOOKUP(FN63,$B$114:$C$126,2,FALSE)</f>
        <v>_low_4_</v>
      </c>
      <c r="FO8" s="37" t="str">
        <f t="shared" si="60"/>
        <v>_COI_1_</v>
      </c>
      <c r="FP8" s="37" t="str">
        <f t="shared" si="60"/>
        <v>_COI_1_</v>
      </c>
      <c r="FQ8" s="37" t="str">
        <f t="shared" si="60"/>
        <v>_low_2_</v>
      </c>
      <c r="FR8" s="37" t="str">
        <f t="shared" si="60"/>
        <v>_HIG_4_</v>
      </c>
      <c r="FU8" s="37">
        <v>1</v>
      </c>
      <c r="FV8" s="37">
        <v>4000</v>
      </c>
      <c r="FW8" s="37">
        <v>1</v>
      </c>
      <c r="FX8" s="37">
        <v>1</v>
      </c>
      <c r="FY8" s="37">
        <v>1</v>
      </c>
      <c r="GB8" s="37" t="str">
        <f t="shared" ref="GB8:GF8" si="61">VLOOKUP(GB63,$B$114:$C$126,2,FALSE)</f>
        <v>_low_4_</v>
      </c>
      <c r="GC8" s="37" t="str">
        <f t="shared" si="61"/>
        <v>_COI_1_</v>
      </c>
      <c r="GD8" s="37" t="str">
        <f t="shared" si="61"/>
        <v>_COI_1_</v>
      </c>
      <c r="GE8" s="37" t="str">
        <f t="shared" si="61"/>
        <v>_low_2_</v>
      </c>
      <c r="GF8" s="37" t="str">
        <f t="shared" si="61"/>
        <v>_HIG_4_</v>
      </c>
      <c r="GI8" s="37">
        <v>1</v>
      </c>
      <c r="GJ8" s="37">
        <v>1</v>
      </c>
      <c r="GK8" s="37">
        <v>1</v>
      </c>
      <c r="GL8" s="37">
        <v>1</v>
      </c>
      <c r="GM8" s="37">
        <v>1</v>
      </c>
      <c r="GP8" s="37" t="str">
        <f t="shared" ref="GP8:GT8" si="62">VLOOKUP(GP63,$B$114:$C$126,2,FALSE)</f>
        <v>_low_4_</v>
      </c>
      <c r="GQ8" s="37" t="str">
        <f t="shared" si="62"/>
        <v>_COI_1_</v>
      </c>
      <c r="GR8" s="37" t="str">
        <f t="shared" si="62"/>
        <v>_COI_1_</v>
      </c>
      <c r="GS8" s="37" t="str">
        <f t="shared" si="62"/>
        <v>_low_2_</v>
      </c>
      <c r="GT8" s="37" t="str">
        <f t="shared" si="62"/>
        <v>_HIG_4_</v>
      </c>
      <c r="GW8" s="37">
        <v>1</v>
      </c>
      <c r="GX8" s="37">
        <v>1</v>
      </c>
      <c r="GY8" s="37">
        <v>1</v>
      </c>
      <c r="GZ8" s="37">
        <v>1</v>
      </c>
      <c r="HA8" s="37">
        <v>1</v>
      </c>
      <c r="HD8" s="37" t="str">
        <f t="shared" ref="HD8:HH8" si="63">VLOOKUP(HD63,$B$114:$C$126,2,FALSE)</f>
        <v>_low_4_</v>
      </c>
      <c r="HE8" s="37" t="str">
        <f t="shared" si="63"/>
        <v>_COI_1_</v>
      </c>
      <c r="HF8" s="37" t="str">
        <f t="shared" si="63"/>
        <v>_COI_1_</v>
      </c>
      <c r="HG8" s="37" t="str">
        <f t="shared" si="63"/>
        <v>_low_2_</v>
      </c>
      <c r="HH8" s="37" t="str">
        <f t="shared" si="63"/>
        <v>_HIG_4_</v>
      </c>
      <c r="HK8" s="37">
        <v>1</v>
      </c>
      <c r="HL8" s="37">
        <v>1</v>
      </c>
      <c r="HM8" s="37">
        <v>1</v>
      </c>
      <c r="HN8" s="37">
        <v>1</v>
      </c>
      <c r="HO8" s="37">
        <v>1</v>
      </c>
    </row>
    <row r="9" spans="1:223" x14ac:dyDescent="0.35">
      <c r="A9" s="37">
        <v>5</v>
      </c>
      <c r="B9" s="37" t="str">
        <f t="shared" ref="B9:F9" si="64">VLOOKUP(B64,$B$114:$C$126,2,FALSE)</f>
        <v>_COI_1_</v>
      </c>
      <c r="C9" s="37" t="str">
        <f t="shared" si="64"/>
        <v>_low_2_</v>
      </c>
      <c r="D9" s="37" t="str">
        <f t="shared" si="64"/>
        <v>_HIG_2_</v>
      </c>
      <c r="E9" s="37" t="str">
        <f t="shared" si="64"/>
        <v>_COI_1_</v>
      </c>
      <c r="F9" s="37" t="str">
        <f t="shared" si="64"/>
        <v>_COI_1_</v>
      </c>
      <c r="I9" s="60">
        <v>1</v>
      </c>
      <c r="J9" s="60">
        <v>1</v>
      </c>
      <c r="K9" s="60">
        <v>1</v>
      </c>
      <c r="L9" s="60">
        <v>1</v>
      </c>
      <c r="M9" s="60">
        <v>1</v>
      </c>
      <c r="P9" s="37" t="str">
        <f t="shared" ref="P9:T9" si="65">VLOOKUP(P64,$B$114:$C$126,2,FALSE)</f>
        <v>_COI_1_</v>
      </c>
      <c r="Q9" s="37" t="str">
        <f t="shared" si="65"/>
        <v>_low_2_</v>
      </c>
      <c r="R9" s="37" t="str">
        <f t="shared" si="65"/>
        <v>_HIG_2_</v>
      </c>
      <c r="S9" s="37" t="str">
        <f t="shared" si="65"/>
        <v>_COI_1_</v>
      </c>
      <c r="T9" s="37" t="str">
        <f t="shared" si="65"/>
        <v>_COI_1_</v>
      </c>
      <c r="W9" s="37">
        <v>1</v>
      </c>
      <c r="X9" s="37">
        <v>1</v>
      </c>
      <c r="Y9" s="37">
        <v>1</v>
      </c>
      <c r="Z9" s="37">
        <v>1</v>
      </c>
      <c r="AA9" s="37">
        <v>2000</v>
      </c>
      <c r="AD9" s="37" t="str">
        <f t="shared" ref="AD9:AH9" si="66">VLOOKUP(AD64,$B$114:$C$126,2,FALSE)</f>
        <v>_COI_1_</v>
      </c>
      <c r="AE9" s="37" t="str">
        <f t="shared" si="66"/>
        <v>_low_2_</v>
      </c>
      <c r="AF9" s="37" t="str">
        <f t="shared" si="66"/>
        <v>_HIG_2_</v>
      </c>
      <c r="AG9" s="37" t="str">
        <f t="shared" si="66"/>
        <v>_COI_1_</v>
      </c>
      <c r="AH9" s="37" t="str">
        <f t="shared" si="66"/>
        <v>_COI_1_</v>
      </c>
      <c r="AK9" s="37">
        <v>1</v>
      </c>
      <c r="AL9" s="37">
        <v>2000</v>
      </c>
      <c r="AM9" s="37">
        <v>1</v>
      </c>
      <c r="AN9" s="37">
        <v>1</v>
      </c>
      <c r="AO9" s="37">
        <v>1</v>
      </c>
      <c r="AR9" s="37" t="str">
        <f t="shared" ref="AR9:AV9" si="67">VLOOKUP(AR64,$B$114:$C$126,2,FALSE)</f>
        <v>_COI_1_</v>
      </c>
      <c r="AS9" s="37" t="str">
        <f t="shared" si="67"/>
        <v>_low_2_</v>
      </c>
      <c r="AT9" s="37" t="str">
        <f t="shared" si="67"/>
        <v>_HIG_2_</v>
      </c>
      <c r="AU9" s="37" t="str">
        <f t="shared" si="67"/>
        <v>_COI_1_</v>
      </c>
      <c r="AV9" s="37" t="str">
        <f t="shared" si="67"/>
        <v>_COI_1_</v>
      </c>
      <c r="AY9" s="37">
        <v>1</v>
      </c>
      <c r="AZ9" s="37">
        <v>4000</v>
      </c>
      <c r="BA9" s="37">
        <v>1</v>
      </c>
      <c r="BB9" s="37">
        <v>4000</v>
      </c>
      <c r="BC9" s="37">
        <v>1</v>
      </c>
      <c r="BF9" s="37" t="str">
        <f t="shared" ref="BF9:BJ9" si="68">VLOOKUP(BF64,$B$114:$C$126,2,FALSE)</f>
        <v>_COI_1_</v>
      </c>
      <c r="BG9" s="37" t="str">
        <f t="shared" si="68"/>
        <v>_low_2_</v>
      </c>
      <c r="BH9" s="37" t="str">
        <f t="shared" si="68"/>
        <v>_HIG_2_</v>
      </c>
      <c r="BI9" s="37" t="str">
        <f t="shared" si="68"/>
        <v>_COI_1_</v>
      </c>
      <c r="BJ9" s="37" t="str">
        <f t="shared" si="68"/>
        <v>_COI_1_</v>
      </c>
      <c r="BM9" s="37">
        <v>5000</v>
      </c>
      <c r="BN9" s="37">
        <v>5000</v>
      </c>
      <c r="BO9" s="37">
        <v>5000</v>
      </c>
      <c r="BP9" s="37">
        <v>1</v>
      </c>
      <c r="BQ9" s="37">
        <v>5000</v>
      </c>
      <c r="BT9" s="37" t="str">
        <f t="shared" ref="BT9:BX9" si="69">VLOOKUP(BT64,$B$114:$C$126,2,FALSE)</f>
        <v>_COI_1_</v>
      </c>
      <c r="BU9" s="37" t="str">
        <f t="shared" si="69"/>
        <v>_low_2_</v>
      </c>
      <c r="BV9" s="37" t="str">
        <f t="shared" si="69"/>
        <v>_HIG_2_</v>
      </c>
      <c r="BW9" s="37" t="str">
        <f t="shared" si="69"/>
        <v>_COI_1_</v>
      </c>
      <c r="BX9" s="37" t="str">
        <f t="shared" si="69"/>
        <v>_COI_1_</v>
      </c>
      <c r="CA9" s="37">
        <v>1</v>
      </c>
      <c r="CB9" s="37">
        <v>4000</v>
      </c>
      <c r="CC9" s="37">
        <v>1</v>
      </c>
      <c r="CD9" s="37">
        <v>1</v>
      </c>
      <c r="CE9" s="37">
        <v>4000</v>
      </c>
      <c r="CH9" s="37" t="str">
        <f t="shared" ref="CH9:CL9" si="70">VLOOKUP(CH64,$B$114:$C$126,2,FALSE)</f>
        <v>_COI_1_</v>
      </c>
      <c r="CI9" s="37" t="str">
        <f t="shared" si="70"/>
        <v>_low_2_</v>
      </c>
      <c r="CJ9" s="37" t="str">
        <f t="shared" si="70"/>
        <v>_HIG_2_</v>
      </c>
      <c r="CK9" s="37" t="str">
        <f t="shared" si="70"/>
        <v>_COI_1_</v>
      </c>
      <c r="CL9" s="37" t="str">
        <f t="shared" si="70"/>
        <v>_COI_1_</v>
      </c>
      <c r="CO9" s="37">
        <v>1</v>
      </c>
      <c r="CP9" s="37">
        <v>1</v>
      </c>
      <c r="CQ9" s="37">
        <v>1</v>
      </c>
      <c r="CR9" s="37">
        <v>1</v>
      </c>
      <c r="CS9" s="37">
        <v>4000</v>
      </c>
      <c r="CV9" s="37" t="str">
        <f t="shared" ref="CV9:CZ9" si="71">VLOOKUP(CV64,$B$114:$C$126,2,FALSE)</f>
        <v>_COI_1_</v>
      </c>
      <c r="CW9" s="37" t="str">
        <f t="shared" si="71"/>
        <v>_low_2_</v>
      </c>
      <c r="CX9" s="37" t="str">
        <f t="shared" si="71"/>
        <v>_HIG_2_</v>
      </c>
      <c r="CY9" s="37" t="str">
        <f t="shared" si="71"/>
        <v>_COI_1_</v>
      </c>
      <c r="CZ9" s="37" t="str">
        <f t="shared" si="71"/>
        <v>_COI_1_</v>
      </c>
      <c r="DC9" s="37">
        <v>1</v>
      </c>
      <c r="DD9" s="37">
        <v>4000</v>
      </c>
      <c r="DE9" s="37">
        <v>1</v>
      </c>
      <c r="DF9" s="37">
        <v>1</v>
      </c>
      <c r="DG9" s="37">
        <v>1</v>
      </c>
      <c r="DJ9" s="37" t="str">
        <f t="shared" ref="DJ9:DN9" si="72">VLOOKUP(DJ64,$B$114:$C$126,2,FALSE)</f>
        <v>_COI_1_</v>
      </c>
      <c r="DK9" s="37" t="str">
        <f t="shared" si="72"/>
        <v>_low_2_</v>
      </c>
      <c r="DL9" s="37" t="str">
        <f t="shared" si="72"/>
        <v>_HIG_2_</v>
      </c>
      <c r="DM9" s="37" t="str">
        <f t="shared" si="72"/>
        <v>_COI_1_</v>
      </c>
      <c r="DN9" s="37" t="str">
        <f t="shared" si="72"/>
        <v>_COI_1_</v>
      </c>
      <c r="DQ9" s="37">
        <v>4000</v>
      </c>
      <c r="DR9" s="37">
        <v>1</v>
      </c>
      <c r="DS9" s="37">
        <v>4000</v>
      </c>
      <c r="DT9" s="37">
        <v>1</v>
      </c>
      <c r="DU9" s="37">
        <v>4000</v>
      </c>
      <c r="DX9" s="37" t="str">
        <f t="shared" ref="DX9:EB9" si="73">VLOOKUP(DX64,$B$114:$C$126,2,FALSE)</f>
        <v>_COI_1_</v>
      </c>
      <c r="DY9" s="37" t="str">
        <f t="shared" si="73"/>
        <v>_low_2_</v>
      </c>
      <c r="DZ9" s="37" t="str">
        <f t="shared" si="73"/>
        <v>_HIG_2_</v>
      </c>
      <c r="EA9" s="37" t="str">
        <f t="shared" si="73"/>
        <v>_COI_1_</v>
      </c>
      <c r="EB9" s="37" t="str">
        <f t="shared" si="73"/>
        <v>_COI_1_</v>
      </c>
      <c r="EE9" s="37">
        <v>8000</v>
      </c>
      <c r="EF9" s="37">
        <v>1</v>
      </c>
      <c r="EG9" s="37">
        <v>1</v>
      </c>
      <c r="EH9" s="37">
        <v>1</v>
      </c>
      <c r="EI9" s="37">
        <v>1</v>
      </c>
      <c r="EL9" s="37" t="str">
        <f t="shared" ref="EL9:EP9" si="74">VLOOKUP(EL64,$B$114:$C$126,2,FALSE)</f>
        <v>_COI_1_</v>
      </c>
      <c r="EM9" s="37" t="str">
        <f t="shared" si="74"/>
        <v>_low_2_</v>
      </c>
      <c r="EN9" s="37" t="str">
        <f t="shared" si="74"/>
        <v>_HIG_2_</v>
      </c>
      <c r="EO9" s="37" t="str">
        <f t="shared" si="74"/>
        <v>_COI_1_</v>
      </c>
      <c r="EP9" s="37" t="str">
        <f t="shared" si="74"/>
        <v>_COI_1_</v>
      </c>
      <c r="ES9" s="37">
        <v>1</v>
      </c>
      <c r="ET9" s="37">
        <v>1</v>
      </c>
      <c r="EU9" s="37">
        <v>1</v>
      </c>
      <c r="EV9" s="37">
        <v>1</v>
      </c>
      <c r="EW9" s="37">
        <v>1</v>
      </c>
      <c r="EZ9" s="37" t="str">
        <f t="shared" ref="EZ9:FD9" si="75">VLOOKUP(EZ64,$B$114:$C$126,2,FALSE)</f>
        <v>_COI_1_</v>
      </c>
      <c r="FA9" s="37" t="str">
        <f t="shared" si="75"/>
        <v>_low_2_</v>
      </c>
      <c r="FB9" s="37" t="str">
        <f t="shared" si="75"/>
        <v>_HIG_2_</v>
      </c>
      <c r="FC9" s="37" t="str">
        <f t="shared" si="75"/>
        <v>_COI_1_</v>
      </c>
      <c r="FD9" s="37" t="str">
        <f t="shared" si="75"/>
        <v>_COI_1_</v>
      </c>
      <c r="FG9" s="37">
        <v>1</v>
      </c>
      <c r="FH9" s="37">
        <v>1</v>
      </c>
      <c r="FI9" s="37">
        <v>1</v>
      </c>
      <c r="FJ9" s="37">
        <v>1</v>
      </c>
      <c r="FK9" s="37">
        <v>1</v>
      </c>
      <c r="FN9" s="37" t="str">
        <f t="shared" ref="FN9:FR9" si="76">VLOOKUP(FN64,$B$114:$C$126,2,FALSE)</f>
        <v>_COI_1_</v>
      </c>
      <c r="FO9" s="37" t="str">
        <f t="shared" si="76"/>
        <v>_low_2_</v>
      </c>
      <c r="FP9" s="37" t="str">
        <f t="shared" si="76"/>
        <v>_HIG_2_</v>
      </c>
      <c r="FQ9" s="37" t="str">
        <f t="shared" si="76"/>
        <v>_COI_1_</v>
      </c>
      <c r="FR9" s="37" t="str">
        <f t="shared" si="76"/>
        <v>_COI_1_</v>
      </c>
      <c r="FU9" s="37">
        <v>1</v>
      </c>
      <c r="FV9" s="37">
        <v>4000</v>
      </c>
      <c r="FW9" s="37">
        <v>1</v>
      </c>
      <c r="FX9" s="37">
        <v>1</v>
      </c>
      <c r="FY9" s="37">
        <v>1</v>
      </c>
      <c r="GB9" s="37" t="str">
        <f t="shared" ref="GB9:GF9" si="77">VLOOKUP(GB64,$B$114:$C$126,2,FALSE)</f>
        <v>_COI_1_</v>
      </c>
      <c r="GC9" s="37" t="str">
        <f t="shared" si="77"/>
        <v>_low_2_</v>
      </c>
      <c r="GD9" s="37" t="str">
        <f t="shared" si="77"/>
        <v>_HIG_2_</v>
      </c>
      <c r="GE9" s="37" t="str">
        <f t="shared" si="77"/>
        <v>_COI_1_</v>
      </c>
      <c r="GF9" s="37" t="str">
        <f t="shared" si="77"/>
        <v>_COI_1_</v>
      </c>
      <c r="GI9" s="37">
        <v>1</v>
      </c>
      <c r="GJ9" s="37">
        <v>1</v>
      </c>
      <c r="GK9" s="37">
        <v>1</v>
      </c>
      <c r="GL9" s="37">
        <v>4000</v>
      </c>
      <c r="GM9" s="37">
        <v>1</v>
      </c>
      <c r="GP9" s="37" t="str">
        <f t="shared" ref="GP9:GT9" si="78">VLOOKUP(GP64,$B$114:$C$126,2,FALSE)</f>
        <v>_COI_1_</v>
      </c>
      <c r="GQ9" s="37" t="str">
        <f t="shared" si="78"/>
        <v>_low_2_</v>
      </c>
      <c r="GR9" s="37" t="str">
        <f t="shared" si="78"/>
        <v>_HIG_2_</v>
      </c>
      <c r="GS9" s="37" t="str">
        <f t="shared" si="78"/>
        <v>_COI_1_</v>
      </c>
      <c r="GT9" s="37" t="str">
        <f t="shared" si="78"/>
        <v>_COI_1_</v>
      </c>
      <c r="GW9" s="37">
        <v>1</v>
      </c>
      <c r="GX9" s="37">
        <v>1</v>
      </c>
      <c r="GY9" s="37">
        <v>1</v>
      </c>
      <c r="GZ9" s="37">
        <v>1</v>
      </c>
      <c r="HA9" s="37">
        <v>1</v>
      </c>
      <c r="HD9" s="37" t="str">
        <f t="shared" ref="HD9:HH9" si="79">VLOOKUP(HD64,$B$114:$C$126,2,FALSE)</f>
        <v>_COI_1_</v>
      </c>
      <c r="HE9" s="37" t="str">
        <f t="shared" si="79"/>
        <v>_low_2_</v>
      </c>
      <c r="HF9" s="37" t="str">
        <f t="shared" si="79"/>
        <v>_HIG_2_</v>
      </c>
      <c r="HG9" s="37" t="str">
        <f t="shared" si="79"/>
        <v>_COI_1_</v>
      </c>
      <c r="HH9" s="37" t="str">
        <f t="shared" si="79"/>
        <v>_COI_1_</v>
      </c>
      <c r="HK9" s="37">
        <v>1</v>
      </c>
      <c r="HL9" s="37">
        <v>1</v>
      </c>
      <c r="HM9" s="37">
        <v>1</v>
      </c>
      <c r="HN9" s="37">
        <v>1</v>
      </c>
      <c r="HO9" s="37">
        <v>1</v>
      </c>
    </row>
    <row r="10" spans="1:223" x14ac:dyDescent="0.35">
      <c r="A10" s="37">
        <v>6</v>
      </c>
      <c r="B10" s="37" t="str">
        <f t="shared" ref="B10:F10" si="80">VLOOKUP(B65,$B$114:$C$126,2,FALSE)</f>
        <v>_low_5_</v>
      </c>
      <c r="C10" s="37" t="str">
        <f t="shared" si="80"/>
        <v>_low_3_</v>
      </c>
      <c r="D10" s="37" t="str">
        <f t="shared" si="80"/>
        <v>_low_2_</v>
      </c>
      <c r="E10" s="37" t="str">
        <f t="shared" si="80"/>
        <v>_COI_1_</v>
      </c>
      <c r="F10" s="37" t="str">
        <f t="shared" si="80"/>
        <v>_low_5_</v>
      </c>
      <c r="I10" s="60">
        <v>1</v>
      </c>
      <c r="J10" s="60">
        <v>20</v>
      </c>
      <c r="K10" s="60">
        <v>20</v>
      </c>
      <c r="L10" s="60">
        <v>1</v>
      </c>
      <c r="M10" s="60">
        <v>1</v>
      </c>
      <c r="P10" s="37" t="str">
        <f t="shared" ref="P10:T10" si="81">VLOOKUP(P65,$B$114:$C$126,2,FALSE)</f>
        <v>_low_5_</v>
      </c>
      <c r="Q10" s="37" t="str">
        <f t="shared" si="81"/>
        <v>_low_3_</v>
      </c>
      <c r="R10" s="37" t="str">
        <f t="shared" si="81"/>
        <v>_low_2_</v>
      </c>
      <c r="S10" s="37" t="str">
        <f t="shared" si="81"/>
        <v>_COI_1_</v>
      </c>
      <c r="T10" s="37" t="str">
        <f t="shared" si="81"/>
        <v>_low_5_</v>
      </c>
      <c r="W10" s="37">
        <v>1</v>
      </c>
      <c r="X10" s="37">
        <v>20</v>
      </c>
      <c r="Y10" s="37">
        <v>20</v>
      </c>
      <c r="Z10" s="37">
        <v>1</v>
      </c>
      <c r="AA10" s="37">
        <v>2000</v>
      </c>
      <c r="AD10" s="37" t="str">
        <f t="shared" ref="AD10:AH10" si="82">VLOOKUP(AD65,$B$114:$C$126,2,FALSE)</f>
        <v>_low_5_</v>
      </c>
      <c r="AE10" s="37" t="str">
        <f t="shared" si="82"/>
        <v>_low_3_</v>
      </c>
      <c r="AF10" s="37" t="str">
        <f t="shared" si="82"/>
        <v>_low_2_</v>
      </c>
      <c r="AG10" s="37" t="str">
        <f t="shared" si="82"/>
        <v>_COI_1_</v>
      </c>
      <c r="AH10" s="37" t="str">
        <f t="shared" si="82"/>
        <v>_low_5_</v>
      </c>
      <c r="AK10" s="37">
        <v>1</v>
      </c>
      <c r="AL10" s="37">
        <v>20</v>
      </c>
      <c r="AM10" s="37">
        <v>20</v>
      </c>
      <c r="AN10" s="37">
        <v>1</v>
      </c>
      <c r="AO10" s="37">
        <v>1</v>
      </c>
      <c r="AR10" s="37" t="str">
        <f t="shared" ref="AR10:AV10" si="83">VLOOKUP(AR65,$B$114:$C$126,2,FALSE)</f>
        <v>_low_5_</v>
      </c>
      <c r="AS10" s="37" t="str">
        <f t="shared" si="83"/>
        <v>_low_3_</v>
      </c>
      <c r="AT10" s="37" t="str">
        <f t="shared" si="83"/>
        <v>_low_2_</v>
      </c>
      <c r="AU10" s="37" t="str">
        <f t="shared" si="83"/>
        <v>_COI_1_</v>
      </c>
      <c r="AV10" s="37" t="str">
        <f t="shared" si="83"/>
        <v>_low_5_</v>
      </c>
      <c r="AY10" s="37">
        <v>1</v>
      </c>
      <c r="AZ10" s="37">
        <v>20</v>
      </c>
      <c r="BA10" s="37">
        <v>20</v>
      </c>
      <c r="BB10" s="37">
        <v>4000</v>
      </c>
      <c r="BC10" s="37">
        <v>1</v>
      </c>
      <c r="BF10" s="37" t="str">
        <f t="shared" ref="BF10:BJ10" si="84">VLOOKUP(BF65,$B$114:$C$126,2,FALSE)</f>
        <v>_low_5_</v>
      </c>
      <c r="BG10" s="37" t="str">
        <f t="shared" si="84"/>
        <v>_low_3_</v>
      </c>
      <c r="BH10" s="37" t="str">
        <f t="shared" si="84"/>
        <v>_low_2_</v>
      </c>
      <c r="BI10" s="37" t="str">
        <f t="shared" si="84"/>
        <v>_COI_1_</v>
      </c>
      <c r="BJ10" s="37" t="str">
        <f t="shared" si="84"/>
        <v>_low_5_</v>
      </c>
      <c r="BM10" s="37">
        <v>5000</v>
      </c>
      <c r="BN10" s="37">
        <v>20</v>
      </c>
      <c r="BO10" s="37">
        <v>20</v>
      </c>
      <c r="BP10" s="37">
        <v>1</v>
      </c>
      <c r="BQ10" s="37">
        <v>5000</v>
      </c>
      <c r="BT10" s="37" t="str">
        <f t="shared" ref="BT10:BX10" si="85">VLOOKUP(BT65,$B$114:$C$126,2,FALSE)</f>
        <v>_low_5_</v>
      </c>
      <c r="BU10" s="37" t="str">
        <f t="shared" si="85"/>
        <v>_low_3_</v>
      </c>
      <c r="BV10" s="37" t="str">
        <f t="shared" si="85"/>
        <v>_low_2_</v>
      </c>
      <c r="BW10" s="37" t="str">
        <f t="shared" si="85"/>
        <v>_COI_1_</v>
      </c>
      <c r="BX10" s="37" t="str">
        <f t="shared" si="85"/>
        <v>_low_5_</v>
      </c>
      <c r="CA10" s="37">
        <v>1</v>
      </c>
      <c r="CB10" s="37">
        <v>20</v>
      </c>
      <c r="CC10" s="37">
        <v>20</v>
      </c>
      <c r="CD10" s="37">
        <v>1</v>
      </c>
      <c r="CE10" s="37">
        <v>4000</v>
      </c>
      <c r="CH10" s="37" t="str">
        <f t="shared" ref="CH10:CL10" si="86">VLOOKUP(CH65,$B$114:$C$126,2,FALSE)</f>
        <v>_low_5_</v>
      </c>
      <c r="CI10" s="37" t="str">
        <f t="shared" si="86"/>
        <v>_low_3_</v>
      </c>
      <c r="CJ10" s="37" t="str">
        <f t="shared" si="86"/>
        <v>_low_2_</v>
      </c>
      <c r="CK10" s="37" t="str">
        <f t="shared" si="86"/>
        <v>_COI_1_</v>
      </c>
      <c r="CL10" s="37" t="str">
        <f t="shared" si="86"/>
        <v>_low_5_</v>
      </c>
      <c r="CO10" s="37">
        <v>1</v>
      </c>
      <c r="CP10" s="37">
        <v>20</v>
      </c>
      <c r="CQ10" s="37">
        <v>20</v>
      </c>
      <c r="CR10" s="37">
        <v>1</v>
      </c>
      <c r="CS10" s="37">
        <v>4000</v>
      </c>
      <c r="CV10" s="37" t="str">
        <f t="shared" ref="CV10:CZ10" si="87">VLOOKUP(CV65,$B$114:$C$126,2,FALSE)</f>
        <v>_low_5_</v>
      </c>
      <c r="CW10" s="37" t="str">
        <f t="shared" si="87"/>
        <v>_low_3_</v>
      </c>
      <c r="CX10" s="37" t="str">
        <f t="shared" si="87"/>
        <v>_low_2_</v>
      </c>
      <c r="CY10" s="37" t="str">
        <f t="shared" si="87"/>
        <v>_COI_1_</v>
      </c>
      <c r="CZ10" s="37" t="str">
        <f t="shared" si="87"/>
        <v>_low_5_</v>
      </c>
      <c r="DC10" s="37">
        <v>1</v>
      </c>
      <c r="DD10" s="37">
        <v>20</v>
      </c>
      <c r="DE10" s="37">
        <v>20</v>
      </c>
      <c r="DF10" s="37">
        <v>1</v>
      </c>
      <c r="DG10" s="37">
        <v>1</v>
      </c>
      <c r="DJ10" s="37" t="str">
        <f t="shared" ref="DJ10:DN10" si="88">VLOOKUP(DJ65,$B$114:$C$126,2,FALSE)</f>
        <v>_low_5_</v>
      </c>
      <c r="DK10" s="37" t="str">
        <f t="shared" si="88"/>
        <v>_low_3_</v>
      </c>
      <c r="DL10" s="37" t="str">
        <f t="shared" si="88"/>
        <v>_low_2_</v>
      </c>
      <c r="DM10" s="37" t="str">
        <f t="shared" si="88"/>
        <v>_COI_1_</v>
      </c>
      <c r="DN10" s="37" t="str">
        <f t="shared" si="88"/>
        <v>_low_5_</v>
      </c>
      <c r="DQ10" s="37">
        <v>4000</v>
      </c>
      <c r="DR10" s="37">
        <v>20</v>
      </c>
      <c r="DS10" s="37">
        <v>20</v>
      </c>
      <c r="DT10" s="37">
        <v>1</v>
      </c>
      <c r="DU10" s="37">
        <v>4000</v>
      </c>
      <c r="DX10" s="37" t="str">
        <f t="shared" ref="DX10:EB10" si="89">VLOOKUP(DX65,$B$114:$C$126,2,FALSE)</f>
        <v>_low_5_</v>
      </c>
      <c r="DY10" s="37" t="str">
        <f t="shared" si="89"/>
        <v>_low_3_</v>
      </c>
      <c r="DZ10" s="37" t="str">
        <f t="shared" si="89"/>
        <v>_low_2_</v>
      </c>
      <c r="EA10" s="37" t="str">
        <f t="shared" si="89"/>
        <v>_COI_1_</v>
      </c>
      <c r="EB10" s="37" t="str">
        <f t="shared" si="89"/>
        <v>_low_5_</v>
      </c>
      <c r="EE10" s="37">
        <v>8000</v>
      </c>
      <c r="EF10" s="37">
        <v>20</v>
      </c>
      <c r="EG10" s="37">
        <v>20</v>
      </c>
      <c r="EH10" s="37">
        <v>1</v>
      </c>
      <c r="EI10" s="37">
        <v>1</v>
      </c>
      <c r="EL10" s="37" t="str">
        <f t="shared" ref="EL10:EP10" si="90">VLOOKUP(EL65,$B$114:$C$126,2,FALSE)</f>
        <v>_low_5_</v>
      </c>
      <c r="EM10" s="37" t="str">
        <f t="shared" si="90"/>
        <v>_low_3_</v>
      </c>
      <c r="EN10" s="37" t="str">
        <f t="shared" si="90"/>
        <v>_low_2_</v>
      </c>
      <c r="EO10" s="37" t="str">
        <f t="shared" si="90"/>
        <v>_COI_1_</v>
      </c>
      <c r="EP10" s="37" t="str">
        <f t="shared" si="90"/>
        <v>_low_5_</v>
      </c>
      <c r="ES10" s="37">
        <v>1</v>
      </c>
      <c r="ET10" s="37">
        <v>20</v>
      </c>
      <c r="EU10" s="37">
        <v>20</v>
      </c>
      <c r="EV10" s="37">
        <v>1</v>
      </c>
      <c r="EW10" s="37">
        <v>1</v>
      </c>
      <c r="EZ10" s="37" t="str">
        <f t="shared" ref="EZ10:FD10" si="91">VLOOKUP(EZ65,$B$114:$C$126,2,FALSE)</f>
        <v>_low_5_</v>
      </c>
      <c r="FA10" s="37" t="str">
        <f t="shared" si="91"/>
        <v>_low_3_</v>
      </c>
      <c r="FB10" s="37" t="str">
        <f t="shared" si="91"/>
        <v>_low_2_</v>
      </c>
      <c r="FC10" s="37" t="str">
        <f t="shared" si="91"/>
        <v>_COI_1_</v>
      </c>
      <c r="FD10" s="37" t="str">
        <f t="shared" si="91"/>
        <v>_low_5_</v>
      </c>
      <c r="FG10" s="37">
        <v>1</v>
      </c>
      <c r="FH10" s="37">
        <v>20</v>
      </c>
      <c r="FI10" s="37">
        <v>20</v>
      </c>
      <c r="FJ10" s="37">
        <v>1</v>
      </c>
      <c r="FK10" s="37">
        <v>1</v>
      </c>
      <c r="FN10" s="37" t="str">
        <f t="shared" ref="FN10:FR10" si="92">VLOOKUP(FN65,$B$114:$C$126,2,FALSE)</f>
        <v>_low_5_</v>
      </c>
      <c r="FO10" s="37" t="str">
        <f t="shared" si="92"/>
        <v>_low_3_</v>
      </c>
      <c r="FP10" s="37" t="str">
        <f t="shared" si="92"/>
        <v>_low_2_</v>
      </c>
      <c r="FQ10" s="37" t="str">
        <f t="shared" si="92"/>
        <v>_COI_1_</v>
      </c>
      <c r="FR10" s="37" t="str">
        <f t="shared" si="92"/>
        <v>_low_5_</v>
      </c>
      <c r="FU10" s="37">
        <v>1</v>
      </c>
      <c r="FV10" s="37">
        <v>20</v>
      </c>
      <c r="FW10" s="37">
        <v>20</v>
      </c>
      <c r="FX10" s="37">
        <v>1</v>
      </c>
      <c r="FY10" s="37">
        <v>1</v>
      </c>
      <c r="GB10" s="37" t="str">
        <f t="shared" ref="GB10:GF10" si="93">VLOOKUP(GB65,$B$114:$C$126,2,FALSE)</f>
        <v>_low_5_</v>
      </c>
      <c r="GC10" s="37" t="str">
        <f t="shared" si="93"/>
        <v>_low_3_</v>
      </c>
      <c r="GD10" s="37" t="str">
        <f t="shared" si="93"/>
        <v>_low_2_</v>
      </c>
      <c r="GE10" s="37" t="str">
        <f t="shared" si="93"/>
        <v>_COI_1_</v>
      </c>
      <c r="GF10" s="37" t="str">
        <f t="shared" si="93"/>
        <v>_low_5_</v>
      </c>
      <c r="GI10" s="37">
        <v>1</v>
      </c>
      <c r="GJ10" s="37">
        <v>20</v>
      </c>
      <c r="GK10" s="37">
        <v>20</v>
      </c>
      <c r="GL10" s="37">
        <v>4000</v>
      </c>
      <c r="GM10" s="37">
        <v>1</v>
      </c>
      <c r="GP10" s="37" t="str">
        <f t="shared" ref="GP10:GT10" si="94">VLOOKUP(GP65,$B$114:$C$126,2,FALSE)</f>
        <v>_low_5_</v>
      </c>
      <c r="GQ10" s="37" t="str">
        <f t="shared" si="94"/>
        <v>_low_3_</v>
      </c>
      <c r="GR10" s="37" t="str">
        <f t="shared" si="94"/>
        <v>_low_2_</v>
      </c>
      <c r="GS10" s="37" t="str">
        <f t="shared" si="94"/>
        <v>_COI_1_</v>
      </c>
      <c r="GT10" s="37" t="str">
        <f t="shared" si="94"/>
        <v>_low_5_</v>
      </c>
      <c r="GW10" s="37">
        <v>1</v>
      </c>
      <c r="GX10" s="37">
        <v>20</v>
      </c>
      <c r="GY10" s="37">
        <v>20</v>
      </c>
      <c r="GZ10" s="37">
        <v>1</v>
      </c>
      <c r="HA10" s="37">
        <v>1</v>
      </c>
      <c r="HD10" s="37" t="str">
        <f t="shared" ref="HD10:HH10" si="95">VLOOKUP(HD65,$B$114:$C$126,2,FALSE)</f>
        <v>_low_5_</v>
      </c>
      <c r="HE10" s="37" t="str">
        <f t="shared" si="95"/>
        <v>_low_3_</v>
      </c>
      <c r="HF10" s="37" t="str">
        <f t="shared" si="95"/>
        <v>_low_2_</v>
      </c>
      <c r="HG10" s="37" t="str">
        <f t="shared" si="95"/>
        <v>_COI_1_</v>
      </c>
      <c r="HH10" s="37" t="str">
        <f t="shared" si="95"/>
        <v>_low_5_</v>
      </c>
      <c r="HK10" s="37">
        <v>1</v>
      </c>
      <c r="HL10" s="37">
        <v>20</v>
      </c>
      <c r="HM10" s="37">
        <v>20</v>
      </c>
      <c r="HN10" s="37">
        <v>1</v>
      </c>
      <c r="HO10" s="37">
        <v>1</v>
      </c>
    </row>
    <row r="11" spans="1:223" x14ac:dyDescent="0.35">
      <c r="A11" s="37">
        <v>7</v>
      </c>
      <c r="B11" s="37" t="str">
        <f t="shared" ref="B11:F11" si="96">VLOOKUP(B66,$B$114:$C$126,2,FALSE)</f>
        <v>_HIG_1_</v>
      </c>
      <c r="C11" s="37" t="str">
        <f t="shared" si="96"/>
        <v>_HIG_4_</v>
      </c>
      <c r="D11" s="37" t="str">
        <f t="shared" si="96"/>
        <v>_low_3_</v>
      </c>
      <c r="E11" s="37" t="str">
        <f t="shared" si="96"/>
        <v>_HIG_1_</v>
      </c>
      <c r="F11" s="37" t="str">
        <f t="shared" si="96"/>
        <v>_low_5_</v>
      </c>
      <c r="I11" s="60">
        <v>20</v>
      </c>
      <c r="J11" s="60">
        <v>20</v>
      </c>
      <c r="K11" s="60">
        <v>20</v>
      </c>
      <c r="L11" s="60">
        <v>1</v>
      </c>
      <c r="M11" s="60">
        <v>20</v>
      </c>
      <c r="P11" s="37" t="str">
        <f t="shared" ref="P11:T11" si="97">VLOOKUP(P66,$B$114:$C$126,2,FALSE)</f>
        <v>_HIG_1_</v>
      </c>
      <c r="Q11" s="37" t="str">
        <f t="shared" si="97"/>
        <v>_HIG_4_</v>
      </c>
      <c r="R11" s="37" t="str">
        <f t="shared" si="97"/>
        <v>_low_3_</v>
      </c>
      <c r="S11" s="37" t="str">
        <f t="shared" si="97"/>
        <v>_HIG_1_</v>
      </c>
      <c r="T11" s="37" t="str">
        <f t="shared" si="97"/>
        <v>_low_5_</v>
      </c>
      <c r="W11" s="37">
        <v>20</v>
      </c>
      <c r="X11" s="37">
        <v>20</v>
      </c>
      <c r="Y11" s="37">
        <v>20</v>
      </c>
      <c r="Z11" s="37">
        <v>1</v>
      </c>
      <c r="AA11" s="37">
        <v>20</v>
      </c>
      <c r="AD11" s="37" t="str">
        <f t="shared" ref="AD11:AH11" si="98">VLOOKUP(AD66,$B$114:$C$126,2,FALSE)</f>
        <v>_HIG_1_</v>
      </c>
      <c r="AE11" s="37" t="str">
        <f t="shared" si="98"/>
        <v>_HIG_4_</v>
      </c>
      <c r="AF11" s="37" t="str">
        <f t="shared" si="98"/>
        <v>_low_3_</v>
      </c>
      <c r="AG11" s="37" t="str">
        <f t="shared" si="98"/>
        <v>_HIG_1_</v>
      </c>
      <c r="AH11" s="37" t="str">
        <f t="shared" si="98"/>
        <v>_low_5_</v>
      </c>
      <c r="AK11" s="37">
        <v>20</v>
      </c>
      <c r="AL11" s="37">
        <v>20</v>
      </c>
      <c r="AM11" s="37">
        <v>20</v>
      </c>
      <c r="AN11" s="37">
        <v>1</v>
      </c>
      <c r="AO11" s="37">
        <v>20</v>
      </c>
      <c r="AR11" s="37" t="str">
        <f t="shared" ref="AR11:AV11" si="99">VLOOKUP(AR66,$B$114:$C$126,2,FALSE)</f>
        <v>_HIG_1_</v>
      </c>
      <c r="AS11" s="37" t="str">
        <f t="shared" si="99"/>
        <v>_HIG_4_</v>
      </c>
      <c r="AT11" s="37" t="str">
        <f t="shared" si="99"/>
        <v>_low_3_</v>
      </c>
      <c r="AU11" s="37" t="str">
        <f t="shared" si="99"/>
        <v>_HIG_1_</v>
      </c>
      <c r="AV11" s="37" t="str">
        <f t="shared" si="99"/>
        <v>_low_5_</v>
      </c>
      <c r="AY11" s="37">
        <v>20</v>
      </c>
      <c r="AZ11" s="37">
        <v>20</v>
      </c>
      <c r="BA11" s="37">
        <v>20</v>
      </c>
      <c r="BB11" s="37">
        <v>1</v>
      </c>
      <c r="BC11" s="37">
        <v>20</v>
      </c>
      <c r="BF11" s="37" t="str">
        <f t="shared" ref="BF11:BJ11" si="100">VLOOKUP(BF66,$B$114:$C$126,2,FALSE)</f>
        <v>_HIG_1_</v>
      </c>
      <c r="BG11" s="37" t="str">
        <f t="shared" si="100"/>
        <v>_HIG_4_</v>
      </c>
      <c r="BH11" s="37" t="str">
        <f t="shared" si="100"/>
        <v>_low_3_</v>
      </c>
      <c r="BI11" s="37" t="str">
        <f t="shared" si="100"/>
        <v>_HIG_1_</v>
      </c>
      <c r="BJ11" s="37" t="str">
        <f t="shared" si="100"/>
        <v>_low_5_</v>
      </c>
      <c r="BM11" s="37">
        <v>20</v>
      </c>
      <c r="BN11" s="37">
        <v>20</v>
      </c>
      <c r="BO11" s="37">
        <v>20</v>
      </c>
      <c r="BP11" s="37">
        <v>1</v>
      </c>
      <c r="BQ11" s="37">
        <v>20</v>
      </c>
      <c r="BT11" s="37" t="str">
        <f t="shared" ref="BT11:BX11" si="101">VLOOKUP(BT66,$B$114:$C$126,2,FALSE)</f>
        <v>_HIG_1_</v>
      </c>
      <c r="BU11" s="37" t="str">
        <f t="shared" si="101"/>
        <v>_HIG_4_</v>
      </c>
      <c r="BV11" s="37" t="str">
        <f t="shared" si="101"/>
        <v>_low_3_</v>
      </c>
      <c r="BW11" s="37" t="str">
        <f t="shared" si="101"/>
        <v>_HIG_1_</v>
      </c>
      <c r="BX11" s="37" t="str">
        <f t="shared" si="101"/>
        <v>_low_5_</v>
      </c>
      <c r="CA11" s="37">
        <v>20</v>
      </c>
      <c r="CB11" s="37">
        <v>20</v>
      </c>
      <c r="CC11" s="37">
        <v>20</v>
      </c>
      <c r="CD11" s="37">
        <v>1</v>
      </c>
      <c r="CE11" s="37">
        <v>20</v>
      </c>
      <c r="CH11" s="37" t="str">
        <f t="shared" ref="CH11:CL11" si="102">VLOOKUP(CH66,$B$114:$C$126,2,FALSE)</f>
        <v>_HIG_1_</v>
      </c>
      <c r="CI11" s="37" t="str">
        <f t="shared" si="102"/>
        <v>_HIG_4_</v>
      </c>
      <c r="CJ11" s="37" t="str">
        <f t="shared" si="102"/>
        <v>_low_3_</v>
      </c>
      <c r="CK11" s="37" t="str">
        <f t="shared" si="102"/>
        <v>_HIG_1_</v>
      </c>
      <c r="CL11" s="37" t="str">
        <f t="shared" si="102"/>
        <v>_low_5_</v>
      </c>
      <c r="CO11" s="37">
        <v>20</v>
      </c>
      <c r="CP11" s="37">
        <v>20</v>
      </c>
      <c r="CQ11" s="37">
        <v>20</v>
      </c>
      <c r="CR11" s="37">
        <v>1</v>
      </c>
      <c r="CS11" s="37">
        <v>20</v>
      </c>
      <c r="CV11" s="37" t="str">
        <f t="shared" ref="CV11:CZ11" si="103">VLOOKUP(CV66,$B$114:$C$126,2,FALSE)</f>
        <v>_HIG_1_</v>
      </c>
      <c r="CW11" s="37" t="str">
        <f t="shared" si="103"/>
        <v>_HIG_4_</v>
      </c>
      <c r="CX11" s="37" t="str">
        <f t="shared" si="103"/>
        <v>_low_3_</v>
      </c>
      <c r="CY11" s="37" t="str">
        <f t="shared" si="103"/>
        <v>_HIG_1_</v>
      </c>
      <c r="CZ11" s="37" t="str">
        <f t="shared" si="103"/>
        <v>_low_5_</v>
      </c>
      <c r="DC11" s="37">
        <v>20</v>
      </c>
      <c r="DD11" s="37">
        <v>20</v>
      </c>
      <c r="DE11" s="37">
        <v>20</v>
      </c>
      <c r="DF11" s="37">
        <v>1</v>
      </c>
      <c r="DG11" s="37">
        <v>20</v>
      </c>
      <c r="DJ11" s="37" t="str">
        <f t="shared" ref="DJ11:DN11" si="104">VLOOKUP(DJ66,$B$114:$C$126,2,FALSE)</f>
        <v>_HIG_1_</v>
      </c>
      <c r="DK11" s="37" t="str">
        <f t="shared" si="104"/>
        <v>_HIG_4_</v>
      </c>
      <c r="DL11" s="37" t="str">
        <f t="shared" si="104"/>
        <v>_low_3_</v>
      </c>
      <c r="DM11" s="37" t="str">
        <f t="shared" si="104"/>
        <v>_HIG_1_</v>
      </c>
      <c r="DN11" s="37" t="str">
        <f t="shared" si="104"/>
        <v>_low_5_</v>
      </c>
      <c r="DQ11" s="37">
        <v>20</v>
      </c>
      <c r="DR11" s="37">
        <v>20</v>
      </c>
      <c r="DS11" s="37">
        <v>20</v>
      </c>
      <c r="DT11" s="37">
        <v>1</v>
      </c>
      <c r="DU11" s="37">
        <v>20</v>
      </c>
      <c r="DX11" s="37" t="str">
        <f t="shared" ref="DX11:EB11" si="105">VLOOKUP(DX66,$B$114:$C$126,2,FALSE)</f>
        <v>_HIG_1_</v>
      </c>
      <c r="DY11" s="37" t="str">
        <f t="shared" si="105"/>
        <v>_HIG_4_</v>
      </c>
      <c r="DZ11" s="37" t="str">
        <f t="shared" si="105"/>
        <v>_low_3_</v>
      </c>
      <c r="EA11" s="37" t="str">
        <f t="shared" si="105"/>
        <v>_HIG_1_</v>
      </c>
      <c r="EB11" s="37" t="str">
        <f t="shared" si="105"/>
        <v>_low_5_</v>
      </c>
      <c r="EE11" s="37">
        <v>20</v>
      </c>
      <c r="EF11" s="37">
        <v>20</v>
      </c>
      <c r="EG11" s="37">
        <v>20</v>
      </c>
      <c r="EH11" s="37">
        <v>1</v>
      </c>
      <c r="EI11" s="37">
        <v>20</v>
      </c>
      <c r="EL11" s="37" t="str">
        <f t="shared" ref="EL11:EP11" si="106">VLOOKUP(EL66,$B$114:$C$126,2,FALSE)</f>
        <v>_HIG_1_</v>
      </c>
      <c r="EM11" s="37" t="str">
        <f t="shared" si="106"/>
        <v>_HIG_4_</v>
      </c>
      <c r="EN11" s="37" t="str">
        <f t="shared" si="106"/>
        <v>_low_3_</v>
      </c>
      <c r="EO11" s="37" t="str">
        <f t="shared" si="106"/>
        <v>_HIG_1_</v>
      </c>
      <c r="EP11" s="37" t="str">
        <f t="shared" si="106"/>
        <v>_low_5_</v>
      </c>
      <c r="ES11" s="37">
        <v>20</v>
      </c>
      <c r="ET11" s="37">
        <v>20</v>
      </c>
      <c r="EU11" s="37">
        <v>20</v>
      </c>
      <c r="EV11" s="37">
        <v>1</v>
      </c>
      <c r="EW11" s="37">
        <v>20</v>
      </c>
      <c r="EZ11" s="37" t="str">
        <f t="shared" ref="EZ11:FD11" si="107">VLOOKUP(EZ66,$B$114:$C$126,2,FALSE)</f>
        <v>_HIG_1_</v>
      </c>
      <c r="FA11" s="37" t="str">
        <f t="shared" si="107"/>
        <v>_HIG_4_</v>
      </c>
      <c r="FB11" s="37" t="str">
        <f t="shared" si="107"/>
        <v>_low_3_</v>
      </c>
      <c r="FC11" s="37" t="str">
        <f t="shared" si="107"/>
        <v>_HIG_1_</v>
      </c>
      <c r="FD11" s="37" t="str">
        <f t="shared" si="107"/>
        <v>_low_5_</v>
      </c>
      <c r="FG11" s="37">
        <v>20</v>
      </c>
      <c r="FH11" s="37">
        <v>20</v>
      </c>
      <c r="FI11" s="37">
        <v>20</v>
      </c>
      <c r="FJ11" s="37">
        <v>1</v>
      </c>
      <c r="FK11" s="37">
        <v>20</v>
      </c>
      <c r="FN11" s="37" t="str">
        <f t="shared" ref="FN11:FR11" si="108">VLOOKUP(FN66,$B$114:$C$126,2,FALSE)</f>
        <v>_HIG_1_</v>
      </c>
      <c r="FO11" s="37" t="str">
        <f t="shared" si="108"/>
        <v>_HIG_4_</v>
      </c>
      <c r="FP11" s="37" t="str">
        <f t="shared" si="108"/>
        <v>_low_3_</v>
      </c>
      <c r="FQ11" s="37" t="str">
        <f t="shared" si="108"/>
        <v>_HIG_1_</v>
      </c>
      <c r="FR11" s="37" t="str">
        <f t="shared" si="108"/>
        <v>_low_5_</v>
      </c>
      <c r="FU11" s="37">
        <v>20</v>
      </c>
      <c r="FV11" s="37">
        <v>20</v>
      </c>
      <c r="FW11" s="37">
        <v>20</v>
      </c>
      <c r="FX11" s="37">
        <v>1</v>
      </c>
      <c r="FY11" s="37">
        <v>20</v>
      </c>
      <c r="GB11" s="37" t="str">
        <f t="shared" ref="GB11:GF11" si="109">VLOOKUP(GB66,$B$114:$C$126,2,FALSE)</f>
        <v>_HIG_1_</v>
      </c>
      <c r="GC11" s="37" t="str">
        <f t="shared" si="109"/>
        <v>_HIG_4_</v>
      </c>
      <c r="GD11" s="37" t="str">
        <f t="shared" si="109"/>
        <v>_low_3_</v>
      </c>
      <c r="GE11" s="37" t="str">
        <f t="shared" si="109"/>
        <v>_HIG_1_</v>
      </c>
      <c r="GF11" s="37" t="str">
        <f t="shared" si="109"/>
        <v>_low_5_</v>
      </c>
      <c r="GI11" s="37">
        <v>20</v>
      </c>
      <c r="GJ11" s="37">
        <v>20</v>
      </c>
      <c r="GK11" s="37">
        <v>20</v>
      </c>
      <c r="GL11" s="37">
        <v>1</v>
      </c>
      <c r="GM11" s="37">
        <v>20</v>
      </c>
      <c r="GP11" s="37" t="str">
        <f t="shared" ref="GP11:GT11" si="110">VLOOKUP(GP66,$B$114:$C$126,2,FALSE)</f>
        <v>_HIG_1_</v>
      </c>
      <c r="GQ11" s="37" t="str">
        <f t="shared" si="110"/>
        <v>_HIG_4_</v>
      </c>
      <c r="GR11" s="37" t="str">
        <f t="shared" si="110"/>
        <v>_low_3_</v>
      </c>
      <c r="GS11" s="37" t="str">
        <f t="shared" si="110"/>
        <v>_HIG_1_</v>
      </c>
      <c r="GT11" s="37" t="str">
        <f t="shared" si="110"/>
        <v>_low_5_</v>
      </c>
      <c r="GW11" s="37">
        <v>20</v>
      </c>
      <c r="GX11" s="37">
        <v>20</v>
      </c>
      <c r="GY11" s="37">
        <v>20</v>
      </c>
      <c r="GZ11" s="37">
        <v>1</v>
      </c>
      <c r="HA11" s="37">
        <v>20</v>
      </c>
      <c r="HD11" s="37" t="str">
        <f t="shared" ref="HD11:HH11" si="111">VLOOKUP(HD66,$B$114:$C$126,2,FALSE)</f>
        <v>_HIG_1_</v>
      </c>
      <c r="HE11" s="37" t="str">
        <f t="shared" si="111"/>
        <v>_HIG_4_</v>
      </c>
      <c r="HF11" s="37" t="str">
        <f t="shared" si="111"/>
        <v>_low_3_</v>
      </c>
      <c r="HG11" s="37" t="str">
        <f t="shared" si="111"/>
        <v>_HIG_1_</v>
      </c>
      <c r="HH11" s="37" t="str">
        <f t="shared" si="111"/>
        <v>_low_5_</v>
      </c>
      <c r="HK11" s="37">
        <v>20</v>
      </c>
      <c r="HL11" s="37">
        <v>20</v>
      </c>
      <c r="HM11" s="37">
        <v>20</v>
      </c>
      <c r="HN11" s="37">
        <v>1</v>
      </c>
      <c r="HO11" s="37">
        <v>20</v>
      </c>
    </row>
    <row r="12" spans="1:223" x14ac:dyDescent="0.35">
      <c r="A12" s="37">
        <v>8</v>
      </c>
      <c r="B12" s="37" t="str">
        <f t="shared" ref="B12:F12" si="112">VLOOKUP(B67,$B$114:$C$126,2,FALSE)</f>
        <v>_HIG_1_</v>
      </c>
      <c r="C12" s="37" t="str">
        <f t="shared" si="112"/>
        <v>_low_4_</v>
      </c>
      <c r="D12" s="37" t="str">
        <f t="shared" si="112"/>
        <v>_JOK_1_</v>
      </c>
      <c r="E12" s="37" t="str">
        <f t="shared" si="112"/>
        <v>_low_4_</v>
      </c>
      <c r="F12" s="37" t="str">
        <f t="shared" si="112"/>
        <v>_low_2_</v>
      </c>
      <c r="I12" s="60">
        <v>20</v>
      </c>
      <c r="J12" s="60">
        <v>15</v>
      </c>
      <c r="K12" s="60">
        <v>20</v>
      </c>
      <c r="L12" s="60">
        <v>9</v>
      </c>
      <c r="M12" s="60">
        <v>20</v>
      </c>
      <c r="P12" s="37" t="str">
        <f t="shared" ref="P12:T12" si="113">VLOOKUP(P67,$B$114:$C$126,2,FALSE)</f>
        <v>_HIG_1_</v>
      </c>
      <c r="Q12" s="37" t="str">
        <f t="shared" si="113"/>
        <v>_low_4_</v>
      </c>
      <c r="R12" s="37" t="str">
        <f t="shared" si="113"/>
        <v>_JOK_1_</v>
      </c>
      <c r="S12" s="37" t="str">
        <f t="shared" si="113"/>
        <v>_low_4_</v>
      </c>
      <c r="T12" s="37" t="str">
        <f t="shared" si="113"/>
        <v>_low_2_</v>
      </c>
      <c r="W12" s="37">
        <v>20</v>
      </c>
      <c r="X12" s="37">
        <v>15</v>
      </c>
      <c r="Y12" s="37">
        <v>20</v>
      </c>
      <c r="Z12" s="37">
        <v>9</v>
      </c>
      <c r="AA12" s="37">
        <v>20</v>
      </c>
      <c r="AD12" s="37" t="str">
        <f t="shared" ref="AD12:AH12" si="114">VLOOKUP(AD67,$B$114:$C$126,2,FALSE)</f>
        <v>_HIG_1_</v>
      </c>
      <c r="AE12" s="37" t="str">
        <f t="shared" si="114"/>
        <v>_low_4_</v>
      </c>
      <c r="AF12" s="37" t="str">
        <f t="shared" si="114"/>
        <v>_JOK_1_</v>
      </c>
      <c r="AG12" s="37" t="str">
        <f t="shared" si="114"/>
        <v>_low_4_</v>
      </c>
      <c r="AH12" s="37" t="str">
        <f t="shared" si="114"/>
        <v>_low_2_</v>
      </c>
      <c r="AK12" s="37">
        <v>20</v>
      </c>
      <c r="AL12" s="37">
        <v>15</v>
      </c>
      <c r="AM12" s="37">
        <v>20</v>
      </c>
      <c r="AN12" s="37">
        <v>9</v>
      </c>
      <c r="AO12" s="37">
        <v>20</v>
      </c>
      <c r="AR12" s="37" t="str">
        <f t="shared" ref="AR12:AV12" si="115">VLOOKUP(AR67,$B$114:$C$126,2,FALSE)</f>
        <v>_HIG_1_</v>
      </c>
      <c r="AS12" s="37" t="str">
        <f t="shared" si="115"/>
        <v>_low_4_</v>
      </c>
      <c r="AT12" s="37" t="str">
        <f t="shared" si="115"/>
        <v>_JOK_1_</v>
      </c>
      <c r="AU12" s="37" t="str">
        <f t="shared" si="115"/>
        <v>_low_4_</v>
      </c>
      <c r="AV12" s="37" t="str">
        <f t="shared" si="115"/>
        <v>_low_2_</v>
      </c>
      <c r="AY12" s="37">
        <v>20</v>
      </c>
      <c r="AZ12" s="37">
        <v>15</v>
      </c>
      <c r="BA12" s="37">
        <v>20</v>
      </c>
      <c r="BB12" s="37">
        <v>9</v>
      </c>
      <c r="BC12" s="37">
        <v>20</v>
      </c>
      <c r="BF12" s="37" t="str">
        <f t="shared" ref="BF12:BJ12" si="116">VLOOKUP(BF67,$B$114:$C$126,2,FALSE)</f>
        <v>_HIG_1_</v>
      </c>
      <c r="BG12" s="37" t="str">
        <f t="shared" si="116"/>
        <v>_low_4_</v>
      </c>
      <c r="BH12" s="37" t="str">
        <f t="shared" si="116"/>
        <v>_JOK_1_</v>
      </c>
      <c r="BI12" s="37" t="str">
        <f t="shared" si="116"/>
        <v>_low_4_</v>
      </c>
      <c r="BJ12" s="37" t="str">
        <f t="shared" si="116"/>
        <v>_low_2_</v>
      </c>
      <c r="BM12" s="37">
        <v>20</v>
      </c>
      <c r="BN12" s="37">
        <v>15</v>
      </c>
      <c r="BO12" s="37">
        <v>20</v>
      </c>
      <c r="BP12" s="37">
        <v>9</v>
      </c>
      <c r="BQ12" s="37">
        <v>20</v>
      </c>
      <c r="BT12" s="37" t="str">
        <f t="shared" ref="BT12:BX12" si="117">VLOOKUP(BT67,$B$114:$C$126,2,FALSE)</f>
        <v>_HIG_1_</v>
      </c>
      <c r="BU12" s="37" t="str">
        <f t="shared" si="117"/>
        <v>_low_4_</v>
      </c>
      <c r="BV12" s="37" t="str">
        <f t="shared" si="117"/>
        <v>_JOK_1_</v>
      </c>
      <c r="BW12" s="37" t="str">
        <f t="shared" si="117"/>
        <v>_low_4_</v>
      </c>
      <c r="BX12" s="37" t="str">
        <f t="shared" si="117"/>
        <v>_low_2_</v>
      </c>
      <c r="CA12" s="37">
        <v>20</v>
      </c>
      <c r="CB12" s="37">
        <v>15</v>
      </c>
      <c r="CC12" s="37">
        <v>20</v>
      </c>
      <c r="CD12" s="37">
        <v>9</v>
      </c>
      <c r="CE12" s="37">
        <v>20</v>
      </c>
      <c r="CH12" s="37" t="str">
        <f t="shared" ref="CH12:CL12" si="118">VLOOKUP(CH67,$B$114:$C$126,2,FALSE)</f>
        <v>_HIG_1_</v>
      </c>
      <c r="CI12" s="37" t="str">
        <f t="shared" si="118"/>
        <v>_low_4_</v>
      </c>
      <c r="CJ12" s="37" t="str">
        <f t="shared" si="118"/>
        <v>_JOK_1_</v>
      </c>
      <c r="CK12" s="37" t="str">
        <f t="shared" si="118"/>
        <v>_low_4_</v>
      </c>
      <c r="CL12" s="37" t="str">
        <f t="shared" si="118"/>
        <v>_low_2_</v>
      </c>
      <c r="CO12" s="37">
        <v>20</v>
      </c>
      <c r="CP12" s="37">
        <v>15</v>
      </c>
      <c r="CQ12" s="37">
        <v>20</v>
      </c>
      <c r="CR12" s="37">
        <v>9</v>
      </c>
      <c r="CS12" s="37">
        <v>20</v>
      </c>
      <c r="CV12" s="37" t="str">
        <f t="shared" ref="CV12:CZ12" si="119">VLOOKUP(CV67,$B$114:$C$126,2,FALSE)</f>
        <v>_HIG_1_</v>
      </c>
      <c r="CW12" s="37" t="str">
        <f t="shared" si="119"/>
        <v>_low_4_</v>
      </c>
      <c r="CX12" s="37" t="str">
        <f t="shared" si="119"/>
        <v>_JOK_1_</v>
      </c>
      <c r="CY12" s="37" t="str">
        <f t="shared" si="119"/>
        <v>_low_4_</v>
      </c>
      <c r="CZ12" s="37" t="str">
        <f t="shared" si="119"/>
        <v>_low_2_</v>
      </c>
      <c r="DC12" s="37">
        <v>20</v>
      </c>
      <c r="DD12" s="37">
        <v>15</v>
      </c>
      <c r="DE12" s="37">
        <v>20</v>
      </c>
      <c r="DF12" s="37">
        <v>9</v>
      </c>
      <c r="DG12" s="37">
        <v>20</v>
      </c>
      <c r="DJ12" s="37" t="str">
        <f t="shared" ref="DJ12:DN12" si="120">VLOOKUP(DJ67,$B$114:$C$126,2,FALSE)</f>
        <v>_HIG_1_</v>
      </c>
      <c r="DK12" s="37" t="str">
        <f t="shared" si="120"/>
        <v>_low_4_</v>
      </c>
      <c r="DL12" s="37" t="str">
        <f t="shared" si="120"/>
        <v>_JOK_1_</v>
      </c>
      <c r="DM12" s="37" t="str">
        <f t="shared" si="120"/>
        <v>_low_4_</v>
      </c>
      <c r="DN12" s="37" t="str">
        <f t="shared" si="120"/>
        <v>_low_2_</v>
      </c>
      <c r="DQ12" s="37">
        <v>20</v>
      </c>
      <c r="DR12" s="37">
        <v>15</v>
      </c>
      <c r="DS12" s="37">
        <v>20</v>
      </c>
      <c r="DT12" s="37">
        <v>9</v>
      </c>
      <c r="DU12" s="37">
        <v>20</v>
      </c>
      <c r="DX12" s="37" t="str">
        <f t="shared" ref="DX12:EB12" si="121">VLOOKUP(DX67,$B$114:$C$126,2,FALSE)</f>
        <v>_HIG_1_</v>
      </c>
      <c r="DY12" s="37" t="str">
        <f t="shared" si="121"/>
        <v>_low_4_</v>
      </c>
      <c r="DZ12" s="37" t="str">
        <f t="shared" si="121"/>
        <v>_JOK_1_</v>
      </c>
      <c r="EA12" s="37" t="str">
        <f t="shared" si="121"/>
        <v>_low_4_</v>
      </c>
      <c r="EB12" s="37" t="str">
        <f t="shared" si="121"/>
        <v>_low_2_</v>
      </c>
      <c r="EE12" s="37">
        <v>20</v>
      </c>
      <c r="EF12" s="37">
        <v>15</v>
      </c>
      <c r="EG12" s="37">
        <v>20</v>
      </c>
      <c r="EH12" s="37">
        <v>9</v>
      </c>
      <c r="EI12" s="37">
        <v>20</v>
      </c>
      <c r="EL12" s="37" t="str">
        <f t="shared" ref="EL12:EP12" si="122">VLOOKUP(EL67,$B$114:$C$126,2,FALSE)</f>
        <v>_HIG_1_</v>
      </c>
      <c r="EM12" s="37" t="str">
        <f t="shared" si="122"/>
        <v>_low_4_</v>
      </c>
      <c r="EN12" s="37" t="str">
        <f t="shared" si="122"/>
        <v>_JOK_1_</v>
      </c>
      <c r="EO12" s="37" t="str">
        <f t="shared" si="122"/>
        <v>_low_4_</v>
      </c>
      <c r="EP12" s="37" t="str">
        <f t="shared" si="122"/>
        <v>_low_2_</v>
      </c>
      <c r="ES12" s="37">
        <v>20</v>
      </c>
      <c r="ET12" s="37">
        <v>15</v>
      </c>
      <c r="EU12" s="37">
        <v>20</v>
      </c>
      <c r="EV12" s="37">
        <v>9</v>
      </c>
      <c r="EW12" s="37">
        <v>20</v>
      </c>
      <c r="EZ12" s="37" t="str">
        <f t="shared" ref="EZ12:FD12" si="123">VLOOKUP(EZ67,$B$114:$C$126,2,FALSE)</f>
        <v>_HIG_1_</v>
      </c>
      <c r="FA12" s="37" t="str">
        <f t="shared" si="123"/>
        <v>_low_4_</v>
      </c>
      <c r="FB12" s="37" t="str">
        <f t="shared" si="123"/>
        <v>_JOK_1_</v>
      </c>
      <c r="FC12" s="37" t="str">
        <f t="shared" si="123"/>
        <v>_low_4_</v>
      </c>
      <c r="FD12" s="37" t="str">
        <f t="shared" si="123"/>
        <v>_low_2_</v>
      </c>
      <c r="FG12" s="37">
        <v>20</v>
      </c>
      <c r="FH12" s="37">
        <v>15</v>
      </c>
      <c r="FI12" s="37">
        <v>20</v>
      </c>
      <c r="FJ12" s="37">
        <v>9</v>
      </c>
      <c r="FK12" s="37">
        <v>20</v>
      </c>
      <c r="FN12" s="37" t="str">
        <f t="shared" ref="FN12:FR12" si="124">VLOOKUP(FN67,$B$114:$C$126,2,FALSE)</f>
        <v>_HIG_1_</v>
      </c>
      <c r="FO12" s="37" t="str">
        <f t="shared" si="124"/>
        <v>_low_4_</v>
      </c>
      <c r="FP12" s="37" t="str">
        <f t="shared" si="124"/>
        <v>_JOK_1_</v>
      </c>
      <c r="FQ12" s="37" t="str">
        <f t="shared" si="124"/>
        <v>_low_4_</v>
      </c>
      <c r="FR12" s="37" t="str">
        <f t="shared" si="124"/>
        <v>_low_2_</v>
      </c>
      <c r="FU12" s="37">
        <v>20</v>
      </c>
      <c r="FV12" s="37">
        <v>15</v>
      </c>
      <c r="FW12" s="37">
        <v>20</v>
      </c>
      <c r="FX12" s="37">
        <v>9</v>
      </c>
      <c r="FY12" s="37">
        <v>20</v>
      </c>
      <c r="GB12" s="37" t="str">
        <f t="shared" ref="GB12:GF12" si="125">VLOOKUP(GB67,$B$114:$C$126,2,FALSE)</f>
        <v>_HIG_1_</v>
      </c>
      <c r="GC12" s="37" t="str">
        <f t="shared" si="125"/>
        <v>_low_4_</v>
      </c>
      <c r="GD12" s="37" t="str">
        <f t="shared" si="125"/>
        <v>_JOK_1_</v>
      </c>
      <c r="GE12" s="37" t="str">
        <f t="shared" si="125"/>
        <v>_low_4_</v>
      </c>
      <c r="GF12" s="37" t="str">
        <f t="shared" si="125"/>
        <v>_low_2_</v>
      </c>
      <c r="GI12" s="37">
        <v>20</v>
      </c>
      <c r="GJ12" s="37">
        <v>15</v>
      </c>
      <c r="GK12" s="37">
        <v>20</v>
      </c>
      <c r="GL12" s="37">
        <v>9</v>
      </c>
      <c r="GM12" s="37">
        <v>20</v>
      </c>
      <c r="GP12" s="37" t="str">
        <f t="shared" ref="GP12:GT12" si="126">VLOOKUP(GP67,$B$114:$C$126,2,FALSE)</f>
        <v>_HIG_1_</v>
      </c>
      <c r="GQ12" s="37" t="str">
        <f t="shared" si="126"/>
        <v>_low_4_</v>
      </c>
      <c r="GR12" s="37" t="str">
        <f t="shared" si="126"/>
        <v>_JOK_1_</v>
      </c>
      <c r="GS12" s="37" t="str">
        <f t="shared" si="126"/>
        <v>_low_4_</v>
      </c>
      <c r="GT12" s="37" t="str">
        <f t="shared" si="126"/>
        <v>_low_2_</v>
      </c>
      <c r="GW12" s="37">
        <v>20</v>
      </c>
      <c r="GX12" s="37">
        <v>15</v>
      </c>
      <c r="GY12" s="37">
        <v>20</v>
      </c>
      <c r="GZ12" s="37">
        <v>9</v>
      </c>
      <c r="HA12" s="37">
        <v>20</v>
      </c>
      <c r="HD12" s="37" t="str">
        <f t="shared" ref="HD12:HH12" si="127">VLOOKUP(HD67,$B$114:$C$126,2,FALSE)</f>
        <v>_HIG_1_</v>
      </c>
      <c r="HE12" s="37" t="str">
        <f t="shared" si="127"/>
        <v>_low_4_</v>
      </c>
      <c r="HF12" s="37" t="str">
        <f t="shared" si="127"/>
        <v>_JOK_1_</v>
      </c>
      <c r="HG12" s="37" t="str">
        <f t="shared" si="127"/>
        <v>_low_4_</v>
      </c>
      <c r="HH12" s="37" t="str">
        <f t="shared" si="127"/>
        <v>_low_2_</v>
      </c>
      <c r="HK12" s="37">
        <v>20</v>
      </c>
      <c r="HL12" s="37">
        <v>15</v>
      </c>
      <c r="HM12" s="37">
        <v>20</v>
      </c>
      <c r="HN12" s="37">
        <v>9</v>
      </c>
      <c r="HO12" s="37">
        <v>20</v>
      </c>
    </row>
    <row r="13" spans="1:223" x14ac:dyDescent="0.35">
      <c r="A13" s="37">
        <v>9</v>
      </c>
      <c r="B13" s="37" t="str">
        <f t="shared" ref="B13:F13" si="128">VLOOKUP(B68,$B$114:$C$126,2,FALSE)</f>
        <v>_low_2_</v>
      </c>
      <c r="C13" s="37" t="str">
        <f t="shared" si="128"/>
        <v>_SCA_1_</v>
      </c>
      <c r="D13" s="37" t="str">
        <f t="shared" si="128"/>
        <v>_JOK_1_</v>
      </c>
      <c r="E13" s="37" t="str">
        <f t="shared" si="128"/>
        <v>_SCA_1_</v>
      </c>
      <c r="F13" s="37" t="str">
        <f t="shared" si="128"/>
        <v>_HIG_4_</v>
      </c>
      <c r="I13" s="60">
        <v>20</v>
      </c>
      <c r="J13" s="60">
        <v>15</v>
      </c>
      <c r="K13" s="60">
        <v>20</v>
      </c>
      <c r="L13" s="60">
        <v>9</v>
      </c>
      <c r="M13" s="60">
        <v>20</v>
      </c>
      <c r="P13" s="37" t="str">
        <f t="shared" ref="P13:T13" si="129">VLOOKUP(P68,$B$114:$C$126,2,FALSE)</f>
        <v>_low_2_</v>
      </c>
      <c r="Q13" s="37" t="str">
        <f t="shared" si="129"/>
        <v>_SCA_1_</v>
      </c>
      <c r="R13" s="37" t="str">
        <f t="shared" si="129"/>
        <v>_JOK_1_</v>
      </c>
      <c r="S13" s="37" t="str">
        <f t="shared" si="129"/>
        <v>_SCA_1_</v>
      </c>
      <c r="T13" s="37" t="str">
        <f t="shared" si="129"/>
        <v>_HIG_4_</v>
      </c>
      <c r="W13" s="37">
        <v>20</v>
      </c>
      <c r="X13" s="37">
        <v>15</v>
      </c>
      <c r="Y13" s="37">
        <v>20</v>
      </c>
      <c r="Z13" s="37">
        <v>9</v>
      </c>
      <c r="AA13" s="37">
        <v>20</v>
      </c>
      <c r="AD13" s="37" t="str">
        <f t="shared" ref="AD13:AH13" si="130">VLOOKUP(AD68,$B$114:$C$126,2,FALSE)</f>
        <v>_low_2_</v>
      </c>
      <c r="AE13" s="37" t="str">
        <f t="shared" si="130"/>
        <v>_SCA_1_</v>
      </c>
      <c r="AF13" s="37" t="str">
        <f t="shared" si="130"/>
        <v>_JOK_1_</v>
      </c>
      <c r="AG13" s="37" t="str">
        <f t="shared" si="130"/>
        <v>_SCA_1_</v>
      </c>
      <c r="AH13" s="37" t="str">
        <f t="shared" si="130"/>
        <v>_HIG_4_</v>
      </c>
      <c r="AK13" s="37">
        <v>20</v>
      </c>
      <c r="AL13" s="37">
        <v>15</v>
      </c>
      <c r="AM13" s="37">
        <v>20</v>
      </c>
      <c r="AN13" s="37">
        <v>9</v>
      </c>
      <c r="AO13" s="37">
        <v>20</v>
      </c>
      <c r="AR13" s="37" t="str">
        <f t="shared" ref="AR13:AV13" si="131">VLOOKUP(AR68,$B$114:$C$126,2,FALSE)</f>
        <v>_low_2_</v>
      </c>
      <c r="AS13" s="37" t="str">
        <f t="shared" si="131"/>
        <v>_SCA_1_</v>
      </c>
      <c r="AT13" s="37" t="str">
        <f t="shared" si="131"/>
        <v>_JOK_1_</v>
      </c>
      <c r="AU13" s="37" t="str">
        <f t="shared" si="131"/>
        <v>_SCA_1_</v>
      </c>
      <c r="AV13" s="37" t="str">
        <f t="shared" si="131"/>
        <v>_HIG_4_</v>
      </c>
      <c r="AY13" s="37">
        <v>20</v>
      </c>
      <c r="AZ13" s="37">
        <v>15</v>
      </c>
      <c r="BA13" s="37">
        <v>20</v>
      </c>
      <c r="BB13" s="37">
        <v>9</v>
      </c>
      <c r="BC13" s="37">
        <v>20</v>
      </c>
      <c r="BF13" s="37" t="str">
        <f t="shared" ref="BF13:BJ13" si="132">VLOOKUP(BF68,$B$114:$C$126,2,FALSE)</f>
        <v>_low_2_</v>
      </c>
      <c r="BG13" s="37" t="str">
        <f t="shared" si="132"/>
        <v>_SCA_1_</v>
      </c>
      <c r="BH13" s="37" t="str">
        <f t="shared" si="132"/>
        <v>_JOK_1_</v>
      </c>
      <c r="BI13" s="37" t="str">
        <f t="shared" si="132"/>
        <v>_SCA_1_</v>
      </c>
      <c r="BJ13" s="37" t="str">
        <f t="shared" si="132"/>
        <v>_HIG_4_</v>
      </c>
      <c r="BM13" s="37">
        <v>20</v>
      </c>
      <c r="BN13" s="37">
        <v>15</v>
      </c>
      <c r="BO13" s="37">
        <v>20</v>
      </c>
      <c r="BP13" s="37">
        <v>9</v>
      </c>
      <c r="BQ13" s="37">
        <v>20</v>
      </c>
      <c r="BT13" s="37" t="str">
        <f t="shared" ref="BT13:BX13" si="133">VLOOKUP(BT68,$B$114:$C$126,2,FALSE)</f>
        <v>_low_2_</v>
      </c>
      <c r="BU13" s="37" t="str">
        <f t="shared" si="133"/>
        <v>_SCA_1_</v>
      </c>
      <c r="BV13" s="37" t="str">
        <f t="shared" si="133"/>
        <v>_JOK_1_</v>
      </c>
      <c r="BW13" s="37" t="str">
        <f t="shared" si="133"/>
        <v>_SCA_1_</v>
      </c>
      <c r="BX13" s="37" t="str">
        <f t="shared" si="133"/>
        <v>_HIG_4_</v>
      </c>
      <c r="CA13" s="37">
        <v>20</v>
      </c>
      <c r="CB13" s="37">
        <v>15</v>
      </c>
      <c r="CC13" s="37">
        <v>20</v>
      </c>
      <c r="CD13" s="37">
        <v>9</v>
      </c>
      <c r="CE13" s="37">
        <v>20</v>
      </c>
      <c r="CH13" s="37" t="str">
        <f t="shared" ref="CH13:CL13" si="134">VLOOKUP(CH68,$B$114:$C$126,2,FALSE)</f>
        <v>_low_2_</v>
      </c>
      <c r="CI13" s="37" t="str">
        <f t="shared" si="134"/>
        <v>_SCA_1_</v>
      </c>
      <c r="CJ13" s="37" t="str">
        <f t="shared" si="134"/>
        <v>_JOK_1_</v>
      </c>
      <c r="CK13" s="37" t="str">
        <f t="shared" si="134"/>
        <v>_SCA_1_</v>
      </c>
      <c r="CL13" s="37" t="str">
        <f t="shared" si="134"/>
        <v>_HIG_4_</v>
      </c>
      <c r="CO13" s="37">
        <v>20</v>
      </c>
      <c r="CP13" s="37">
        <v>15</v>
      </c>
      <c r="CQ13" s="37">
        <v>20</v>
      </c>
      <c r="CR13" s="37">
        <v>9</v>
      </c>
      <c r="CS13" s="37">
        <v>20</v>
      </c>
      <c r="CV13" s="37" t="str">
        <f t="shared" ref="CV13:CZ13" si="135">VLOOKUP(CV68,$B$114:$C$126,2,FALSE)</f>
        <v>_low_2_</v>
      </c>
      <c r="CW13" s="37" t="str">
        <f t="shared" si="135"/>
        <v>_SCA_1_</v>
      </c>
      <c r="CX13" s="37" t="str">
        <f t="shared" si="135"/>
        <v>_JOK_1_</v>
      </c>
      <c r="CY13" s="37" t="str">
        <f t="shared" si="135"/>
        <v>_SCA_1_</v>
      </c>
      <c r="CZ13" s="37" t="str">
        <f t="shared" si="135"/>
        <v>_HIG_4_</v>
      </c>
      <c r="DC13" s="37">
        <v>20</v>
      </c>
      <c r="DD13" s="37">
        <v>15</v>
      </c>
      <c r="DE13" s="37">
        <v>20</v>
      </c>
      <c r="DF13" s="37">
        <v>9</v>
      </c>
      <c r="DG13" s="37">
        <v>20</v>
      </c>
      <c r="DJ13" s="37" t="str">
        <f t="shared" ref="DJ13:DN13" si="136">VLOOKUP(DJ68,$B$114:$C$126,2,FALSE)</f>
        <v>_low_2_</v>
      </c>
      <c r="DK13" s="37" t="str">
        <f t="shared" si="136"/>
        <v>_SCA_1_</v>
      </c>
      <c r="DL13" s="37" t="str">
        <f t="shared" si="136"/>
        <v>_JOK_1_</v>
      </c>
      <c r="DM13" s="37" t="str">
        <f t="shared" si="136"/>
        <v>_SCA_1_</v>
      </c>
      <c r="DN13" s="37" t="str">
        <f t="shared" si="136"/>
        <v>_HIG_4_</v>
      </c>
      <c r="DQ13" s="37">
        <v>20</v>
      </c>
      <c r="DR13" s="37">
        <v>15</v>
      </c>
      <c r="DS13" s="37">
        <v>20</v>
      </c>
      <c r="DT13" s="37">
        <v>9</v>
      </c>
      <c r="DU13" s="37">
        <v>20</v>
      </c>
      <c r="DX13" s="37" t="str">
        <f t="shared" ref="DX13:EB13" si="137">VLOOKUP(DX68,$B$114:$C$126,2,FALSE)</f>
        <v>_low_2_</v>
      </c>
      <c r="DY13" s="37" t="str">
        <f t="shared" si="137"/>
        <v>_SCA_1_</v>
      </c>
      <c r="DZ13" s="37" t="str">
        <f t="shared" si="137"/>
        <v>_JOK_1_</v>
      </c>
      <c r="EA13" s="37" t="str">
        <f t="shared" si="137"/>
        <v>_SCA_1_</v>
      </c>
      <c r="EB13" s="37" t="str">
        <f t="shared" si="137"/>
        <v>_HIG_4_</v>
      </c>
      <c r="EE13" s="37">
        <v>20</v>
      </c>
      <c r="EF13" s="37">
        <v>15</v>
      </c>
      <c r="EG13" s="37">
        <v>20</v>
      </c>
      <c r="EH13" s="37">
        <v>9</v>
      </c>
      <c r="EI13" s="37">
        <v>20</v>
      </c>
      <c r="EL13" s="37" t="str">
        <f t="shared" ref="EL13:EP13" si="138">VLOOKUP(EL68,$B$114:$C$126,2,FALSE)</f>
        <v>_low_2_</v>
      </c>
      <c r="EM13" s="37" t="str">
        <f t="shared" si="138"/>
        <v>_SCA_1_</v>
      </c>
      <c r="EN13" s="37" t="str">
        <f t="shared" si="138"/>
        <v>_JOK_1_</v>
      </c>
      <c r="EO13" s="37" t="str">
        <f t="shared" si="138"/>
        <v>_SCA_1_</v>
      </c>
      <c r="EP13" s="37" t="str">
        <f t="shared" si="138"/>
        <v>_HIG_4_</v>
      </c>
      <c r="ES13" s="37">
        <v>20</v>
      </c>
      <c r="ET13" s="37">
        <v>15</v>
      </c>
      <c r="EU13" s="37">
        <v>20</v>
      </c>
      <c r="EV13" s="37">
        <v>9</v>
      </c>
      <c r="EW13" s="37">
        <v>20</v>
      </c>
      <c r="EZ13" s="37" t="str">
        <f t="shared" ref="EZ13:FD13" si="139">VLOOKUP(EZ68,$B$114:$C$126,2,FALSE)</f>
        <v>_low_2_</v>
      </c>
      <c r="FA13" s="37" t="str">
        <f t="shared" si="139"/>
        <v>_SCA_1_</v>
      </c>
      <c r="FB13" s="37" t="str">
        <f t="shared" si="139"/>
        <v>_JOK_1_</v>
      </c>
      <c r="FC13" s="37" t="str">
        <f t="shared" si="139"/>
        <v>_SCA_1_</v>
      </c>
      <c r="FD13" s="37" t="str">
        <f t="shared" si="139"/>
        <v>_HIG_4_</v>
      </c>
      <c r="FG13" s="37">
        <v>20</v>
      </c>
      <c r="FH13" s="37">
        <v>15</v>
      </c>
      <c r="FI13" s="37">
        <v>20</v>
      </c>
      <c r="FJ13" s="37">
        <v>9</v>
      </c>
      <c r="FK13" s="37">
        <v>20</v>
      </c>
      <c r="FN13" s="37" t="str">
        <f t="shared" ref="FN13:FR13" si="140">VLOOKUP(FN68,$B$114:$C$126,2,FALSE)</f>
        <v>_low_2_</v>
      </c>
      <c r="FO13" s="37" t="str">
        <f t="shared" si="140"/>
        <v>_SCA_1_</v>
      </c>
      <c r="FP13" s="37" t="str">
        <f t="shared" si="140"/>
        <v>_JOK_1_</v>
      </c>
      <c r="FQ13" s="37" t="str">
        <f t="shared" si="140"/>
        <v>_SCA_1_</v>
      </c>
      <c r="FR13" s="37" t="str">
        <f t="shared" si="140"/>
        <v>_HIG_4_</v>
      </c>
      <c r="FU13" s="37">
        <v>20</v>
      </c>
      <c r="FV13" s="37">
        <v>15</v>
      </c>
      <c r="FW13" s="37">
        <v>20</v>
      </c>
      <c r="FX13" s="37">
        <v>9</v>
      </c>
      <c r="FY13" s="37">
        <v>20</v>
      </c>
      <c r="GB13" s="37" t="str">
        <f t="shared" ref="GB13:GF13" si="141">VLOOKUP(GB68,$B$114:$C$126,2,FALSE)</f>
        <v>_low_2_</v>
      </c>
      <c r="GC13" s="37" t="str">
        <f t="shared" si="141"/>
        <v>_SCA_1_</v>
      </c>
      <c r="GD13" s="37" t="str">
        <f t="shared" si="141"/>
        <v>_JOK_1_</v>
      </c>
      <c r="GE13" s="37" t="str">
        <f t="shared" si="141"/>
        <v>_SCA_1_</v>
      </c>
      <c r="GF13" s="37" t="str">
        <f t="shared" si="141"/>
        <v>_HIG_4_</v>
      </c>
      <c r="GI13" s="37">
        <v>20</v>
      </c>
      <c r="GJ13" s="37">
        <v>15</v>
      </c>
      <c r="GK13" s="37">
        <v>20</v>
      </c>
      <c r="GL13" s="37">
        <v>9</v>
      </c>
      <c r="GM13" s="37">
        <v>20</v>
      </c>
      <c r="GP13" s="37" t="str">
        <f t="shared" ref="GP13:GT13" si="142">VLOOKUP(GP68,$B$114:$C$126,2,FALSE)</f>
        <v>_low_2_</v>
      </c>
      <c r="GQ13" s="37" t="str">
        <f t="shared" si="142"/>
        <v>_SCA_1_</v>
      </c>
      <c r="GR13" s="37" t="str">
        <f t="shared" si="142"/>
        <v>_JOK_1_</v>
      </c>
      <c r="GS13" s="37" t="str">
        <f t="shared" si="142"/>
        <v>_SCA_1_</v>
      </c>
      <c r="GT13" s="37" t="str">
        <f t="shared" si="142"/>
        <v>_HIG_4_</v>
      </c>
      <c r="GW13" s="37">
        <v>20</v>
      </c>
      <c r="GX13" s="37">
        <v>15</v>
      </c>
      <c r="GY13" s="37">
        <v>20</v>
      </c>
      <c r="GZ13" s="37">
        <v>9</v>
      </c>
      <c r="HA13" s="37">
        <v>20</v>
      </c>
      <c r="HD13" s="37" t="str">
        <f t="shared" ref="HD13:HH13" si="143">VLOOKUP(HD68,$B$114:$C$126,2,FALSE)</f>
        <v>_low_2_</v>
      </c>
      <c r="HE13" s="37" t="str">
        <f t="shared" si="143"/>
        <v>_SCA_1_</v>
      </c>
      <c r="HF13" s="37" t="str">
        <f t="shared" si="143"/>
        <v>_JOK_1_</v>
      </c>
      <c r="HG13" s="37" t="str">
        <f t="shared" si="143"/>
        <v>_SCA_1_</v>
      </c>
      <c r="HH13" s="37" t="str">
        <f t="shared" si="143"/>
        <v>_HIG_4_</v>
      </c>
      <c r="HK13" s="37">
        <v>20</v>
      </c>
      <c r="HL13" s="37">
        <v>15</v>
      </c>
      <c r="HM13" s="37">
        <v>20</v>
      </c>
      <c r="HN13" s="37">
        <v>9</v>
      </c>
      <c r="HO13" s="37">
        <v>20</v>
      </c>
    </row>
    <row r="14" spans="1:223" x14ac:dyDescent="0.35">
      <c r="A14" s="37">
        <v>10</v>
      </c>
      <c r="B14" s="37" t="str">
        <f t="shared" ref="B14:F14" si="144">VLOOKUP(B69,$B$114:$C$126,2,FALSE)</f>
        <v>_low_2_</v>
      </c>
      <c r="C14" s="37" t="str">
        <f t="shared" si="144"/>
        <v>_low_3_</v>
      </c>
      <c r="D14" s="37" t="str">
        <f t="shared" si="144"/>
        <v>_JOK_1_</v>
      </c>
      <c r="E14" s="37" t="str">
        <f t="shared" si="144"/>
        <v>_low_3_</v>
      </c>
      <c r="F14" s="37" t="str">
        <f t="shared" si="144"/>
        <v>_low_3_</v>
      </c>
      <c r="I14" s="60">
        <v>20</v>
      </c>
      <c r="J14" s="60">
        <v>15</v>
      </c>
      <c r="K14" s="60">
        <v>20</v>
      </c>
      <c r="L14" s="60">
        <v>9</v>
      </c>
      <c r="M14" s="60">
        <v>1</v>
      </c>
      <c r="P14" s="37" t="str">
        <f t="shared" ref="P14:T14" si="145">VLOOKUP(P69,$B$114:$C$126,2,FALSE)</f>
        <v>_low_2_</v>
      </c>
      <c r="Q14" s="37" t="str">
        <f t="shared" si="145"/>
        <v>_low_3_</v>
      </c>
      <c r="R14" s="37" t="str">
        <f t="shared" si="145"/>
        <v>_JOK_1_</v>
      </c>
      <c r="S14" s="37" t="str">
        <f t="shared" si="145"/>
        <v>_low_3_</v>
      </c>
      <c r="T14" s="37" t="str">
        <f t="shared" si="145"/>
        <v>_low_3_</v>
      </c>
      <c r="W14" s="37">
        <v>20</v>
      </c>
      <c r="X14" s="37">
        <v>15</v>
      </c>
      <c r="Y14" s="37">
        <v>20</v>
      </c>
      <c r="Z14" s="37">
        <v>9</v>
      </c>
      <c r="AA14" s="37">
        <v>1</v>
      </c>
      <c r="AD14" s="37" t="str">
        <f t="shared" ref="AD14:AH14" si="146">VLOOKUP(AD69,$B$114:$C$126,2,FALSE)</f>
        <v>_low_2_</v>
      </c>
      <c r="AE14" s="37" t="str">
        <f t="shared" si="146"/>
        <v>_low_3_</v>
      </c>
      <c r="AF14" s="37" t="str">
        <f t="shared" si="146"/>
        <v>_JOK_1_</v>
      </c>
      <c r="AG14" s="37" t="str">
        <f t="shared" si="146"/>
        <v>_low_3_</v>
      </c>
      <c r="AH14" s="37" t="str">
        <f t="shared" si="146"/>
        <v>_low_3_</v>
      </c>
      <c r="AK14" s="37">
        <v>20</v>
      </c>
      <c r="AL14" s="37">
        <v>15</v>
      </c>
      <c r="AM14" s="37">
        <v>20</v>
      </c>
      <c r="AN14" s="37">
        <v>9</v>
      </c>
      <c r="AO14" s="37">
        <v>1</v>
      </c>
      <c r="AR14" s="37" t="str">
        <f t="shared" ref="AR14:AV14" si="147">VLOOKUP(AR69,$B$114:$C$126,2,FALSE)</f>
        <v>_low_2_</v>
      </c>
      <c r="AS14" s="37" t="str">
        <f t="shared" si="147"/>
        <v>_low_3_</v>
      </c>
      <c r="AT14" s="37" t="str">
        <f t="shared" si="147"/>
        <v>_JOK_1_</v>
      </c>
      <c r="AU14" s="37" t="str">
        <f t="shared" si="147"/>
        <v>_low_3_</v>
      </c>
      <c r="AV14" s="37" t="str">
        <f t="shared" si="147"/>
        <v>_low_3_</v>
      </c>
      <c r="AY14" s="37">
        <v>20</v>
      </c>
      <c r="AZ14" s="37">
        <v>15</v>
      </c>
      <c r="BA14" s="37">
        <v>20</v>
      </c>
      <c r="BB14" s="37">
        <v>9</v>
      </c>
      <c r="BC14" s="37">
        <v>1</v>
      </c>
      <c r="BF14" s="37" t="str">
        <f t="shared" ref="BF14:BJ14" si="148">VLOOKUP(BF69,$B$114:$C$126,2,FALSE)</f>
        <v>_low_2_</v>
      </c>
      <c r="BG14" s="37" t="str">
        <f t="shared" si="148"/>
        <v>_low_3_</v>
      </c>
      <c r="BH14" s="37" t="str">
        <f t="shared" si="148"/>
        <v>_JOK_1_</v>
      </c>
      <c r="BI14" s="37" t="str">
        <f t="shared" si="148"/>
        <v>_low_3_</v>
      </c>
      <c r="BJ14" s="37" t="str">
        <f t="shared" si="148"/>
        <v>_low_3_</v>
      </c>
      <c r="BM14" s="37">
        <v>20</v>
      </c>
      <c r="BN14" s="37">
        <v>15</v>
      </c>
      <c r="BO14" s="37">
        <v>20</v>
      </c>
      <c r="BP14" s="37">
        <v>9</v>
      </c>
      <c r="BQ14" s="37">
        <v>1</v>
      </c>
      <c r="BT14" s="37" t="str">
        <f t="shared" ref="BT14:BX14" si="149">VLOOKUP(BT69,$B$114:$C$126,2,FALSE)</f>
        <v>_low_2_</v>
      </c>
      <c r="BU14" s="37" t="str">
        <f t="shared" si="149"/>
        <v>_low_3_</v>
      </c>
      <c r="BV14" s="37" t="str">
        <f t="shared" si="149"/>
        <v>_JOK_1_</v>
      </c>
      <c r="BW14" s="37" t="str">
        <f t="shared" si="149"/>
        <v>_low_3_</v>
      </c>
      <c r="BX14" s="37" t="str">
        <f t="shared" si="149"/>
        <v>_low_3_</v>
      </c>
      <c r="CA14" s="37">
        <v>20</v>
      </c>
      <c r="CB14" s="37">
        <v>15</v>
      </c>
      <c r="CC14" s="37">
        <v>20</v>
      </c>
      <c r="CD14" s="37">
        <v>9</v>
      </c>
      <c r="CE14" s="37">
        <v>1</v>
      </c>
      <c r="CH14" s="37" t="str">
        <f t="shared" ref="CH14:CL14" si="150">VLOOKUP(CH69,$B$114:$C$126,2,FALSE)</f>
        <v>_low_2_</v>
      </c>
      <c r="CI14" s="37" t="str">
        <f t="shared" si="150"/>
        <v>_low_3_</v>
      </c>
      <c r="CJ14" s="37" t="str">
        <f t="shared" si="150"/>
        <v>_JOK_1_</v>
      </c>
      <c r="CK14" s="37" t="str">
        <f t="shared" si="150"/>
        <v>_low_3_</v>
      </c>
      <c r="CL14" s="37" t="str">
        <f t="shared" si="150"/>
        <v>_low_3_</v>
      </c>
      <c r="CO14" s="37">
        <v>20</v>
      </c>
      <c r="CP14" s="37">
        <v>15</v>
      </c>
      <c r="CQ14" s="37">
        <v>20</v>
      </c>
      <c r="CR14" s="37">
        <v>9</v>
      </c>
      <c r="CS14" s="37">
        <v>1</v>
      </c>
      <c r="CV14" s="37" t="str">
        <f t="shared" ref="CV14:CZ14" si="151">VLOOKUP(CV69,$B$114:$C$126,2,FALSE)</f>
        <v>_low_2_</v>
      </c>
      <c r="CW14" s="37" t="str">
        <f t="shared" si="151"/>
        <v>_low_3_</v>
      </c>
      <c r="CX14" s="37" t="str">
        <f t="shared" si="151"/>
        <v>_JOK_1_</v>
      </c>
      <c r="CY14" s="37" t="str">
        <f t="shared" si="151"/>
        <v>_low_3_</v>
      </c>
      <c r="CZ14" s="37" t="str">
        <f t="shared" si="151"/>
        <v>_low_3_</v>
      </c>
      <c r="DC14" s="37">
        <v>20</v>
      </c>
      <c r="DD14" s="37">
        <v>15</v>
      </c>
      <c r="DE14" s="37">
        <v>20</v>
      </c>
      <c r="DF14" s="37">
        <v>9</v>
      </c>
      <c r="DG14" s="37">
        <v>1</v>
      </c>
      <c r="DJ14" s="37" t="str">
        <f t="shared" ref="DJ14:DN14" si="152">VLOOKUP(DJ69,$B$114:$C$126,2,FALSE)</f>
        <v>_low_2_</v>
      </c>
      <c r="DK14" s="37" t="str">
        <f t="shared" si="152"/>
        <v>_low_3_</v>
      </c>
      <c r="DL14" s="37" t="str">
        <f t="shared" si="152"/>
        <v>_JOK_1_</v>
      </c>
      <c r="DM14" s="37" t="str">
        <f t="shared" si="152"/>
        <v>_low_3_</v>
      </c>
      <c r="DN14" s="37" t="str">
        <f t="shared" si="152"/>
        <v>_low_3_</v>
      </c>
      <c r="DQ14" s="37">
        <v>20</v>
      </c>
      <c r="DR14" s="37">
        <v>15</v>
      </c>
      <c r="DS14" s="37">
        <v>20</v>
      </c>
      <c r="DT14" s="37">
        <v>9</v>
      </c>
      <c r="DU14" s="37">
        <v>1</v>
      </c>
      <c r="DX14" s="37" t="str">
        <f t="shared" ref="DX14:EB14" si="153">VLOOKUP(DX69,$B$114:$C$126,2,FALSE)</f>
        <v>_low_2_</v>
      </c>
      <c r="DY14" s="37" t="str">
        <f t="shared" si="153"/>
        <v>_low_3_</v>
      </c>
      <c r="DZ14" s="37" t="str">
        <f t="shared" si="153"/>
        <v>_JOK_1_</v>
      </c>
      <c r="EA14" s="37" t="str">
        <f t="shared" si="153"/>
        <v>_low_3_</v>
      </c>
      <c r="EB14" s="37" t="str">
        <f t="shared" si="153"/>
        <v>_low_3_</v>
      </c>
      <c r="EE14" s="37">
        <v>20</v>
      </c>
      <c r="EF14" s="37">
        <v>15</v>
      </c>
      <c r="EG14" s="37">
        <v>20</v>
      </c>
      <c r="EH14" s="37">
        <v>9</v>
      </c>
      <c r="EI14" s="37">
        <v>1</v>
      </c>
      <c r="EL14" s="37" t="str">
        <f t="shared" ref="EL14:EP14" si="154">VLOOKUP(EL69,$B$114:$C$126,2,FALSE)</f>
        <v>_low_2_</v>
      </c>
      <c r="EM14" s="37" t="str">
        <f t="shared" si="154"/>
        <v>_low_3_</v>
      </c>
      <c r="EN14" s="37" t="str">
        <f t="shared" si="154"/>
        <v>_JOK_1_</v>
      </c>
      <c r="EO14" s="37" t="str">
        <f t="shared" si="154"/>
        <v>_low_3_</v>
      </c>
      <c r="EP14" s="37" t="str">
        <f t="shared" si="154"/>
        <v>_low_3_</v>
      </c>
      <c r="ES14" s="37">
        <v>20</v>
      </c>
      <c r="ET14" s="37">
        <v>15</v>
      </c>
      <c r="EU14" s="37">
        <v>20</v>
      </c>
      <c r="EV14" s="37">
        <v>9</v>
      </c>
      <c r="EW14" s="37">
        <v>1</v>
      </c>
      <c r="EZ14" s="37" t="str">
        <f t="shared" ref="EZ14:FD14" si="155">VLOOKUP(EZ69,$B$114:$C$126,2,FALSE)</f>
        <v>_low_2_</v>
      </c>
      <c r="FA14" s="37" t="str">
        <f t="shared" si="155"/>
        <v>_low_3_</v>
      </c>
      <c r="FB14" s="37" t="str">
        <f t="shared" si="155"/>
        <v>_JOK_1_</v>
      </c>
      <c r="FC14" s="37" t="str">
        <f t="shared" si="155"/>
        <v>_low_3_</v>
      </c>
      <c r="FD14" s="37" t="str">
        <f t="shared" si="155"/>
        <v>_low_3_</v>
      </c>
      <c r="FG14" s="37">
        <v>20</v>
      </c>
      <c r="FH14" s="37">
        <v>15</v>
      </c>
      <c r="FI14" s="37">
        <v>20</v>
      </c>
      <c r="FJ14" s="37">
        <v>9</v>
      </c>
      <c r="FK14" s="37">
        <v>1</v>
      </c>
      <c r="FN14" s="37" t="str">
        <f t="shared" ref="FN14:FR14" si="156">VLOOKUP(FN69,$B$114:$C$126,2,FALSE)</f>
        <v>_low_2_</v>
      </c>
      <c r="FO14" s="37" t="str">
        <f t="shared" si="156"/>
        <v>_low_3_</v>
      </c>
      <c r="FP14" s="37" t="str">
        <f t="shared" si="156"/>
        <v>_JOK_1_</v>
      </c>
      <c r="FQ14" s="37" t="str">
        <f t="shared" si="156"/>
        <v>_low_3_</v>
      </c>
      <c r="FR14" s="37" t="str">
        <f t="shared" si="156"/>
        <v>_low_3_</v>
      </c>
      <c r="FU14" s="37">
        <v>20</v>
      </c>
      <c r="FV14" s="37">
        <v>15</v>
      </c>
      <c r="FW14" s="37">
        <v>20</v>
      </c>
      <c r="FX14" s="37">
        <v>9</v>
      </c>
      <c r="FY14" s="37">
        <v>1</v>
      </c>
      <c r="GB14" s="37" t="str">
        <f t="shared" ref="GB14:GF14" si="157">VLOOKUP(GB69,$B$114:$C$126,2,FALSE)</f>
        <v>_low_2_</v>
      </c>
      <c r="GC14" s="37" t="str">
        <f t="shared" si="157"/>
        <v>_low_3_</v>
      </c>
      <c r="GD14" s="37" t="str">
        <f t="shared" si="157"/>
        <v>_JOK_1_</v>
      </c>
      <c r="GE14" s="37" t="str">
        <f t="shared" si="157"/>
        <v>_low_3_</v>
      </c>
      <c r="GF14" s="37" t="str">
        <f t="shared" si="157"/>
        <v>_low_3_</v>
      </c>
      <c r="GI14" s="37">
        <v>20</v>
      </c>
      <c r="GJ14" s="37">
        <v>15</v>
      </c>
      <c r="GK14" s="37">
        <v>20</v>
      </c>
      <c r="GL14" s="37">
        <v>9</v>
      </c>
      <c r="GM14" s="37">
        <v>1</v>
      </c>
      <c r="GP14" s="37" t="str">
        <f t="shared" ref="GP14:GT14" si="158">VLOOKUP(GP69,$B$114:$C$126,2,FALSE)</f>
        <v>_low_2_</v>
      </c>
      <c r="GQ14" s="37" t="str">
        <f t="shared" si="158"/>
        <v>_low_3_</v>
      </c>
      <c r="GR14" s="37" t="str">
        <f t="shared" si="158"/>
        <v>_JOK_1_</v>
      </c>
      <c r="GS14" s="37" t="str">
        <f t="shared" si="158"/>
        <v>_low_3_</v>
      </c>
      <c r="GT14" s="37" t="str">
        <f t="shared" si="158"/>
        <v>_low_3_</v>
      </c>
      <c r="GW14" s="37">
        <v>20</v>
      </c>
      <c r="GX14" s="37">
        <v>15</v>
      </c>
      <c r="GY14" s="37">
        <v>20</v>
      </c>
      <c r="GZ14" s="37">
        <v>9</v>
      </c>
      <c r="HA14" s="37">
        <v>1</v>
      </c>
      <c r="HD14" s="37" t="str">
        <f t="shared" ref="HD14:HH14" si="159">VLOOKUP(HD69,$B$114:$C$126,2,FALSE)</f>
        <v>_low_2_</v>
      </c>
      <c r="HE14" s="37" t="str">
        <f t="shared" si="159"/>
        <v>_low_3_</v>
      </c>
      <c r="HF14" s="37" t="str">
        <f t="shared" si="159"/>
        <v>_JOK_1_</v>
      </c>
      <c r="HG14" s="37" t="str">
        <f t="shared" si="159"/>
        <v>_low_3_</v>
      </c>
      <c r="HH14" s="37" t="str">
        <f t="shared" si="159"/>
        <v>_low_3_</v>
      </c>
      <c r="HK14" s="37">
        <v>20</v>
      </c>
      <c r="HL14" s="37">
        <v>15</v>
      </c>
      <c r="HM14" s="37">
        <v>20</v>
      </c>
      <c r="HN14" s="37">
        <v>9</v>
      </c>
      <c r="HO14" s="37">
        <v>1</v>
      </c>
    </row>
    <row r="15" spans="1:223" x14ac:dyDescent="0.35">
      <c r="A15" s="37">
        <v>11</v>
      </c>
      <c r="B15" s="37" t="str">
        <f t="shared" ref="B15:F15" si="160">VLOOKUP(B70,$B$114:$C$126,2,FALSE)</f>
        <v>_HIG_2_</v>
      </c>
      <c r="C15" s="37" t="str">
        <f t="shared" si="160"/>
        <v>_low_5_</v>
      </c>
      <c r="D15" s="37" t="str">
        <f t="shared" si="160"/>
        <v>_low_4_</v>
      </c>
      <c r="E15" s="37" t="str">
        <f t="shared" si="160"/>
        <v>_low_4_</v>
      </c>
      <c r="F15" s="37" t="str">
        <f t="shared" si="160"/>
        <v>_COI_1_</v>
      </c>
      <c r="I15" s="60">
        <v>20</v>
      </c>
      <c r="J15" s="60">
        <v>20</v>
      </c>
      <c r="K15" s="60">
        <v>20</v>
      </c>
      <c r="L15" s="60">
        <v>20</v>
      </c>
      <c r="M15" s="60">
        <v>1</v>
      </c>
      <c r="P15" s="37" t="str">
        <f t="shared" ref="P15:T15" si="161">VLOOKUP(P70,$B$114:$C$126,2,FALSE)</f>
        <v>_HIG_2_</v>
      </c>
      <c r="Q15" s="37" t="str">
        <f t="shared" si="161"/>
        <v>_low_5_</v>
      </c>
      <c r="R15" s="37" t="str">
        <f t="shared" si="161"/>
        <v>_low_4_</v>
      </c>
      <c r="S15" s="37" t="str">
        <f t="shared" si="161"/>
        <v>_low_4_</v>
      </c>
      <c r="T15" s="37" t="str">
        <f t="shared" si="161"/>
        <v>_COI_1_</v>
      </c>
      <c r="W15" s="37">
        <v>20</v>
      </c>
      <c r="X15" s="37">
        <v>20</v>
      </c>
      <c r="Y15" s="37">
        <v>20</v>
      </c>
      <c r="Z15" s="37">
        <v>20</v>
      </c>
      <c r="AA15" s="37">
        <v>1</v>
      </c>
      <c r="AD15" s="37" t="str">
        <f t="shared" ref="AD15:AH15" si="162">VLOOKUP(AD70,$B$114:$C$126,2,FALSE)</f>
        <v>_HIG_2_</v>
      </c>
      <c r="AE15" s="37" t="str">
        <f t="shared" si="162"/>
        <v>_low_5_</v>
      </c>
      <c r="AF15" s="37" t="str">
        <f t="shared" si="162"/>
        <v>_low_4_</v>
      </c>
      <c r="AG15" s="37" t="str">
        <f t="shared" si="162"/>
        <v>_low_4_</v>
      </c>
      <c r="AH15" s="37" t="str">
        <f t="shared" si="162"/>
        <v>_COI_1_</v>
      </c>
      <c r="AK15" s="37">
        <v>20</v>
      </c>
      <c r="AL15" s="37">
        <v>20</v>
      </c>
      <c r="AM15" s="37">
        <v>20</v>
      </c>
      <c r="AN15" s="37">
        <v>20</v>
      </c>
      <c r="AO15" s="37">
        <v>1</v>
      </c>
      <c r="AR15" s="37" t="str">
        <f t="shared" ref="AR15:AV15" si="163">VLOOKUP(AR70,$B$114:$C$126,2,FALSE)</f>
        <v>_HIG_2_</v>
      </c>
      <c r="AS15" s="37" t="str">
        <f t="shared" si="163"/>
        <v>_low_5_</v>
      </c>
      <c r="AT15" s="37" t="str">
        <f t="shared" si="163"/>
        <v>_low_4_</v>
      </c>
      <c r="AU15" s="37" t="str">
        <f t="shared" si="163"/>
        <v>_low_4_</v>
      </c>
      <c r="AV15" s="37" t="str">
        <f t="shared" si="163"/>
        <v>_COI_1_</v>
      </c>
      <c r="AY15" s="37">
        <v>20</v>
      </c>
      <c r="AZ15" s="37">
        <v>20</v>
      </c>
      <c r="BA15" s="37">
        <v>20</v>
      </c>
      <c r="BB15" s="37">
        <v>20</v>
      </c>
      <c r="BC15" s="37">
        <v>1</v>
      </c>
      <c r="BF15" s="37" t="str">
        <f t="shared" ref="BF15:BJ15" si="164">VLOOKUP(BF70,$B$114:$C$126,2,FALSE)</f>
        <v>_HIG_2_</v>
      </c>
      <c r="BG15" s="37" t="str">
        <f t="shared" si="164"/>
        <v>_low_5_</v>
      </c>
      <c r="BH15" s="37" t="str">
        <f t="shared" si="164"/>
        <v>_low_4_</v>
      </c>
      <c r="BI15" s="37" t="str">
        <f t="shared" si="164"/>
        <v>_low_4_</v>
      </c>
      <c r="BJ15" s="37" t="str">
        <f t="shared" si="164"/>
        <v>_COI_1_</v>
      </c>
      <c r="BM15" s="37">
        <v>20</v>
      </c>
      <c r="BN15" s="37">
        <v>20</v>
      </c>
      <c r="BO15" s="37">
        <v>20</v>
      </c>
      <c r="BP15" s="37">
        <v>20</v>
      </c>
      <c r="BQ15" s="37">
        <v>1</v>
      </c>
      <c r="BT15" s="37" t="str">
        <f t="shared" ref="BT15:BX15" si="165">VLOOKUP(BT70,$B$114:$C$126,2,FALSE)</f>
        <v>_HIG_2_</v>
      </c>
      <c r="BU15" s="37" t="str">
        <f t="shared" si="165"/>
        <v>_low_5_</v>
      </c>
      <c r="BV15" s="37" t="str">
        <f t="shared" si="165"/>
        <v>_low_4_</v>
      </c>
      <c r="BW15" s="37" t="str">
        <f t="shared" si="165"/>
        <v>_low_4_</v>
      </c>
      <c r="BX15" s="37" t="str">
        <f t="shared" si="165"/>
        <v>_COI_1_</v>
      </c>
      <c r="CA15" s="37">
        <v>20</v>
      </c>
      <c r="CB15" s="37">
        <v>20</v>
      </c>
      <c r="CC15" s="37">
        <v>20</v>
      </c>
      <c r="CD15" s="37">
        <v>20</v>
      </c>
      <c r="CE15" s="37">
        <v>1</v>
      </c>
      <c r="CH15" s="37" t="str">
        <f t="shared" ref="CH15:CL15" si="166">VLOOKUP(CH70,$B$114:$C$126,2,FALSE)</f>
        <v>_HIG_2_</v>
      </c>
      <c r="CI15" s="37" t="str">
        <f t="shared" si="166"/>
        <v>_low_5_</v>
      </c>
      <c r="CJ15" s="37" t="str">
        <f t="shared" si="166"/>
        <v>_low_4_</v>
      </c>
      <c r="CK15" s="37" t="str">
        <f t="shared" si="166"/>
        <v>_low_4_</v>
      </c>
      <c r="CL15" s="37" t="str">
        <f t="shared" si="166"/>
        <v>_COI_1_</v>
      </c>
      <c r="CO15" s="37">
        <v>20</v>
      </c>
      <c r="CP15" s="37">
        <v>20</v>
      </c>
      <c r="CQ15" s="37">
        <v>20</v>
      </c>
      <c r="CR15" s="37">
        <v>20</v>
      </c>
      <c r="CS15" s="37">
        <v>1</v>
      </c>
      <c r="CV15" s="37" t="str">
        <f t="shared" ref="CV15:CZ15" si="167">VLOOKUP(CV70,$B$114:$C$126,2,FALSE)</f>
        <v>_HIG_2_</v>
      </c>
      <c r="CW15" s="37" t="str">
        <f t="shared" si="167"/>
        <v>_low_5_</v>
      </c>
      <c r="CX15" s="37" t="str">
        <f t="shared" si="167"/>
        <v>_low_4_</v>
      </c>
      <c r="CY15" s="37" t="str">
        <f t="shared" si="167"/>
        <v>_low_4_</v>
      </c>
      <c r="CZ15" s="37" t="str">
        <f t="shared" si="167"/>
        <v>_COI_1_</v>
      </c>
      <c r="DC15" s="37">
        <v>20</v>
      </c>
      <c r="DD15" s="37">
        <v>20</v>
      </c>
      <c r="DE15" s="37">
        <v>20</v>
      </c>
      <c r="DF15" s="37">
        <v>20</v>
      </c>
      <c r="DG15" s="37">
        <v>1</v>
      </c>
      <c r="DJ15" s="37" t="str">
        <f t="shared" ref="DJ15:DN15" si="168">VLOOKUP(DJ70,$B$114:$C$126,2,FALSE)</f>
        <v>_HIG_2_</v>
      </c>
      <c r="DK15" s="37" t="str">
        <f t="shared" si="168"/>
        <v>_low_5_</v>
      </c>
      <c r="DL15" s="37" t="str">
        <f t="shared" si="168"/>
        <v>_low_4_</v>
      </c>
      <c r="DM15" s="37" t="str">
        <f t="shared" si="168"/>
        <v>_low_4_</v>
      </c>
      <c r="DN15" s="37" t="str">
        <f t="shared" si="168"/>
        <v>_COI_1_</v>
      </c>
      <c r="DQ15" s="37">
        <v>20</v>
      </c>
      <c r="DR15" s="37">
        <v>20</v>
      </c>
      <c r="DS15" s="37">
        <v>20</v>
      </c>
      <c r="DT15" s="37">
        <v>20</v>
      </c>
      <c r="DU15" s="37">
        <v>1</v>
      </c>
      <c r="DX15" s="37" t="str">
        <f t="shared" ref="DX15:EB15" si="169">VLOOKUP(DX70,$B$114:$C$126,2,FALSE)</f>
        <v>_HIG_2_</v>
      </c>
      <c r="DY15" s="37" t="str">
        <f t="shared" si="169"/>
        <v>_low_5_</v>
      </c>
      <c r="DZ15" s="37" t="str">
        <f t="shared" si="169"/>
        <v>_low_4_</v>
      </c>
      <c r="EA15" s="37" t="str">
        <f t="shared" si="169"/>
        <v>_low_4_</v>
      </c>
      <c r="EB15" s="37" t="str">
        <f t="shared" si="169"/>
        <v>_COI_1_</v>
      </c>
      <c r="EE15" s="37">
        <v>20</v>
      </c>
      <c r="EF15" s="37">
        <v>20</v>
      </c>
      <c r="EG15" s="37">
        <v>20</v>
      </c>
      <c r="EH15" s="37">
        <v>20</v>
      </c>
      <c r="EI15" s="37">
        <v>1</v>
      </c>
      <c r="EL15" s="37" t="str">
        <f t="shared" ref="EL15:EP15" si="170">VLOOKUP(EL70,$B$114:$C$126,2,FALSE)</f>
        <v>_HIG_2_</v>
      </c>
      <c r="EM15" s="37" t="str">
        <f t="shared" si="170"/>
        <v>_low_5_</v>
      </c>
      <c r="EN15" s="37" t="str">
        <f t="shared" si="170"/>
        <v>_low_4_</v>
      </c>
      <c r="EO15" s="37" t="str">
        <f t="shared" si="170"/>
        <v>_low_4_</v>
      </c>
      <c r="EP15" s="37" t="str">
        <f t="shared" si="170"/>
        <v>_COI_1_</v>
      </c>
      <c r="ES15" s="37">
        <v>20</v>
      </c>
      <c r="ET15" s="37">
        <v>20</v>
      </c>
      <c r="EU15" s="37">
        <v>20</v>
      </c>
      <c r="EV15" s="37">
        <v>20</v>
      </c>
      <c r="EW15" s="37">
        <v>1</v>
      </c>
      <c r="EZ15" s="37" t="str">
        <f t="shared" ref="EZ15:FD15" si="171">VLOOKUP(EZ70,$B$114:$C$126,2,FALSE)</f>
        <v>_HIG_2_</v>
      </c>
      <c r="FA15" s="37" t="str">
        <f t="shared" si="171"/>
        <v>_low_5_</v>
      </c>
      <c r="FB15" s="37" t="str">
        <f t="shared" si="171"/>
        <v>_low_4_</v>
      </c>
      <c r="FC15" s="37" t="str">
        <f t="shared" si="171"/>
        <v>_low_4_</v>
      </c>
      <c r="FD15" s="37" t="str">
        <f t="shared" si="171"/>
        <v>_COI_1_</v>
      </c>
      <c r="FG15" s="37">
        <v>20</v>
      </c>
      <c r="FH15" s="37">
        <v>20</v>
      </c>
      <c r="FI15" s="37">
        <v>20</v>
      </c>
      <c r="FJ15" s="37">
        <v>20</v>
      </c>
      <c r="FK15" s="37">
        <v>1</v>
      </c>
      <c r="FN15" s="37" t="str">
        <f t="shared" ref="FN15:FR15" si="172">VLOOKUP(FN70,$B$114:$C$126,2,FALSE)</f>
        <v>_HIG_2_</v>
      </c>
      <c r="FO15" s="37" t="str">
        <f t="shared" si="172"/>
        <v>_low_5_</v>
      </c>
      <c r="FP15" s="37" t="str">
        <f t="shared" si="172"/>
        <v>_low_4_</v>
      </c>
      <c r="FQ15" s="37" t="str">
        <f t="shared" si="172"/>
        <v>_low_4_</v>
      </c>
      <c r="FR15" s="37" t="str">
        <f t="shared" si="172"/>
        <v>_COI_1_</v>
      </c>
      <c r="FU15" s="37">
        <v>20</v>
      </c>
      <c r="FV15" s="37">
        <v>20</v>
      </c>
      <c r="FW15" s="37">
        <v>20</v>
      </c>
      <c r="FX15" s="37">
        <v>20</v>
      </c>
      <c r="FY15" s="37">
        <v>1</v>
      </c>
      <c r="GB15" s="37" t="str">
        <f t="shared" ref="GB15:GF15" si="173">VLOOKUP(GB70,$B$114:$C$126,2,FALSE)</f>
        <v>_HIG_2_</v>
      </c>
      <c r="GC15" s="37" t="str">
        <f t="shared" si="173"/>
        <v>_low_5_</v>
      </c>
      <c r="GD15" s="37" t="str">
        <f t="shared" si="173"/>
        <v>_low_4_</v>
      </c>
      <c r="GE15" s="37" t="str">
        <f t="shared" si="173"/>
        <v>_low_4_</v>
      </c>
      <c r="GF15" s="37" t="str">
        <f t="shared" si="173"/>
        <v>_COI_1_</v>
      </c>
      <c r="GI15" s="37">
        <v>20</v>
      </c>
      <c r="GJ15" s="37">
        <v>20</v>
      </c>
      <c r="GK15" s="37">
        <v>20</v>
      </c>
      <c r="GL15" s="37">
        <v>20</v>
      </c>
      <c r="GM15" s="37">
        <v>1</v>
      </c>
      <c r="GP15" s="37" t="str">
        <f t="shared" ref="GP15:GT15" si="174">VLOOKUP(GP70,$B$114:$C$126,2,FALSE)</f>
        <v>_HIG_2_</v>
      </c>
      <c r="GQ15" s="37" t="str">
        <f t="shared" si="174"/>
        <v>_low_5_</v>
      </c>
      <c r="GR15" s="37" t="str">
        <f t="shared" si="174"/>
        <v>_low_4_</v>
      </c>
      <c r="GS15" s="37" t="str">
        <f t="shared" si="174"/>
        <v>_low_4_</v>
      </c>
      <c r="GT15" s="37" t="str">
        <f t="shared" si="174"/>
        <v>_COI_1_</v>
      </c>
      <c r="GW15" s="37">
        <v>20</v>
      </c>
      <c r="GX15" s="37">
        <v>20</v>
      </c>
      <c r="GY15" s="37">
        <v>20</v>
      </c>
      <c r="GZ15" s="37">
        <v>20</v>
      </c>
      <c r="HA15" s="37">
        <v>1</v>
      </c>
      <c r="HD15" s="37" t="str">
        <f t="shared" ref="HD15:HH15" si="175">VLOOKUP(HD70,$B$114:$C$126,2,FALSE)</f>
        <v>_HIG_2_</v>
      </c>
      <c r="HE15" s="37" t="str">
        <f t="shared" si="175"/>
        <v>_low_5_</v>
      </c>
      <c r="HF15" s="37" t="str">
        <f t="shared" si="175"/>
        <v>_low_4_</v>
      </c>
      <c r="HG15" s="37" t="str">
        <f t="shared" si="175"/>
        <v>_low_4_</v>
      </c>
      <c r="HH15" s="37" t="str">
        <f t="shared" si="175"/>
        <v>_COI_1_</v>
      </c>
      <c r="HK15" s="37">
        <v>20</v>
      </c>
      <c r="HL15" s="37">
        <v>20</v>
      </c>
      <c r="HM15" s="37">
        <v>20</v>
      </c>
      <c r="HN15" s="37">
        <v>20</v>
      </c>
      <c r="HO15" s="37">
        <v>1</v>
      </c>
    </row>
    <row r="16" spans="1:223" x14ac:dyDescent="0.35">
      <c r="A16" s="37">
        <v>12</v>
      </c>
      <c r="B16" s="37" t="str">
        <f t="shared" ref="B16:F16" si="176">VLOOKUP(B71,$B$114:$C$126,2,FALSE)</f>
        <v>_HIG_2_</v>
      </c>
      <c r="C16" s="37" t="str">
        <f t="shared" si="176"/>
        <v>_JOK_1_</v>
      </c>
      <c r="D16" s="37" t="str">
        <f t="shared" si="176"/>
        <v>_HIG_2_</v>
      </c>
      <c r="E16" s="37" t="str">
        <f t="shared" si="176"/>
        <v>_HIG_4_</v>
      </c>
      <c r="F16" s="37" t="str">
        <f t="shared" si="176"/>
        <v>_COI_1_</v>
      </c>
      <c r="I16" s="60">
        <v>20</v>
      </c>
      <c r="J16" s="60">
        <v>20</v>
      </c>
      <c r="K16" s="60">
        <v>20</v>
      </c>
      <c r="L16" s="60">
        <v>20</v>
      </c>
      <c r="M16" s="60">
        <v>1</v>
      </c>
      <c r="P16" s="37" t="str">
        <f t="shared" ref="P16:T16" si="177">VLOOKUP(P71,$B$114:$C$126,2,FALSE)</f>
        <v>_HIG_2_</v>
      </c>
      <c r="Q16" s="37" t="str">
        <f t="shared" si="177"/>
        <v>_JOK_1_</v>
      </c>
      <c r="R16" s="37" t="str">
        <f t="shared" si="177"/>
        <v>_HIG_2_</v>
      </c>
      <c r="S16" s="37" t="str">
        <f t="shared" si="177"/>
        <v>_HIG_4_</v>
      </c>
      <c r="T16" s="37" t="str">
        <f t="shared" si="177"/>
        <v>_COI_1_</v>
      </c>
      <c r="W16" s="37">
        <v>20</v>
      </c>
      <c r="X16" s="37">
        <v>20</v>
      </c>
      <c r="Y16" s="37">
        <v>20</v>
      </c>
      <c r="Z16" s="37">
        <v>20</v>
      </c>
      <c r="AA16" s="37">
        <v>1</v>
      </c>
      <c r="AD16" s="37" t="str">
        <f t="shared" ref="AD16:AH16" si="178">VLOOKUP(AD71,$B$114:$C$126,2,FALSE)</f>
        <v>_HIG_2_</v>
      </c>
      <c r="AE16" s="37" t="str">
        <f t="shared" si="178"/>
        <v>_JOK_1_</v>
      </c>
      <c r="AF16" s="37" t="str">
        <f t="shared" si="178"/>
        <v>_HIG_2_</v>
      </c>
      <c r="AG16" s="37" t="str">
        <f t="shared" si="178"/>
        <v>_HIG_4_</v>
      </c>
      <c r="AH16" s="37" t="str">
        <f t="shared" si="178"/>
        <v>_COI_1_</v>
      </c>
      <c r="AK16" s="37">
        <v>20</v>
      </c>
      <c r="AL16" s="37">
        <v>20</v>
      </c>
      <c r="AM16" s="37">
        <v>20</v>
      </c>
      <c r="AN16" s="37">
        <v>20</v>
      </c>
      <c r="AO16" s="37">
        <v>1</v>
      </c>
      <c r="AR16" s="37" t="str">
        <f t="shared" ref="AR16:AV16" si="179">VLOOKUP(AR71,$B$114:$C$126,2,FALSE)</f>
        <v>_HIG_2_</v>
      </c>
      <c r="AS16" s="37" t="str">
        <f t="shared" si="179"/>
        <v>_JOK_1_</v>
      </c>
      <c r="AT16" s="37" t="str">
        <f t="shared" si="179"/>
        <v>_HIG_2_</v>
      </c>
      <c r="AU16" s="37" t="str">
        <f t="shared" si="179"/>
        <v>_HIG_4_</v>
      </c>
      <c r="AV16" s="37" t="str">
        <f t="shared" si="179"/>
        <v>_COI_1_</v>
      </c>
      <c r="AY16" s="37">
        <v>20</v>
      </c>
      <c r="AZ16" s="37">
        <v>20</v>
      </c>
      <c r="BA16" s="37">
        <v>20</v>
      </c>
      <c r="BB16" s="37">
        <v>20</v>
      </c>
      <c r="BC16" s="37">
        <v>1</v>
      </c>
      <c r="BF16" s="37" t="str">
        <f t="shared" ref="BF16:BJ16" si="180">VLOOKUP(BF71,$B$114:$C$126,2,FALSE)</f>
        <v>_HIG_2_</v>
      </c>
      <c r="BG16" s="37" t="str">
        <f t="shared" si="180"/>
        <v>_JOK_1_</v>
      </c>
      <c r="BH16" s="37" t="str">
        <f t="shared" si="180"/>
        <v>_HIG_2_</v>
      </c>
      <c r="BI16" s="37" t="str">
        <f t="shared" si="180"/>
        <v>_HIG_4_</v>
      </c>
      <c r="BJ16" s="37" t="str">
        <f t="shared" si="180"/>
        <v>_COI_1_</v>
      </c>
      <c r="BM16" s="37">
        <v>20</v>
      </c>
      <c r="BN16" s="37">
        <v>20</v>
      </c>
      <c r="BO16" s="37">
        <v>20</v>
      </c>
      <c r="BP16" s="37">
        <v>20</v>
      </c>
      <c r="BQ16" s="37">
        <v>1</v>
      </c>
      <c r="BT16" s="37" t="str">
        <f t="shared" ref="BT16:BX16" si="181">VLOOKUP(BT71,$B$114:$C$126,2,FALSE)</f>
        <v>_HIG_2_</v>
      </c>
      <c r="BU16" s="37" t="str">
        <f t="shared" si="181"/>
        <v>_JOK_1_</v>
      </c>
      <c r="BV16" s="37" t="str">
        <f t="shared" si="181"/>
        <v>_HIG_2_</v>
      </c>
      <c r="BW16" s="37" t="str">
        <f t="shared" si="181"/>
        <v>_HIG_4_</v>
      </c>
      <c r="BX16" s="37" t="str">
        <f t="shared" si="181"/>
        <v>_COI_1_</v>
      </c>
      <c r="CA16" s="37">
        <v>20</v>
      </c>
      <c r="CB16" s="37">
        <v>20</v>
      </c>
      <c r="CC16" s="37">
        <v>20</v>
      </c>
      <c r="CD16" s="37">
        <v>20</v>
      </c>
      <c r="CE16" s="37">
        <v>1</v>
      </c>
      <c r="CH16" s="37" t="str">
        <f t="shared" ref="CH16:CL16" si="182">VLOOKUP(CH71,$B$114:$C$126,2,FALSE)</f>
        <v>_HIG_2_</v>
      </c>
      <c r="CI16" s="37" t="str">
        <f t="shared" si="182"/>
        <v>_JOK_1_</v>
      </c>
      <c r="CJ16" s="37" t="str">
        <f t="shared" si="182"/>
        <v>_HIG_2_</v>
      </c>
      <c r="CK16" s="37" t="str">
        <f t="shared" si="182"/>
        <v>_HIG_4_</v>
      </c>
      <c r="CL16" s="37" t="str">
        <f t="shared" si="182"/>
        <v>_COI_1_</v>
      </c>
      <c r="CO16" s="37">
        <v>20</v>
      </c>
      <c r="CP16" s="37">
        <v>20</v>
      </c>
      <c r="CQ16" s="37">
        <v>20</v>
      </c>
      <c r="CR16" s="37">
        <v>20</v>
      </c>
      <c r="CS16" s="37">
        <v>1</v>
      </c>
      <c r="CV16" s="37" t="str">
        <f t="shared" ref="CV16:CZ16" si="183">VLOOKUP(CV71,$B$114:$C$126,2,FALSE)</f>
        <v>_HIG_2_</v>
      </c>
      <c r="CW16" s="37" t="str">
        <f t="shared" si="183"/>
        <v>_JOK_1_</v>
      </c>
      <c r="CX16" s="37" t="str">
        <f t="shared" si="183"/>
        <v>_HIG_2_</v>
      </c>
      <c r="CY16" s="37" t="str">
        <f t="shared" si="183"/>
        <v>_HIG_4_</v>
      </c>
      <c r="CZ16" s="37" t="str">
        <f t="shared" si="183"/>
        <v>_COI_1_</v>
      </c>
      <c r="DC16" s="37">
        <v>20</v>
      </c>
      <c r="DD16" s="37">
        <v>20</v>
      </c>
      <c r="DE16" s="37">
        <v>20</v>
      </c>
      <c r="DF16" s="37">
        <v>20</v>
      </c>
      <c r="DG16" s="37">
        <v>1</v>
      </c>
      <c r="DJ16" s="37" t="str">
        <f t="shared" ref="DJ16:DN16" si="184">VLOOKUP(DJ71,$B$114:$C$126,2,FALSE)</f>
        <v>_HIG_2_</v>
      </c>
      <c r="DK16" s="37" t="str">
        <f t="shared" si="184"/>
        <v>_JOK_1_</v>
      </c>
      <c r="DL16" s="37" t="str">
        <f t="shared" si="184"/>
        <v>_HIG_2_</v>
      </c>
      <c r="DM16" s="37" t="str">
        <f t="shared" si="184"/>
        <v>_HIG_4_</v>
      </c>
      <c r="DN16" s="37" t="str">
        <f t="shared" si="184"/>
        <v>_COI_1_</v>
      </c>
      <c r="DQ16" s="37">
        <v>20</v>
      </c>
      <c r="DR16" s="37">
        <v>20</v>
      </c>
      <c r="DS16" s="37">
        <v>20</v>
      </c>
      <c r="DT16" s="37">
        <v>20</v>
      </c>
      <c r="DU16" s="37">
        <v>1</v>
      </c>
      <c r="DX16" s="37" t="str">
        <f t="shared" ref="DX16:EB16" si="185">VLOOKUP(DX71,$B$114:$C$126,2,FALSE)</f>
        <v>_HIG_2_</v>
      </c>
      <c r="DY16" s="37" t="str">
        <f t="shared" si="185"/>
        <v>_JOK_1_</v>
      </c>
      <c r="DZ16" s="37" t="str">
        <f t="shared" si="185"/>
        <v>_HIG_2_</v>
      </c>
      <c r="EA16" s="37" t="str">
        <f t="shared" si="185"/>
        <v>_HIG_4_</v>
      </c>
      <c r="EB16" s="37" t="str">
        <f t="shared" si="185"/>
        <v>_COI_1_</v>
      </c>
      <c r="EE16" s="37">
        <v>20</v>
      </c>
      <c r="EF16" s="37">
        <v>20</v>
      </c>
      <c r="EG16" s="37">
        <v>20</v>
      </c>
      <c r="EH16" s="37">
        <v>20</v>
      </c>
      <c r="EI16" s="37">
        <v>1</v>
      </c>
      <c r="EL16" s="37" t="str">
        <f t="shared" ref="EL16:EP16" si="186">VLOOKUP(EL71,$B$114:$C$126,2,FALSE)</f>
        <v>_HIG_2_</v>
      </c>
      <c r="EM16" s="37" t="str">
        <f t="shared" si="186"/>
        <v>_JOK_1_</v>
      </c>
      <c r="EN16" s="37" t="str">
        <f t="shared" si="186"/>
        <v>_HIG_2_</v>
      </c>
      <c r="EO16" s="37" t="str">
        <f t="shared" si="186"/>
        <v>_HIG_4_</v>
      </c>
      <c r="EP16" s="37" t="str">
        <f t="shared" si="186"/>
        <v>_COI_1_</v>
      </c>
      <c r="ES16" s="37">
        <v>20</v>
      </c>
      <c r="ET16" s="37">
        <v>20</v>
      </c>
      <c r="EU16" s="37">
        <v>20</v>
      </c>
      <c r="EV16" s="37">
        <v>20</v>
      </c>
      <c r="EW16" s="37">
        <v>1</v>
      </c>
      <c r="EZ16" s="37" t="str">
        <f t="shared" ref="EZ16:FD16" si="187">VLOOKUP(EZ71,$B$114:$C$126,2,FALSE)</f>
        <v>_HIG_2_</v>
      </c>
      <c r="FA16" s="37" t="str">
        <f t="shared" si="187"/>
        <v>_JOK_1_</v>
      </c>
      <c r="FB16" s="37" t="str">
        <f t="shared" si="187"/>
        <v>_HIG_2_</v>
      </c>
      <c r="FC16" s="37" t="str">
        <f t="shared" si="187"/>
        <v>_HIG_4_</v>
      </c>
      <c r="FD16" s="37" t="str">
        <f t="shared" si="187"/>
        <v>_COI_1_</v>
      </c>
      <c r="FG16" s="37">
        <v>20</v>
      </c>
      <c r="FH16" s="37">
        <v>20</v>
      </c>
      <c r="FI16" s="37">
        <v>20</v>
      </c>
      <c r="FJ16" s="37">
        <v>20</v>
      </c>
      <c r="FK16" s="37">
        <v>1</v>
      </c>
      <c r="FN16" s="37" t="str">
        <f t="shared" ref="FN16:FR16" si="188">VLOOKUP(FN71,$B$114:$C$126,2,FALSE)</f>
        <v>_HIG_2_</v>
      </c>
      <c r="FO16" s="37" t="str">
        <f t="shared" si="188"/>
        <v>_JOK_1_</v>
      </c>
      <c r="FP16" s="37" t="str">
        <f t="shared" si="188"/>
        <v>_HIG_2_</v>
      </c>
      <c r="FQ16" s="37" t="str">
        <f t="shared" si="188"/>
        <v>_HIG_4_</v>
      </c>
      <c r="FR16" s="37" t="str">
        <f t="shared" si="188"/>
        <v>_COI_1_</v>
      </c>
      <c r="FU16" s="37">
        <v>20</v>
      </c>
      <c r="FV16" s="37">
        <v>20</v>
      </c>
      <c r="FW16" s="37">
        <v>20</v>
      </c>
      <c r="FX16" s="37">
        <v>20</v>
      </c>
      <c r="FY16" s="37">
        <v>1</v>
      </c>
      <c r="GB16" s="37" t="str">
        <f t="shared" ref="GB16:GF16" si="189">VLOOKUP(GB71,$B$114:$C$126,2,FALSE)</f>
        <v>_HIG_2_</v>
      </c>
      <c r="GC16" s="37" t="str">
        <f t="shared" si="189"/>
        <v>_JOK_1_</v>
      </c>
      <c r="GD16" s="37" t="str">
        <f t="shared" si="189"/>
        <v>_HIG_2_</v>
      </c>
      <c r="GE16" s="37" t="str">
        <f t="shared" si="189"/>
        <v>_HIG_4_</v>
      </c>
      <c r="GF16" s="37" t="str">
        <f t="shared" si="189"/>
        <v>_COI_1_</v>
      </c>
      <c r="GI16" s="37">
        <v>20</v>
      </c>
      <c r="GJ16" s="37">
        <v>20</v>
      </c>
      <c r="GK16" s="37">
        <v>20</v>
      </c>
      <c r="GL16" s="37">
        <v>20</v>
      </c>
      <c r="GM16" s="37">
        <v>1</v>
      </c>
      <c r="GP16" s="37" t="str">
        <f t="shared" ref="GP16:GT16" si="190">VLOOKUP(GP71,$B$114:$C$126,2,FALSE)</f>
        <v>_HIG_2_</v>
      </c>
      <c r="GQ16" s="37" t="str">
        <f t="shared" si="190"/>
        <v>_JOK_1_</v>
      </c>
      <c r="GR16" s="37" t="str">
        <f t="shared" si="190"/>
        <v>_HIG_2_</v>
      </c>
      <c r="GS16" s="37" t="str">
        <f t="shared" si="190"/>
        <v>_HIG_4_</v>
      </c>
      <c r="GT16" s="37" t="str">
        <f t="shared" si="190"/>
        <v>_COI_1_</v>
      </c>
      <c r="GW16" s="37">
        <v>20</v>
      </c>
      <c r="GX16" s="37">
        <v>20</v>
      </c>
      <c r="GY16" s="37">
        <v>20</v>
      </c>
      <c r="GZ16" s="37">
        <v>20</v>
      </c>
      <c r="HA16" s="37">
        <v>1</v>
      </c>
      <c r="HD16" s="37" t="str">
        <f t="shared" ref="HD16:HH16" si="191">VLOOKUP(HD71,$B$114:$C$126,2,FALSE)</f>
        <v>_HIG_2_</v>
      </c>
      <c r="HE16" s="37" t="str">
        <f t="shared" si="191"/>
        <v>_JOK_1_</v>
      </c>
      <c r="HF16" s="37" t="str">
        <f t="shared" si="191"/>
        <v>_HIG_2_</v>
      </c>
      <c r="HG16" s="37" t="str">
        <f t="shared" si="191"/>
        <v>_HIG_4_</v>
      </c>
      <c r="HH16" s="37" t="str">
        <f t="shared" si="191"/>
        <v>_COI_1_</v>
      </c>
      <c r="HK16" s="37">
        <v>20</v>
      </c>
      <c r="HL16" s="37">
        <v>20</v>
      </c>
      <c r="HM16" s="37">
        <v>20</v>
      </c>
      <c r="HN16" s="37">
        <v>20</v>
      </c>
      <c r="HO16" s="37">
        <v>1</v>
      </c>
    </row>
    <row r="17" spans="1:223" x14ac:dyDescent="0.35">
      <c r="A17" s="37">
        <v>13</v>
      </c>
      <c r="B17" s="37" t="str">
        <f t="shared" ref="B17:F17" si="192">VLOOKUP(B72,$B$114:$C$126,2,FALSE)</f>
        <v>_low_1_</v>
      </c>
      <c r="C17" s="37" t="str">
        <f t="shared" si="192"/>
        <v>_JOK_1_</v>
      </c>
      <c r="D17" s="37" t="str">
        <f t="shared" si="192"/>
        <v>_low_3_</v>
      </c>
      <c r="E17" s="37" t="str">
        <f t="shared" si="192"/>
        <v>_HIG_4_</v>
      </c>
      <c r="F17" s="37" t="str">
        <f t="shared" si="192"/>
        <v>_low_3_</v>
      </c>
      <c r="I17" s="60">
        <v>20</v>
      </c>
      <c r="J17" s="60">
        <v>20</v>
      </c>
      <c r="K17" s="60">
        <v>20</v>
      </c>
      <c r="L17" s="60">
        <v>1</v>
      </c>
      <c r="M17" s="60">
        <v>1</v>
      </c>
      <c r="P17" s="37" t="str">
        <f t="shared" ref="P17:T17" si="193">VLOOKUP(P72,$B$114:$C$126,2,FALSE)</f>
        <v>_low_1_</v>
      </c>
      <c r="Q17" s="37" t="str">
        <f t="shared" si="193"/>
        <v>_JOK_1_</v>
      </c>
      <c r="R17" s="37" t="str">
        <f t="shared" si="193"/>
        <v>_low_3_</v>
      </c>
      <c r="S17" s="37" t="str">
        <f t="shared" si="193"/>
        <v>_HIG_4_</v>
      </c>
      <c r="T17" s="37" t="str">
        <f t="shared" si="193"/>
        <v>_low_3_</v>
      </c>
      <c r="W17" s="37">
        <v>20</v>
      </c>
      <c r="X17" s="37">
        <v>20</v>
      </c>
      <c r="Y17" s="37">
        <v>20</v>
      </c>
      <c r="Z17" s="37">
        <v>1</v>
      </c>
      <c r="AA17" s="37">
        <v>1</v>
      </c>
      <c r="AD17" s="37" t="str">
        <f t="shared" ref="AD17:AH17" si="194">VLOOKUP(AD72,$B$114:$C$126,2,FALSE)</f>
        <v>_low_1_</v>
      </c>
      <c r="AE17" s="37" t="str">
        <f t="shared" si="194"/>
        <v>_JOK_1_</v>
      </c>
      <c r="AF17" s="37" t="str">
        <f t="shared" si="194"/>
        <v>_low_3_</v>
      </c>
      <c r="AG17" s="37" t="str">
        <f t="shared" si="194"/>
        <v>_HIG_4_</v>
      </c>
      <c r="AH17" s="37" t="str">
        <f t="shared" si="194"/>
        <v>_low_3_</v>
      </c>
      <c r="AK17" s="37">
        <v>20</v>
      </c>
      <c r="AL17" s="37">
        <v>20</v>
      </c>
      <c r="AM17" s="37">
        <v>20</v>
      </c>
      <c r="AN17" s="37">
        <v>1</v>
      </c>
      <c r="AO17" s="37">
        <v>1</v>
      </c>
      <c r="AR17" s="37" t="str">
        <f t="shared" ref="AR17:AV17" si="195">VLOOKUP(AR72,$B$114:$C$126,2,FALSE)</f>
        <v>_low_1_</v>
      </c>
      <c r="AS17" s="37" t="str">
        <f t="shared" si="195"/>
        <v>_JOK_1_</v>
      </c>
      <c r="AT17" s="37" t="str">
        <f t="shared" si="195"/>
        <v>_low_3_</v>
      </c>
      <c r="AU17" s="37" t="str">
        <f t="shared" si="195"/>
        <v>_HIG_4_</v>
      </c>
      <c r="AV17" s="37" t="str">
        <f t="shared" si="195"/>
        <v>_low_3_</v>
      </c>
      <c r="AY17" s="37">
        <v>20</v>
      </c>
      <c r="AZ17" s="37">
        <v>20</v>
      </c>
      <c r="BA17" s="37">
        <v>20</v>
      </c>
      <c r="BB17" s="37">
        <v>1</v>
      </c>
      <c r="BC17" s="37">
        <v>1</v>
      </c>
      <c r="BF17" s="37" t="str">
        <f t="shared" ref="BF17:BJ17" si="196">VLOOKUP(BF72,$B$114:$C$126,2,FALSE)</f>
        <v>_low_1_</v>
      </c>
      <c r="BG17" s="37" t="str">
        <f t="shared" si="196"/>
        <v>_JOK_1_</v>
      </c>
      <c r="BH17" s="37" t="str">
        <f t="shared" si="196"/>
        <v>_low_3_</v>
      </c>
      <c r="BI17" s="37" t="str">
        <f t="shared" si="196"/>
        <v>_HIG_4_</v>
      </c>
      <c r="BJ17" s="37" t="str">
        <f t="shared" si="196"/>
        <v>_low_3_</v>
      </c>
      <c r="BM17" s="37">
        <v>20</v>
      </c>
      <c r="BN17" s="37">
        <v>20</v>
      </c>
      <c r="BO17" s="37">
        <v>20</v>
      </c>
      <c r="BP17" s="37">
        <v>1</v>
      </c>
      <c r="BQ17" s="37">
        <v>1</v>
      </c>
      <c r="BT17" s="37" t="str">
        <f t="shared" ref="BT17:BX17" si="197">VLOOKUP(BT72,$B$114:$C$126,2,FALSE)</f>
        <v>_low_1_</v>
      </c>
      <c r="BU17" s="37" t="str">
        <f t="shared" si="197"/>
        <v>_JOK_1_</v>
      </c>
      <c r="BV17" s="37" t="str">
        <f t="shared" si="197"/>
        <v>_low_3_</v>
      </c>
      <c r="BW17" s="37" t="str">
        <f t="shared" si="197"/>
        <v>_HIG_4_</v>
      </c>
      <c r="BX17" s="37" t="str">
        <f t="shared" si="197"/>
        <v>_low_3_</v>
      </c>
      <c r="CA17" s="37">
        <v>20</v>
      </c>
      <c r="CB17" s="37">
        <v>20</v>
      </c>
      <c r="CC17" s="37">
        <v>20</v>
      </c>
      <c r="CD17" s="37">
        <v>1</v>
      </c>
      <c r="CE17" s="37">
        <v>1</v>
      </c>
      <c r="CH17" s="37" t="str">
        <f t="shared" ref="CH17:CL17" si="198">VLOOKUP(CH72,$B$114:$C$126,2,FALSE)</f>
        <v>_low_1_</v>
      </c>
      <c r="CI17" s="37" t="str">
        <f t="shared" si="198"/>
        <v>_JOK_1_</v>
      </c>
      <c r="CJ17" s="37" t="str">
        <f t="shared" si="198"/>
        <v>_low_3_</v>
      </c>
      <c r="CK17" s="37" t="str">
        <f t="shared" si="198"/>
        <v>_HIG_4_</v>
      </c>
      <c r="CL17" s="37" t="str">
        <f t="shared" si="198"/>
        <v>_low_3_</v>
      </c>
      <c r="CO17" s="37">
        <v>20</v>
      </c>
      <c r="CP17" s="37">
        <v>20</v>
      </c>
      <c r="CQ17" s="37">
        <v>20</v>
      </c>
      <c r="CR17" s="37">
        <v>1</v>
      </c>
      <c r="CS17" s="37">
        <v>1</v>
      </c>
      <c r="CV17" s="37" t="str">
        <f t="shared" ref="CV17:CZ17" si="199">VLOOKUP(CV72,$B$114:$C$126,2,FALSE)</f>
        <v>_low_1_</v>
      </c>
      <c r="CW17" s="37" t="str">
        <f t="shared" si="199"/>
        <v>_JOK_1_</v>
      </c>
      <c r="CX17" s="37" t="str">
        <f t="shared" si="199"/>
        <v>_low_3_</v>
      </c>
      <c r="CY17" s="37" t="str">
        <f t="shared" si="199"/>
        <v>_HIG_4_</v>
      </c>
      <c r="CZ17" s="37" t="str">
        <f t="shared" si="199"/>
        <v>_low_3_</v>
      </c>
      <c r="DC17" s="37">
        <v>20</v>
      </c>
      <c r="DD17" s="37">
        <v>20</v>
      </c>
      <c r="DE17" s="37">
        <v>20</v>
      </c>
      <c r="DF17" s="37">
        <v>1</v>
      </c>
      <c r="DG17" s="37">
        <v>1</v>
      </c>
      <c r="DJ17" s="37" t="str">
        <f t="shared" ref="DJ17:DN17" si="200">VLOOKUP(DJ72,$B$114:$C$126,2,FALSE)</f>
        <v>_low_1_</v>
      </c>
      <c r="DK17" s="37" t="str">
        <f t="shared" si="200"/>
        <v>_JOK_1_</v>
      </c>
      <c r="DL17" s="37" t="str">
        <f t="shared" si="200"/>
        <v>_low_3_</v>
      </c>
      <c r="DM17" s="37" t="str">
        <f t="shared" si="200"/>
        <v>_HIG_4_</v>
      </c>
      <c r="DN17" s="37" t="str">
        <f t="shared" si="200"/>
        <v>_low_3_</v>
      </c>
      <c r="DQ17" s="37">
        <v>20</v>
      </c>
      <c r="DR17" s="37">
        <v>20</v>
      </c>
      <c r="DS17" s="37">
        <v>20</v>
      </c>
      <c r="DT17" s="37">
        <v>1</v>
      </c>
      <c r="DU17" s="37">
        <v>1</v>
      </c>
      <c r="DX17" s="37" t="str">
        <f t="shared" ref="DX17:EB17" si="201">VLOOKUP(DX72,$B$114:$C$126,2,FALSE)</f>
        <v>_low_1_</v>
      </c>
      <c r="DY17" s="37" t="str">
        <f t="shared" si="201"/>
        <v>_JOK_1_</v>
      </c>
      <c r="DZ17" s="37" t="str">
        <f t="shared" si="201"/>
        <v>_low_3_</v>
      </c>
      <c r="EA17" s="37" t="str">
        <f t="shared" si="201"/>
        <v>_HIG_4_</v>
      </c>
      <c r="EB17" s="37" t="str">
        <f t="shared" si="201"/>
        <v>_low_3_</v>
      </c>
      <c r="EE17" s="37">
        <v>20</v>
      </c>
      <c r="EF17" s="37">
        <v>20</v>
      </c>
      <c r="EG17" s="37">
        <v>20</v>
      </c>
      <c r="EH17" s="37">
        <v>1</v>
      </c>
      <c r="EI17" s="37">
        <v>1</v>
      </c>
      <c r="EL17" s="37" t="str">
        <f t="shared" ref="EL17:EP17" si="202">VLOOKUP(EL72,$B$114:$C$126,2,FALSE)</f>
        <v>_low_1_</v>
      </c>
      <c r="EM17" s="37" t="str">
        <f t="shared" si="202"/>
        <v>_JOK_1_</v>
      </c>
      <c r="EN17" s="37" t="str">
        <f t="shared" si="202"/>
        <v>_low_3_</v>
      </c>
      <c r="EO17" s="37" t="str">
        <f t="shared" si="202"/>
        <v>_HIG_4_</v>
      </c>
      <c r="EP17" s="37" t="str">
        <f t="shared" si="202"/>
        <v>_low_3_</v>
      </c>
      <c r="ES17" s="37">
        <v>20</v>
      </c>
      <c r="ET17" s="37">
        <v>20</v>
      </c>
      <c r="EU17" s="37">
        <v>20</v>
      </c>
      <c r="EV17" s="37">
        <v>1</v>
      </c>
      <c r="EW17" s="37">
        <v>1</v>
      </c>
      <c r="EZ17" s="37" t="str">
        <f t="shared" ref="EZ17:FD17" si="203">VLOOKUP(EZ72,$B$114:$C$126,2,FALSE)</f>
        <v>_low_1_</v>
      </c>
      <c r="FA17" s="37" t="str">
        <f t="shared" si="203"/>
        <v>_JOK_1_</v>
      </c>
      <c r="FB17" s="37" t="str">
        <f t="shared" si="203"/>
        <v>_low_3_</v>
      </c>
      <c r="FC17" s="37" t="str">
        <f t="shared" si="203"/>
        <v>_HIG_4_</v>
      </c>
      <c r="FD17" s="37" t="str">
        <f t="shared" si="203"/>
        <v>_low_3_</v>
      </c>
      <c r="FG17" s="37">
        <v>20</v>
      </c>
      <c r="FH17" s="37">
        <v>20</v>
      </c>
      <c r="FI17" s="37">
        <v>20</v>
      </c>
      <c r="FJ17" s="37">
        <v>1</v>
      </c>
      <c r="FK17" s="37">
        <v>1</v>
      </c>
      <c r="FN17" s="37" t="str">
        <f t="shared" ref="FN17:FR17" si="204">VLOOKUP(FN72,$B$114:$C$126,2,FALSE)</f>
        <v>_low_1_</v>
      </c>
      <c r="FO17" s="37" t="str">
        <f t="shared" si="204"/>
        <v>_JOK_1_</v>
      </c>
      <c r="FP17" s="37" t="str">
        <f t="shared" si="204"/>
        <v>_low_3_</v>
      </c>
      <c r="FQ17" s="37" t="str">
        <f t="shared" si="204"/>
        <v>_HIG_4_</v>
      </c>
      <c r="FR17" s="37" t="str">
        <f t="shared" si="204"/>
        <v>_low_3_</v>
      </c>
      <c r="FU17" s="37">
        <v>20</v>
      </c>
      <c r="FV17" s="37">
        <v>20</v>
      </c>
      <c r="FW17" s="37">
        <v>20</v>
      </c>
      <c r="FX17" s="37">
        <v>1</v>
      </c>
      <c r="FY17" s="37">
        <v>1</v>
      </c>
      <c r="GB17" s="37" t="str">
        <f t="shared" ref="GB17:GF17" si="205">VLOOKUP(GB72,$B$114:$C$126,2,FALSE)</f>
        <v>_low_1_</v>
      </c>
      <c r="GC17" s="37" t="str">
        <f t="shared" si="205"/>
        <v>_JOK_1_</v>
      </c>
      <c r="GD17" s="37" t="str">
        <f t="shared" si="205"/>
        <v>_low_3_</v>
      </c>
      <c r="GE17" s="37" t="str">
        <f t="shared" si="205"/>
        <v>_HIG_4_</v>
      </c>
      <c r="GF17" s="37" t="str">
        <f t="shared" si="205"/>
        <v>_low_3_</v>
      </c>
      <c r="GI17" s="37">
        <v>20</v>
      </c>
      <c r="GJ17" s="37">
        <v>20</v>
      </c>
      <c r="GK17" s="37">
        <v>20</v>
      </c>
      <c r="GL17" s="37">
        <v>1</v>
      </c>
      <c r="GM17" s="37">
        <v>1</v>
      </c>
      <c r="GP17" s="37" t="str">
        <f t="shared" ref="GP17:GT17" si="206">VLOOKUP(GP72,$B$114:$C$126,2,FALSE)</f>
        <v>_low_1_</v>
      </c>
      <c r="GQ17" s="37" t="str">
        <f t="shared" si="206"/>
        <v>_JOK_1_</v>
      </c>
      <c r="GR17" s="37" t="str">
        <f t="shared" si="206"/>
        <v>_low_3_</v>
      </c>
      <c r="GS17" s="37" t="str">
        <f t="shared" si="206"/>
        <v>_HIG_4_</v>
      </c>
      <c r="GT17" s="37" t="str">
        <f t="shared" si="206"/>
        <v>_low_3_</v>
      </c>
      <c r="GW17" s="37">
        <v>20</v>
      </c>
      <c r="GX17" s="37">
        <v>20</v>
      </c>
      <c r="GY17" s="37">
        <v>20</v>
      </c>
      <c r="GZ17" s="37">
        <v>1</v>
      </c>
      <c r="HA17" s="37">
        <v>1</v>
      </c>
      <c r="HD17" s="37" t="str">
        <f t="shared" ref="HD17:HH17" si="207">VLOOKUP(HD72,$B$114:$C$126,2,FALSE)</f>
        <v>_low_1_</v>
      </c>
      <c r="HE17" s="37" t="str">
        <f t="shared" si="207"/>
        <v>_JOK_1_</v>
      </c>
      <c r="HF17" s="37" t="str">
        <f t="shared" si="207"/>
        <v>_low_3_</v>
      </c>
      <c r="HG17" s="37" t="str">
        <f t="shared" si="207"/>
        <v>_HIG_4_</v>
      </c>
      <c r="HH17" s="37" t="str">
        <f t="shared" si="207"/>
        <v>_low_3_</v>
      </c>
      <c r="HK17" s="37">
        <v>20</v>
      </c>
      <c r="HL17" s="37">
        <v>20</v>
      </c>
      <c r="HM17" s="37">
        <v>20</v>
      </c>
      <c r="HN17" s="37">
        <v>1</v>
      </c>
      <c r="HO17" s="37">
        <v>1</v>
      </c>
    </row>
    <row r="18" spans="1:223" x14ac:dyDescent="0.35">
      <c r="A18" s="37">
        <v>14</v>
      </c>
      <c r="B18" s="37" t="str">
        <f t="shared" ref="B18:F18" si="208">VLOOKUP(B73,$B$114:$C$126,2,FALSE)</f>
        <v>_low_5_</v>
      </c>
      <c r="C18" s="37" t="str">
        <f t="shared" si="208"/>
        <v>_JOK_1_</v>
      </c>
      <c r="D18" s="37" t="str">
        <f t="shared" si="208"/>
        <v>_low_2_</v>
      </c>
      <c r="E18" s="37" t="str">
        <f t="shared" si="208"/>
        <v>_COI_1_</v>
      </c>
      <c r="F18" s="37" t="str">
        <f t="shared" si="208"/>
        <v>_HIG_2_</v>
      </c>
      <c r="I18" s="60">
        <v>1</v>
      </c>
      <c r="J18" s="60">
        <v>20</v>
      </c>
      <c r="K18" s="60">
        <v>1</v>
      </c>
      <c r="L18" s="60">
        <v>1</v>
      </c>
      <c r="M18" s="60">
        <v>20</v>
      </c>
      <c r="P18" s="37" t="str">
        <f t="shared" ref="P18:T18" si="209">VLOOKUP(P73,$B$114:$C$126,2,FALSE)</f>
        <v>_low_5_</v>
      </c>
      <c r="Q18" s="37" t="str">
        <f t="shared" si="209"/>
        <v>_JOK_1_</v>
      </c>
      <c r="R18" s="37" t="str">
        <f t="shared" si="209"/>
        <v>_low_2_</v>
      </c>
      <c r="S18" s="37" t="str">
        <f t="shared" si="209"/>
        <v>_COI_1_</v>
      </c>
      <c r="T18" s="37" t="str">
        <f t="shared" si="209"/>
        <v>_HIG_2_</v>
      </c>
      <c r="W18" s="37">
        <v>1</v>
      </c>
      <c r="X18" s="37">
        <v>20</v>
      </c>
      <c r="Y18" s="37">
        <v>1</v>
      </c>
      <c r="Z18" s="37">
        <v>1</v>
      </c>
      <c r="AA18" s="37">
        <v>20</v>
      </c>
      <c r="AD18" s="37" t="str">
        <f t="shared" ref="AD18:AH18" si="210">VLOOKUP(AD73,$B$114:$C$126,2,FALSE)</f>
        <v>_low_5_</v>
      </c>
      <c r="AE18" s="37" t="str">
        <f t="shared" si="210"/>
        <v>_JOK_1_</v>
      </c>
      <c r="AF18" s="37" t="str">
        <f t="shared" si="210"/>
        <v>_low_2_</v>
      </c>
      <c r="AG18" s="37" t="str">
        <f t="shared" si="210"/>
        <v>_COI_1_</v>
      </c>
      <c r="AH18" s="37" t="str">
        <f t="shared" si="210"/>
        <v>_HIG_2_</v>
      </c>
      <c r="AK18" s="37">
        <v>1</v>
      </c>
      <c r="AL18" s="37">
        <v>20</v>
      </c>
      <c r="AM18" s="37">
        <v>1</v>
      </c>
      <c r="AN18" s="37">
        <v>1</v>
      </c>
      <c r="AO18" s="37">
        <v>20</v>
      </c>
      <c r="AR18" s="37" t="str">
        <f t="shared" ref="AR18:AV18" si="211">VLOOKUP(AR73,$B$114:$C$126,2,FALSE)</f>
        <v>_low_5_</v>
      </c>
      <c r="AS18" s="37" t="str">
        <f t="shared" si="211"/>
        <v>_JOK_1_</v>
      </c>
      <c r="AT18" s="37" t="str">
        <f t="shared" si="211"/>
        <v>_low_2_</v>
      </c>
      <c r="AU18" s="37" t="str">
        <f t="shared" si="211"/>
        <v>_COI_1_</v>
      </c>
      <c r="AV18" s="37" t="str">
        <f t="shared" si="211"/>
        <v>_HIG_2_</v>
      </c>
      <c r="AY18" s="37">
        <v>1</v>
      </c>
      <c r="AZ18" s="37">
        <v>20</v>
      </c>
      <c r="BA18" s="37">
        <v>1</v>
      </c>
      <c r="BB18" s="37">
        <v>1</v>
      </c>
      <c r="BC18" s="37">
        <v>20</v>
      </c>
      <c r="BF18" s="37" t="str">
        <f t="shared" ref="BF18:BJ18" si="212">VLOOKUP(BF73,$B$114:$C$126,2,FALSE)</f>
        <v>_low_5_</v>
      </c>
      <c r="BG18" s="37" t="str">
        <f t="shared" si="212"/>
        <v>_JOK_1_</v>
      </c>
      <c r="BH18" s="37" t="str">
        <f t="shared" si="212"/>
        <v>_low_2_</v>
      </c>
      <c r="BI18" s="37" t="str">
        <f t="shared" si="212"/>
        <v>_COI_1_</v>
      </c>
      <c r="BJ18" s="37" t="str">
        <f t="shared" si="212"/>
        <v>_HIG_2_</v>
      </c>
      <c r="BM18" s="37">
        <v>1</v>
      </c>
      <c r="BN18" s="37">
        <v>20</v>
      </c>
      <c r="BO18" s="37">
        <v>1</v>
      </c>
      <c r="BP18" s="37">
        <v>1</v>
      </c>
      <c r="BQ18" s="37">
        <v>20</v>
      </c>
      <c r="BT18" s="37" t="str">
        <f t="shared" ref="BT18:BX18" si="213">VLOOKUP(BT73,$B$114:$C$126,2,FALSE)</f>
        <v>_low_5_</v>
      </c>
      <c r="BU18" s="37" t="str">
        <f t="shared" si="213"/>
        <v>_JOK_1_</v>
      </c>
      <c r="BV18" s="37" t="str">
        <f t="shared" si="213"/>
        <v>_low_2_</v>
      </c>
      <c r="BW18" s="37" t="str">
        <f t="shared" si="213"/>
        <v>_COI_1_</v>
      </c>
      <c r="BX18" s="37" t="str">
        <f t="shared" si="213"/>
        <v>_HIG_2_</v>
      </c>
      <c r="CA18" s="37">
        <v>1</v>
      </c>
      <c r="CB18" s="37">
        <v>20</v>
      </c>
      <c r="CC18" s="37">
        <v>1</v>
      </c>
      <c r="CD18" s="37">
        <v>1</v>
      </c>
      <c r="CE18" s="37">
        <v>20</v>
      </c>
      <c r="CH18" s="37" t="str">
        <f t="shared" ref="CH18:CL18" si="214">VLOOKUP(CH73,$B$114:$C$126,2,FALSE)</f>
        <v>_low_5_</v>
      </c>
      <c r="CI18" s="37" t="str">
        <f t="shared" si="214"/>
        <v>_JOK_1_</v>
      </c>
      <c r="CJ18" s="37" t="str">
        <f t="shared" si="214"/>
        <v>_low_2_</v>
      </c>
      <c r="CK18" s="37" t="str">
        <f t="shared" si="214"/>
        <v>_COI_1_</v>
      </c>
      <c r="CL18" s="37" t="str">
        <f t="shared" si="214"/>
        <v>_HIG_2_</v>
      </c>
      <c r="CO18" s="37">
        <v>1</v>
      </c>
      <c r="CP18" s="37">
        <v>20</v>
      </c>
      <c r="CQ18" s="37">
        <v>1</v>
      </c>
      <c r="CR18" s="37">
        <v>1</v>
      </c>
      <c r="CS18" s="37">
        <v>20</v>
      </c>
      <c r="CV18" s="37" t="str">
        <f t="shared" ref="CV18:CZ18" si="215">VLOOKUP(CV73,$B$114:$C$126,2,FALSE)</f>
        <v>_low_5_</v>
      </c>
      <c r="CW18" s="37" t="str">
        <f t="shared" si="215"/>
        <v>_JOK_1_</v>
      </c>
      <c r="CX18" s="37" t="str">
        <f t="shared" si="215"/>
        <v>_low_2_</v>
      </c>
      <c r="CY18" s="37" t="str">
        <f t="shared" si="215"/>
        <v>_COI_1_</v>
      </c>
      <c r="CZ18" s="37" t="str">
        <f t="shared" si="215"/>
        <v>_HIG_2_</v>
      </c>
      <c r="DC18" s="37">
        <v>1</v>
      </c>
      <c r="DD18" s="37">
        <v>20</v>
      </c>
      <c r="DE18" s="37">
        <v>1</v>
      </c>
      <c r="DF18" s="37">
        <v>1</v>
      </c>
      <c r="DG18" s="37">
        <v>20</v>
      </c>
      <c r="DJ18" s="37" t="str">
        <f t="shared" ref="DJ18:DN18" si="216">VLOOKUP(DJ73,$B$114:$C$126,2,FALSE)</f>
        <v>_low_5_</v>
      </c>
      <c r="DK18" s="37" t="str">
        <f t="shared" si="216"/>
        <v>_JOK_1_</v>
      </c>
      <c r="DL18" s="37" t="str">
        <f t="shared" si="216"/>
        <v>_low_2_</v>
      </c>
      <c r="DM18" s="37" t="str">
        <f t="shared" si="216"/>
        <v>_COI_1_</v>
      </c>
      <c r="DN18" s="37" t="str">
        <f t="shared" si="216"/>
        <v>_HIG_2_</v>
      </c>
      <c r="DQ18" s="37">
        <v>1</v>
      </c>
      <c r="DR18" s="37">
        <v>20</v>
      </c>
      <c r="DS18" s="37">
        <v>1</v>
      </c>
      <c r="DT18" s="37">
        <v>1</v>
      </c>
      <c r="DU18" s="37">
        <v>20</v>
      </c>
      <c r="DX18" s="37" t="str">
        <f t="shared" ref="DX18:EB18" si="217">VLOOKUP(DX73,$B$114:$C$126,2,FALSE)</f>
        <v>_low_5_</v>
      </c>
      <c r="DY18" s="37" t="str">
        <f t="shared" si="217"/>
        <v>_JOK_1_</v>
      </c>
      <c r="DZ18" s="37" t="str">
        <f t="shared" si="217"/>
        <v>_low_2_</v>
      </c>
      <c r="EA18" s="37" t="str">
        <f t="shared" si="217"/>
        <v>_COI_1_</v>
      </c>
      <c r="EB18" s="37" t="str">
        <f t="shared" si="217"/>
        <v>_HIG_2_</v>
      </c>
      <c r="EE18" s="37">
        <v>1</v>
      </c>
      <c r="EF18" s="37">
        <v>20</v>
      </c>
      <c r="EG18" s="37">
        <v>1</v>
      </c>
      <c r="EH18" s="37">
        <v>1</v>
      </c>
      <c r="EI18" s="37">
        <v>20</v>
      </c>
      <c r="EL18" s="37" t="str">
        <f t="shared" ref="EL18:EP18" si="218">VLOOKUP(EL73,$B$114:$C$126,2,FALSE)</f>
        <v>_low_5_</v>
      </c>
      <c r="EM18" s="37" t="str">
        <f t="shared" si="218"/>
        <v>_JOK_1_</v>
      </c>
      <c r="EN18" s="37" t="str">
        <f t="shared" si="218"/>
        <v>_low_2_</v>
      </c>
      <c r="EO18" s="37" t="str">
        <f t="shared" si="218"/>
        <v>_COI_1_</v>
      </c>
      <c r="EP18" s="37" t="str">
        <f t="shared" si="218"/>
        <v>_HIG_2_</v>
      </c>
      <c r="ES18" s="37">
        <v>1</v>
      </c>
      <c r="ET18" s="37">
        <v>20</v>
      </c>
      <c r="EU18" s="37">
        <v>1</v>
      </c>
      <c r="EV18" s="37">
        <v>1</v>
      </c>
      <c r="EW18" s="37">
        <v>20</v>
      </c>
      <c r="EZ18" s="37" t="str">
        <f t="shared" ref="EZ18:FD18" si="219">VLOOKUP(EZ73,$B$114:$C$126,2,FALSE)</f>
        <v>_low_5_</v>
      </c>
      <c r="FA18" s="37" t="str">
        <f t="shared" si="219"/>
        <v>_JOK_1_</v>
      </c>
      <c r="FB18" s="37" t="str">
        <f t="shared" si="219"/>
        <v>_low_2_</v>
      </c>
      <c r="FC18" s="37" t="str">
        <f t="shared" si="219"/>
        <v>_COI_1_</v>
      </c>
      <c r="FD18" s="37" t="str">
        <f t="shared" si="219"/>
        <v>_HIG_2_</v>
      </c>
      <c r="FG18" s="37">
        <v>1</v>
      </c>
      <c r="FH18" s="37">
        <v>20</v>
      </c>
      <c r="FI18" s="37">
        <v>1</v>
      </c>
      <c r="FJ18" s="37">
        <v>1</v>
      </c>
      <c r="FK18" s="37">
        <v>20</v>
      </c>
      <c r="FN18" s="37" t="str">
        <f t="shared" ref="FN18:FR18" si="220">VLOOKUP(FN73,$B$114:$C$126,2,FALSE)</f>
        <v>_low_5_</v>
      </c>
      <c r="FO18" s="37" t="str">
        <f t="shared" si="220"/>
        <v>_JOK_1_</v>
      </c>
      <c r="FP18" s="37" t="str">
        <f t="shared" si="220"/>
        <v>_low_2_</v>
      </c>
      <c r="FQ18" s="37" t="str">
        <f t="shared" si="220"/>
        <v>_COI_1_</v>
      </c>
      <c r="FR18" s="37" t="str">
        <f t="shared" si="220"/>
        <v>_HIG_2_</v>
      </c>
      <c r="FU18" s="37">
        <v>1</v>
      </c>
      <c r="FV18" s="37">
        <v>20</v>
      </c>
      <c r="FW18" s="37">
        <v>1</v>
      </c>
      <c r="FX18" s="37">
        <v>1</v>
      </c>
      <c r="FY18" s="37">
        <v>20</v>
      </c>
      <c r="GB18" s="37" t="str">
        <f t="shared" ref="GB18:GF18" si="221">VLOOKUP(GB73,$B$114:$C$126,2,FALSE)</f>
        <v>_low_5_</v>
      </c>
      <c r="GC18" s="37" t="str">
        <f t="shared" si="221"/>
        <v>_JOK_1_</v>
      </c>
      <c r="GD18" s="37" t="str">
        <f t="shared" si="221"/>
        <v>_low_2_</v>
      </c>
      <c r="GE18" s="37" t="str">
        <f t="shared" si="221"/>
        <v>_COI_1_</v>
      </c>
      <c r="GF18" s="37" t="str">
        <f t="shared" si="221"/>
        <v>_HIG_2_</v>
      </c>
      <c r="GI18" s="37">
        <v>1</v>
      </c>
      <c r="GJ18" s="37">
        <v>20</v>
      </c>
      <c r="GK18" s="37">
        <v>1</v>
      </c>
      <c r="GL18" s="37">
        <v>1</v>
      </c>
      <c r="GM18" s="37">
        <v>20</v>
      </c>
      <c r="GP18" s="37" t="str">
        <f t="shared" ref="GP18:GT18" si="222">VLOOKUP(GP73,$B$114:$C$126,2,FALSE)</f>
        <v>_low_5_</v>
      </c>
      <c r="GQ18" s="37" t="str">
        <f t="shared" si="222"/>
        <v>_JOK_1_</v>
      </c>
      <c r="GR18" s="37" t="str">
        <f t="shared" si="222"/>
        <v>_low_2_</v>
      </c>
      <c r="GS18" s="37" t="str">
        <f t="shared" si="222"/>
        <v>_COI_1_</v>
      </c>
      <c r="GT18" s="37" t="str">
        <f t="shared" si="222"/>
        <v>_HIG_2_</v>
      </c>
      <c r="GW18" s="37">
        <v>1</v>
      </c>
      <c r="GX18" s="37">
        <v>20</v>
      </c>
      <c r="GY18" s="37">
        <v>1</v>
      </c>
      <c r="GZ18" s="37">
        <v>1</v>
      </c>
      <c r="HA18" s="37">
        <v>20</v>
      </c>
      <c r="HD18" s="37" t="str">
        <f t="shared" ref="HD18:HH18" si="223">VLOOKUP(HD73,$B$114:$C$126,2,FALSE)</f>
        <v>_low_5_</v>
      </c>
      <c r="HE18" s="37" t="str">
        <f t="shared" si="223"/>
        <v>_JOK_1_</v>
      </c>
      <c r="HF18" s="37" t="str">
        <f t="shared" si="223"/>
        <v>_low_2_</v>
      </c>
      <c r="HG18" s="37" t="str">
        <f t="shared" si="223"/>
        <v>_COI_1_</v>
      </c>
      <c r="HH18" s="37" t="str">
        <f t="shared" si="223"/>
        <v>_HIG_2_</v>
      </c>
      <c r="HK18" s="37">
        <v>1</v>
      </c>
      <c r="HL18" s="37">
        <v>20</v>
      </c>
      <c r="HM18" s="37">
        <v>1</v>
      </c>
      <c r="HN18" s="37">
        <v>1</v>
      </c>
      <c r="HO18" s="37">
        <v>20</v>
      </c>
    </row>
    <row r="19" spans="1:223" x14ac:dyDescent="0.35">
      <c r="A19" s="37">
        <v>15</v>
      </c>
      <c r="B19" s="37" t="str">
        <f t="shared" ref="B19:F19" si="224">VLOOKUP(B74,$B$114:$C$126,2,FALSE)</f>
        <v>_COI_1_</v>
      </c>
      <c r="C19" s="37" t="str">
        <f t="shared" si="224"/>
        <v>_low_1_</v>
      </c>
      <c r="D19" s="37" t="str">
        <f t="shared" si="224"/>
        <v>_COI_1_</v>
      </c>
      <c r="E19" s="37" t="str">
        <f t="shared" si="224"/>
        <v>_COI_1_</v>
      </c>
      <c r="F19" s="37" t="str">
        <f t="shared" si="224"/>
        <v>_low_2_</v>
      </c>
      <c r="I19" s="60">
        <v>1</v>
      </c>
      <c r="J19" s="60">
        <v>20</v>
      </c>
      <c r="K19" s="60">
        <v>1</v>
      </c>
      <c r="L19" s="60">
        <v>1</v>
      </c>
      <c r="M19" s="60">
        <v>20</v>
      </c>
      <c r="P19" s="37" t="str">
        <f t="shared" ref="P19:T19" si="225">VLOOKUP(P74,$B$114:$C$126,2,FALSE)</f>
        <v>_COI_1_</v>
      </c>
      <c r="Q19" s="37" t="str">
        <f t="shared" si="225"/>
        <v>_low_1_</v>
      </c>
      <c r="R19" s="37" t="str">
        <f t="shared" si="225"/>
        <v>_COI_1_</v>
      </c>
      <c r="S19" s="37" t="str">
        <f t="shared" si="225"/>
        <v>_COI_1_</v>
      </c>
      <c r="T19" s="37" t="str">
        <f t="shared" si="225"/>
        <v>_low_2_</v>
      </c>
      <c r="W19" s="37">
        <v>1</v>
      </c>
      <c r="X19" s="37">
        <v>20</v>
      </c>
      <c r="Y19" s="37">
        <v>1</v>
      </c>
      <c r="Z19" s="37">
        <v>1</v>
      </c>
      <c r="AA19" s="37">
        <v>20</v>
      </c>
      <c r="AD19" s="37" t="str">
        <f t="shared" ref="AD19:AH19" si="226">VLOOKUP(AD74,$B$114:$C$126,2,FALSE)</f>
        <v>_COI_1_</v>
      </c>
      <c r="AE19" s="37" t="str">
        <f t="shared" si="226"/>
        <v>_low_1_</v>
      </c>
      <c r="AF19" s="37" t="str">
        <f t="shared" si="226"/>
        <v>_COI_1_</v>
      </c>
      <c r="AG19" s="37" t="str">
        <f t="shared" si="226"/>
        <v>_COI_1_</v>
      </c>
      <c r="AH19" s="37" t="str">
        <f t="shared" si="226"/>
        <v>_low_2_</v>
      </c>
      <c r="AK19" s="37">
        <v>1</v>
      </c>
      <c r="AL19" s="37">
        <v>20</v>
      </c>
      <c r="AM19" s="37">
        <v>1</v>
      </c>
      <c r="AN19" s="37">
        <v>1</v>
      </c>
      <c r="AO19" s="37">
        <v>20</v>
      </c>
      <c r="AR19" s="37" t="str">
        <f t="shared" ref="AR19:AV19" si="227">VLOOKUP(AR74,$B$114:$C$126,2,FALSE)</f>
        <v>_COI_1_</v>
      </c>
      <c r="AS19" s="37" t="str">
        <f t="shared" si="227"/>
        <v>_low_1_</v>
      </c>
      <c r="AT19" s="37" t="str">
        <f t="shared" si="227"/>
        <v>_COI_1_</v>
      </c>
      <c r="AU19" s="37" t="str">
        <f t="shared" si="227"/>
        <v>_COI_1_</v>
      </c>
      <c r="AV19" s="37" t="str">
        <f t="shared" si="227"/>
        <v>_low_2_</v>
      </c>
      <c r="AY19" s="37">
        <v>1</v>
      </c>
      <c r="AZ19" s="37">
        <v>20</v>
      </c>
      <c r="BA19" s="37">
        <v>1</v>
      </c>
      <c r="BB19" s="37">
        <v>1</v>
      </c>
      <c r="BC19" s="37">
        <v>20</v>
      </c>
      <c r="BF19" s="37" t="str">
        <f t="shared" ref="BF19:BJ19" si="228">VLOOKUP(BF74,$B$114:$C$126,2,FALSE)</f>
        <v>_COI_1_</v>
      </c>
      <c r="BG19" s="37" t="str">
        <f t="shared" si="228"/>
        <v>_low_1_</v>
      </c>
      <c r="BH19" s="37" t="str">
        <f t="shared" si="228"/>
        <v>_COI_1_</v>
      </c>
      <c r="BI19" s="37" t="str">
        <f t="shared" si="228"/>
        <v>_COI_1_</v>
      </c>
      <c r="BJ19" s="37" t="str">
        <f t="shared" si="228"/>
        <v>_low_2_</v>
      </c>
      <c r="BM19" s="37">
        <v>1</v>
      </c>
      <c r="BN19" s="37">
        <v>20</v>
      </c>
      <c r="BO19" s="37">
        <v>1</v>
      </c>
      <c r="BP19" s="37">
        <v>1</v>
      </c>
      <c r="BQ19" s="37">
        <v>20</v>
      </c>
      <c r="BT19" s="37" t="str">
        <f t="shared" ref="BT19:BX19" si="229">VLOOKUP(BT74,$B$114:$C$126,2,FALSE)</f>
        <v>_COI_1_</v>
      </c>
      <c r="BU19" s="37" t="str">
        <f t="shared" si="229"/>
        <v>_low_1_</v>
      </c>
      <c r="BV19" s="37" t="str">
        <f t="shared" si="229"/>
        <v>_COI_1_</v>
      </c>
      <c r="BW19" s="37" t="str">
        <f t="shared" si="229"/>
        <v>_COI_1_</v>
      </c>
      <c r="BX19" s="37" t="str">
        <f t="shared" si="229"/>
        <v>_low_2_</v>
      </c>
      <c r="CA19" s="37">
        <v>1</v>
      </c>
      <c r="CB19" s="37">
        <v>20</v>
      </c>
      <c r="CC19" s="37">
        <v>4000</v>
      </c>
      <c r="CD19" s="37">
        <v>1</v>
      </c>
      <c r="CE19" s="37">
        <v>20</v>
      </c>
      <c r="CH19" s="37" t="str">
        <f t="shared" ref="CH19:CL19" si="230">VLOOKUP(CH74,$B$114:$C$126,2,FALSE)</f>
        <v>_COI_1_</v>
      </c>
      <c r="CI19" s="37" t="str">
        <f t="shared" si="230"/>
        <v>_low_1_</v>
      </c>
      <c r="CJ19" s="37" t="str">
        <f t="shared" si="230"/>
        <v>_COI_1_</v>
      </c>
      <c r="CK19" s="37" t="str">
        <f t="shared" si="230"/>
        <v>_COI_1_</v>
      </c>
      <c r="CL19" s="37" t="str">
        <f t="shared" si="230"/>
        <v>_low_2_</v>
      </c>
      <c r="CO19" s="37">
        <v>4000</v>
      </c>
      <c r="CP19" s="37">
        <v>20</v>
      </c>
      <c r="CQ19" s="37">
        <v>1</v>
      </c>
      <c r="CR19" s="37">
        <v>4000</v>
      </c>
      <c r="CS19" s="37">
        <v>20</v>
      </c>
      <c r="CV19" s="37" t="str">
        <f t="shared" ref="CV19:CZ19" si="231">VLOOKUP(CV74,$B$114:$C$126,2,FALSE)</f>
        <v>_COI_1_</v>
      </c>
      <c r="CW19" s="37" t="str">
        <f t="shared" si="231"/>
        <v>_low_1_</v>
      </c>
      <c r="CX19" s="37" t="str">
        <f t="shared" si="231"/>
        <v>_COI_1_</v>
      </c>
      <c r="CY19" s="37" t="str">
        <f t="shared" si="231"/>
        <v>_COI_1_</v>
      </c>
      <c r="CZ19" s="37" t="str">
        <f t="shared" si="231"/>
        <v>_low_2_</v>
      </c>
      <c r="DC19" s="37">
        <v>1</v>
      </c>
      <c r="DD19" s="37">
        <v>20</v>
      </c>
      <c r="DE19" s="37">
        <v>1</v>
      </c>
      <c r="DF19" s="37">
        <v>1</v>
      </c>
      <c r="DG19" s="37">
        <v>20</v>
      </c>
      <c r="DJ19" s="37" t="str">
        <f t="shared" ref="DJ19:DN19" si="232">VLOOKUP(DJ74,$B$114:$C$126,2,FALSE)</f>
        <v>_COI_1_</v>
      </c>
      <c r="DK19" s="37" t="str">
        <f t="shared" si="232"/>
        <v>_low_1_</v>
      </c>
      <c r="DL19" s="37" t="str">
        <f t="shared" si="232"/>
        <v>_COI_1_</v>
      </c>
      <c r="DM19" s="37" t="str">
        <f t="shared" si="232"/>
        <v>_COI_1_</v>
      </c>
      <c r="DN19" s="37" t="str">
        <f t="shared" si="232"/>
        <v>_low_2_</v>
      </c>
      <c r="DQ19" s="37">
        <v>1</v>
      </c>
      <c r="DR19" s="37">
        <v>20</v>
      </c>
      <c r="DS19" s="37">
        <v>1</v>
      </c>
      <c r="DT19" s="37">
        <v>4000</v>
      </c>
      <c r="DU19" s="37">
        <v>20</v>
      </c>
      <c r="DX19" s="37" t="str">
        <f t="shared" ref="DX19:EB19" si="233">VLOOKUP(DX74,$B$114:$C$126,2,FALSE)</f>
        <v>_COI_1_</v>
      </c>
      <c r="DY19" s="37" t="str">
        <f t="shared" si="233"/>
        <v>_low_1_</v>
      </c>
      <c r="DZ19" s="37" t="str">
        <f t="shared" si="233"/>
        <v>_COI_1_</v>
      </c>
      <c r="EA19" s="37" t="str">
        <f t="shared" si="233"/>
        <v>_COI_1_</v>
      </c>
      <c r="EB19" s="37" t="str">
        <f t="shared" si="233"/>
        <v>_low_2_</v>
      </c>
      <c r="EE19" s="37">
        <v>1</v>
      </c>
      <c r="EF19" s="37">
        <v>20</v>
      </c>
      <c r="EG19" s="37">
        <v>8000</v>
      </c>
      <c r="EH19" s="37">
        <v>8000</v>
      </c>
      <c r="EI19" s="37">
        <v>20</v>
      </c>
      <c r="EL19" s="37" t="str">
        <f t="shared" ref="EL19:EP19" si="234">VLOOKUP(EL74,$B$114:$C$126,2,FALSE)</f>
        <v>_COI_1_</v>
      </c>
      <c r="EM19" s="37" t="str">
        <f t="shared" si="234"/>
        <v>_low_1_</v>
      </c>
      <c r="EN19" s="37" t="str">
        <f t="shared" si="234"/>
        <v>_COI_1_</v>
      </c>
      <c r="EO19" s="37" t="str">
        <f t="shared" si="234"/>
        <v>_COI_1_</v>
      </c>
      <c r="EP19" s="37" t="str">
        <f t="shared" si="234"/>
        <v>_low_2_</v>
      </c>
      <c r="ES19" s="37">
        <v>2000</v>
      </c>
      <c r="ET19" s="37">
        <v>20</v>
      </c>
      <c r="EU19" s="37">
        <v>2000</v>
      </c>
      <c r="EV19" s="37">
        <v>2000</v>
      </c>
      <c r="EW19" s="37">
        <v>20</v>
      </c>
      <c r="EZ19" s="37" t="str">
        <f t="shared" ref="EZ19:FD19" si="235">VLOOKUP(EZ74,$B$114:$C$126,2,FALSE)</f>
        <v>_COI_1_</v>
      </c>
      <c r="FA19" s="37" t="str">
        <f t="shared" si="235"/>
        <v>_low_1_</v>
      </c>
      <c r="FB19" s="37" t="str">
        <f t="shared" si="235"/>
        <v>_COI_1_</v>
      </c>
      <c r="FC19" s="37" t="str">
        <f t="shared" si="235"/>
        <v>_COI_1_</v>
      </c>
      <c r="FD19" s="37" t="str">
        <f t="shared" si="235"/>
        <v>_low_2_</v>
      </c>
      <c r="FG19" s="37">
        <v>1</v>
      </c>
      <c r="FH19" s="37">
        <v>20</v>
      </c>
      <c r="FI19" s="37">
        <v>8000</v>
      </c>
      <c r="FJ19" s="37">
        <v>8000</v>
      </c>
      <c r="FK19" s="37">
        <v>20</v>
      </c>
      <c r="FN19" s="37" t="str">
        <f t="shared" ref="FN19:FR19" si="236">VLOOKUP(FN74,$B$114:$C$126,2,FALSE)</f>
        <v>_COI_1_</v>
      </c>
      <c r="FO19" s="37" t="str">
        <f t="shared" si="236"/>
        <v>_low_1_</v>
      </c>
      <c r="FP19" s="37" t="str">
        <f t="shared" si="236"/>
        <v>_COI_1_</v>
      </c>
      <c r="FQ19" s="37" t="str">
        <f t="shared" si="236"/>
        <v>_COI_1_</v>
      </c>
      <c r="FR19" s="37" t="str">
        <f t="shared" si="236"/>
        <v>_low_2_</v>
      </c>
      <c r="FU19" s="37">
        <v>1</v>
      </c>
      <c r="FV19" s="37">
        <v>20</v>
      </c>
      <c r="FW19" s="37">
        <v>4000</v>
      </c>
      <c r="FX19" s="37">
        <v>4000</v>
      </c>
      <c r="FY19" s="37">
        <v>20</v>
      </c>
      <c r="GB19" s="37" t="str">
        <f t="shared" ref="GB19:GF19" si="237">VLOOKUP(GB74,$B$114:$C$126,2,FALSE)</f>
        <v>_COI_1_</v>
      </c>
      <c r="GC19" s="37" t="str">
        <f t="shared" si="237"/>
        <v>_low_1_</v>
      </c>
      <c r="GD19" s="37" t="str">
        <f t="shared" si="237"/>
        <v>_COI_1_</v>
      </c>
      <c r="GE19" s="37" t="str">
        <f t="shared" si="237"/>
        <v>_COI_1_</v>
      </c>
      <c r="GF19" s="37" t="str">
        <f t="shared" si="237"/>
        <v>_low_2_</v>
      </c>
      <c r="GI19" s="37">
        <v>1</v>
      </c>
      <c r="GJ19" s="37">
        <v>20</v>
      </c>
      <c r="GK19" s="37">
        <v>1</v>
      </c>
      <c r="GL19" s="37">
        <v>1</v>
      </c>
      <c r="GM19" s="37">
        <v>20</v>
      </c>
      <c r="GP19" s="37" t="str">
        <f t="shared" ref="GP19:GT19" si="238">VLOOKUP(GP74,$B$114:$C$126,2,FALSE)</f>
        <v>_COI_1_</v>
      </c>
      <c r="GQ19" s="37" t="str">
        <f t="shared" si="238"/>
        <v>_low_1_</v>
      </c>
      <c r="GR19" s="37" t="str">
        <f t="shared" si="238"/>
        <v>_COI_1_</v>
      </c>
      <c r="GS19" s="37" t="str">
        <f t="shared" si="238"/>
        <v>_COI_1_</v>
      </c>
      <c r="GT19" s="37" t="str">
        <f t="shared" si="238"/>
        <v>_low_2_</v>
      </c>
      <c r="GW19" s="37">
        <v>10000</v>
      </c>
      <c r="GX19" s="37">
        <v>20</v>
      </c>
      <c r="GY19" s="37">
        <v>1</v>
      </c>
      <c r="GZ19" s="37">
        <v>10000</v>
      </c>
      <c r="HA19" s="37">
        <v>20</v>
      </c>
      <c r="HD19" s="37" t="str">
        <f t="shared" ref="HD19:HH19" si="239">VLOOKUP(HD74,$B$114:$C$126,2,FALSE)</f>
        <v>_COI_1_</v>
      </c>
      <c r="HE19" s="37" t="str">
        <f t="shared" si="239"/>
        <v>_low_1_</v>
      </c>
      <c r="HF19" s="37" t="str">
        <f t="shared" si="239"/>
        <v>_COI_1_</v>
      </c>
      <c r="HG19" s="37" t="str">
        <f t="shared" si="239"/>
        <v>_COI_1_</v>
      </c>
      <c r="HH19" s="37" t="str">
        <f t="shared" si="239"/>
        <v>_low_2_</v>
      </c>
      <c r="HK19" s="37">
        <v>1</v>
      </c>
      <c r="HL19" s="37">
        <v>20</v>
      </c>
      <c r="HM19" s="37">
        <v>1</v>
      </c>
      <c r="HN19" s="37">
        <v>100000000</v>
      </c>
      <c r="HO19" s="37">
        <v>20</v>
      </c>
    </row>
    <row r="20" spans="1:223" x14ac:dyDescent="0.35">
      <c r="A20" s="37">
        <v>16</v>
      </c>
      <c r="B20" s="37" t="str">
        <f t="shared" ref="B20:F20" si="240">VLOOKUP(B75,$B$114:$C$126,2,FALSE)</f>
        <v>_COI_1_</v>
      </c>
      <c r="C20" s="37" t="str">
        <f t="shared" si="240"/>
        <v>_low_3_</v>
      </c>
      <c r="D20" s="37" t="str">
        <f t="shared" si="240"/>
        <v>_COI_1_</v>
      </c>
      <c r="E20" s="37" t="str">
        <f t="shared" si="240"/>
        <v>_COI_1_</v>
      </c>
      <c r="F20" s="37" t="str">
        <f t="shared" si="240"/>
        <v>_HIG_1_</v>
      </c>
      <c r="I20" s="60">
        <v>1</v>
      </c>
      <c r="J20" s="60">
        <v>1</v>
      </c>
      <c r="K20" s="60">
        <v>1</v>
      </c>
      <c r="L20" s="60">
        <v>1</v>
      </c>
      <c r="M20" s="60">
        <v>20</v>
      </c>
      <c r="P20" s="37" t="str">
        <f t="shared" ref="P20:T20" si="241">VLOOKUP(P75,$B$114:$C$126,2,FALSE)</f>
        <v>_COI_1_</v>
      </c>
      <c r="Q20" s="37" t="str">
        <f t="shared" si="241"/>
        <v>_low_3_</v>
      </c>
      <c r="R20" s="37" t="str">
        <f t="shared" si="241"/>
        <v>_COI_1_</v>
      </c>
      <c r="S20" s="37" t="str">
        <f t="shared" si="241"/>
        <v>_COI_1_</v>
      </c>
      <c r="T20" s="37" t="str">
        <f t="shared" si="241"/>
        <v>_HIG_1_</v>
      </c>
      <c r="W20" s="37">
        <v>1</v>
      </c>
      <c r="X20" s="37">
        <v>1</v>
      </c>
      <c r="Y20" s="37">
        <v>1</v>
      </c>
      <c r="Z20" s="37">
        <v>1</v>
      </c>
      <c r="AA20" s="37">
        <v>20</v>
      </c>
      <c r="AD20" s="37" t="str">
        <f t="shared" ref="AD20:AH20" si="242">VLOOKUP(AD75,$B$114:$C$126,2,FALSE)</f>
        <v>_COI_1_</v>
      </c>
      <c r="AE20" s="37" t="str">
        <f t="shared" si="242"/>
        <v>_low_3_</v>
      </c>
      <c r="AF20" s="37" t="str">
        <f t="shared" si="242"/>
        <v>_COI_1_</v>
      </c>
      <c r="AG20" s="37" t="str">
        <f t="shared" si="242"/>
        <v>_COI_1_</v>
      </c>
      <c r="AH20" s="37" t="str">
        <f t="shared" si="242"/>
        <v>_HIG_1_</v>
      </c>
      <c r="AK20" s="37">
        <v>1</v>
      </c>
      <c r="AL20" s="37">
        <v>2000</v>
      </c>
      <c r="AM20" s="37">
        <v>1</v>
      </c>
      <c r="AN20" s="37">
        <v>1</v>
      </c>
      <c r="AO20" s="37">
        <v>20</v>
      </c>
      <c r="AR20" s="37" t="str">
        <f t="shared" ref="AR20:AV20" si="243">VLOOKUP(AR75,$B$114:$C$126,2,FALSE)</f>
        <v>_COI_1_</v>
      </c>
      <c r="AS20" s="37" t="str">
        <f t="shared" si="243"/>
        <v>_low_3_</v>
      </c>
      <c r="AT20" s="37" t="str">
        <f t="shared" si="243"/>
        <v>_COI_1_</v>
      </c>
      <c r="AU20" s="37" t="str">
        <f t="shared" si="243"/>
        <v>_COI_1_</v>
      </c>
      <c r="AV20" s="37" t="str">
        <f t="shared" si="243"/>
        <v>_HIG_1_</v>
      </c>
      <c r="AY20" s="37">
        <v>1</v>
      </c>
      <c r="AZ20" s="37">
        <v>4000</v>
      </c>
      <c r="BA20" s="37">
        <v>1</v>
      </c>
      <c r="BB20" s="37">
        <v>1</v>
      </c>
      <c r="BC20" s="37">
        <v>20</v>
      </c>
      <c r="BF20" s="37" t="str">
        <f t="shared" ref="BF20:BJ20" si="244">VLOOKUP(BF75,$B$114:$C$126,2,FALSE)</f>
        <v>_COI_1_</v>
      </c>
      <c r="BG20" s="37" t="str">
        <f t="shared" si="244"/>
        <v>_low_3_</v>
      </c>
      <c r="BH20" s="37" t="str">
        <f t="shared" si="244"/>
        <v>_COI_1_</v>
      </c>
      <c r="BI20" s="37" t="str">
        <f t="shared" si="244"/>
        <v>_COI_1_</v>
      </c>
      <c r="BJ20" s="37" t="str">
        <f t="shared" si="244"/>
        <v>_HIG_1_</v>
      </c>
      <c r="BM20" s="37">
        <v>1</v>
      </c>
      <c r="BN20" s="37">
        <v>5000</v>
      </c>
      <c r="BO20" s="37">
        <v>1</v>
      </c>
      <c r="BP20" s="37">
        <v>1</v>
      </c>
      <c r="BQ20" s="37">
        <v>20</v>
      </c>
      <c r="BT20" s="37" t="str">
        <f t="shared" ref="BT20:BX20" si="245">VLOOKUP(BT75,$B$114:$C$126,2,FALSE)</f>
        <v>_COI_1_</v>
      </c>
      <c r="BU20" s="37" t="str">
        <f t="shared" si="245"/>
        <v>_low_3_</v>
      </c>
      <c r="BV20" s="37" t="str">
        <f t="shared" si="245"/>
        <v>_COI_1_</v>
      </c>
      <c r="BW20" s="37" t="str">
        <f t="shared" si="245"/>
        <v>_COI_1_</v>
      </c>
      <c r="BX20" s="37" t="str">
        <f t="shared" si="245"/>
        <v>_HIG_1_</v>
      </c>
      <c r="CA20" s="37">
        <v>1</v>
      </c>
      <c r="CB20" s="37">
        <v>4000</v>
      </c>
      <c r="CC20" s="37">
        <v>4000</v>
      </c>
      <c r="CD20" s="37">
        <v>1</v>
      </c>
      <c r="CE20" s="37">
        <v>20</v>
      </c>
      <c r="CH20" s="37" t="str">
        <f t="shared" ref="CH20:CL20" si="246">VLOOKUP(CH75,$B$114:$C$126,2,FALSE)</f>
        <v>_COI_1_</v>
      </c>
      <c r="CI20" s="37" t="str">
        <f t="shared" si="246"/>
        <v>_low_3_</v>
      </c>
      <c r="CJ20" s="37" t="str">
        <f t="shared" si="246"/>
        <v>_COI_1_</v>
      </c>
      <c r="CK20" s="37" t="str">
        <f t="shared" si="246"/>
        <v>_COI_1_</v>
      </c>
      <c r="CL20" s="37" t="str">
        <f t="shared" si="246"/>
        <v>_HIG_1_</v>
      </c>
      <c r="CO20" s="37">
        <v>4000</v>
      </c>
      <c r="CP20" s="37">
        <v>1</v>
      </c>
      <c r="CQ20" s="37">
        <v>1</v>
      </c>
      <c r="CR20" s="37">
        <v>1</v>
      </c>
      <c r="CS20" s="37">
        <v>20</v>
      </c>
      <c r="CV20" s="37" t="str">
        <f t="shared" ref="CV20:CZ20" si="247">VLOOKUP(CV75,$B$114:$C$126,2,FALSE)</f>
        <v>_COI_1_</v>
      </c>
      <c r="CW20" s="37" t="str">
        <f t="shared" si="247"/>
        <v>_low_3_</v>
      </c>
      <c r="CX20" s="37" t="str">
        <f t="shared" si="247"/>
        <v>_COI_1_</v>
      </c>
      <c r="CY20" s="37" t="str">
        <f t="shared" si="247"/>
        <v>_COI_1_</v>
      </c>
      <c r="CZ20" s="37" t="str">
        <f t="shared" si="247"/>
        <v>_HIG_1_</v>
      </c>
      <c r="DC20" s="37">
        <v>1</v>
      </c>
      <c r="DD20" s="37">
        <v>4000</v>
      </c>
      <c r="DE20" s="37">
        <v>1</v>
      </c>
      <c r="DF20" s="37">
        <v>1</v>
      </c>
      <c r="DG20" s="37">
        <v>20</v>
      </c>
      <c r="DJ20" s="37" t="str">
        <f t="shared" ref="DJ20:DN20" si="248">VLOOKUP(DJ75,$B$114:$C$126,2,FALSE)</f>
        <v>_COI_1_</v>
      </c>
      <c r="DK20" s="37" t="str">
        <f t="shared" si="248"/>
        <v>_low_3_</v>
      </c>
      <c r="DL20" s="37" t="str">
        <f t="shared" si="248"/>
        <v>_COI_1_</v>
      </c>
      <c r="DM20" s="37" t="str">
        <f t="shared" si="248"/>
        <v>_COI_1_</v>
      </c>
      <c r="DN20" s="37" t="str">
        <f t="shared" si="248"/>
        <v>_HIG_1_</v>
      </c>
      <c r="DQ20" s="37">
        <v>1</v>
      </c>
      <c r="DR20" s="37">
        <v>1</v>
      </c>
      <c r="DS20" s="37">
        <v>1</v>
      </c>
      <c r="DT20" s="37">
        <v>1</v>
      </c>
      <c r="DU20" s="37">
        <v>20</v>
      </c>
      <c r="DX20" s="37" t="str">
        <f t="shared" ref="DX20:EB20" si="249">VLOOKUP(DX75,$B$114:$C$126,2,FALSE)</f>
        <v>_COI_1_</v>
      </c>
      <c r="DY20" s="37" t="str">
        <f t="shared" si="249"/>
        <v>_low_3_</v>
      </c>
      <c r="DZ20" s="37" t="str">
        <f t="shared" si="249"/>
        <v>_COI_1_</v>
      </c>
      <c r="EA20" s="37" t="str">
        <f t="shared" si="249"/>
        <v>_COI_1_</v>
      </c>
      <c r="EB20" s="37" t="str">
        <f t="shared" si="249"/>
        <v>_HIG_1_</v>
      </c>
      <c r="EE20" s="37">
        <v>1</v>
      </c>
      <c r="EF20" s="37">
        <v>1</v>
      </c>
      <c r="EG20" s="37">
        <v>8000</v>
      </c>
      <c r="EH20" s="37">
        <v>1</v>
      </c>
      <c r="EI20" s="37">
        <v>20</v>
      </c>
      <c r="EL20" s="37" t="str">
        <f t="shared" ref="EL20:EP20" si="250">VLOOKUP(EL75,$B$114:$C$126,2,FALSE)</f>
        <v>_COI_1_</v>
      </c>
      <c r="EM20" s="37" t="str">
        <f t="shared" si="250"/>
        <v>_low_3_</v>
      </c>
      <c r="EN20" s="37" t="str">
        <f t="shared" si="250"/>
        <v>_COI_1_</v>
      </c>
      <c r="EO20" s="37" t="str">
        <f t="shared" si="250"/>
        <v>_COI_1_</v>
      </c>
      <c r="EP20" s="37" t="str">
        <f t="shared" si="250"/>
        <v>_HIG_1_</v>
      </c>
      <c r="ES20" s="37">
        <v>2000</v>
      </c>
      <c r="ET20" s="37">
        <v>1</v>
      </c>
      <c r="EU20" s="37">
        <v>2000</v>
      </c>
      <c r="EV20" s="37">
        <v>1</v>
      </c>
      <c r="EW20" s="37">
        <v>20</v>
      </c>
      <c r="EZ20" s="37" t="str">
        <f t="shared" ref="EZ20:FD20" si="251">VLOOKUP(EZ75,$B$114:$C$126,2,FALSE)</f>
        <v>_COI_1_</v>
      </c>
      <c r="FA20" s="37" t="str">
        <f t="shared" si="251"/>
        <v>_low_3_</v>
      </c>
      <c r="FB20" s="37" t="str">
        <f t="shared" si="251"/>
        <v>_COI_1_</v>
      </c>
      <c r="FC20" s="37" t="str">
        <f t="shared" si="251"/>
        <v>_COI_1_</v>
      </c>
      <c r="FD20" s="37" t="str">
        <f t="shared" si="251"/>
        <v>_HIG_1_</v>
      </c>
      <c r="FG20" s="37">
        <v>1</v>
      </c>
      <c r="FH20" s="37">
        <v>1</v>
      </c>
      <c r="FI20" s="37">
        <v>8000</v>
      </c>
      <c r="FJ20" s="37">
        <v>1</v>
      </c>
      <c r="FK20" s="37">
        <v>20</v>
      </c>
      <c r="FN20" s="37" t="str">
        <f t="shared" ref="FN20:FR20" si="252">VLOOKUP(FN75,$B$114:$C$126,2,FALSE)</f>
        <v>_COI_1_</v>
      </c>
      <c r="FO20" s="37" t="str">
        <f t="shared" si="252"/>
        <v>_low_3_</v>
      </c>
      <c r="FP20" s="37" t="str">
        <f t="shared" si="252"/>
        <v>_COI_1_</v>
      </c>
      <c r="FQ20" s="37" t="str">
        <f t="shared" si="252"/>
        <v>_COI_1_</v>
      </c>
      <c r="FR20" s="37" t="str">
        <f t="shared" si="252"/>
        <v>_HIG_1_</v>
      </c>
      <c r="FU20" s="37">
        <v>1</v>
      </c>
      <c r="FV20" s="37">
        <v>4000</v>
      </c>
      <c r="FW20" s="37">
        <v>4000</v>
      </c>
      <c r="FX20" s="37">
        <v>1</v>
      </c>
      <c r="FY20" s="37">
        <v>20</v>
      </c>
      <c r="GB20" s="37" t="str">
        <f t="shared" ref="GB20:GF20" si="253">VLOOKUP(GB75,$B$114:$C$126,2,FALSE)</f>
        <v>_COI_1_</v>
      </c>
      <c r="GC20" s="37" t="str">
        <f t="shared" si="253"/>
        <v>_low_3_</v>
      </c>
      <c r="GD20" s="37" t="str">
        <f t="shared" si="253"/>
        <v>_COI_1_</v>
      </c>
      <c r="GE20" s="37" t="str">
        <f t="shared" si="253"/>
        <v>_COI_1_</v>
      </c>
      <c r="GF20" s="37" t="str">
        <f t="shared" si="253"/>
        <v>_HIG_1_</v>
      </c>
      <c r="GI20" s="37">
        <v>1</v>
      </c>
      <c r="GJ20" s="37">
        <v>1</v>
      </c>
      <c r="GK20" s="37">
        <v>1</v>
      </c>
      <c r="GL20" s="37">
        <v>1</v>
      </c>
      <c r="GM20" s="37">
        <v>20</v>
      </c>
      <c r="GP20" s="37" t="str">
        <f t="shared" ref="GP20:GT20" si="254">VLOOKUP(GP75,$B$114:$C$126,2,FALSE)</f>
        <v>_COI_1_</v>
      </c>
      <c r="GQ20" s="37" t="str">
        <f t="shared" si="254"/>
        <v>_low_3_</v>
      </c>
      <c r="GR20" s="37" t="str">
        <f t="shared" si="254"/>
        <v>_COI_1_</v>
      </c>
      <c r="GS20" s="37" t="str">
        <f t="shared" si="254"/>
        <v>_COI_1_</v>
      </c>
      <c r="GT20" s="37" t="str">
        <f t="shared" si="254"/>
        <v>_HIG_1_</v>
      </c>
      <c r="GW20" s="37">
        <v>10000</v>
      </c>
      <c r="GX20" s="37">
        <v>1</v>
      </c>
      <c r="GY20" s="37">
        <v>1</v>
      </c>
      <c r="GZ20" s="37">
        <v>1</v>
      </c>
      <c r="HA20" s="37">
        <v>20</v>
      </c>
      <c r="HD20" s="37" t="str">
        <f t="shared" ref="HD20:HH20" si="255">VLOOKUP(HD75,$B$114:$C$126,2,FALSE)</f>
        <v>_COI_1_</v>
      </c>
      <c r="HE20" s="37" t="str">
        <f t="shared" si="255"/>
        <v>_low_3_</v>
      </c>
      <c r="HF20" s="37" t="str">
        <f t="shared" si="255"/>
        <v>_COI_1_</v>
      </c>
      <c r="HG20" s="37" t="str">
        <f t="shared" si="255"/>
        <v>_COI_1_</v>
      </c>
      <c r="HH20" s="37" t="str">
        <f t="shared" si="255"/>
        <v>_HIG_1_</v>
      </c>
      <c r="HK20" s="37">
        <v>1</v>
      </c>
      <c r="HL20" s="37">
        <v>1</v>
      </c>
      <c r="HM20" s="37">
        <v>1</v>
      </c>
      <c r="HN20" s="37">
        <v>1</v>
      </c>
      <c r="HO20" s="37">
        <v>20</v>
      </c>
    </row>
    <row r="21" spans="1:223" x14ac:dyDescent="0.35">
      <c r="A21" s="37">
        <v>17</v>
      </c>
      <c r="B21" s="37" t="str">
        <f t="shared" ref="B21:F21" si="256">VLOOKUP(B76,$B$114:$C$126,2,FALSE)</f>
        <v>_low_3_</v>
      </c>
      <c r="C21" s="37" t="str">
        <f t="shared" si="256"/>
        <v>_COI_1_</v>
      </c>
      <c r="D21" s="37" t="str">
        <f t="shared" si="256"/>
        <v>_low_4_</v>
      </c>
      <c r="E21" s="37" t="str">
        <f t="shared" si="256"/>
        <v>_HIG_2_</v>
      </c>
      <c r="F21" s="37" t="str">
        <f t="shared" si="256"/>
        <v>_low_3_</v>
      </c>
      <c r="I21" s="60">
        <v>1</v>
      </c>
      <c r="J21" s="60">
        <v>1</v>
      </c>
      <c r="K21" s="60">
        <v>1</v>
      </c>
      <c r="L21" s="60">
        <v>1</v>
      </c>
      <c r="M21" s="60">
        <v>20</v>
      </c>
      <c r="P21" s="37" t="str">
        <f t="shared" ref="P21:T21" si="257">VLOOKUP(P76,$B$114:$C$126,2,FALSE)</f>
        <v>_low_3_</v>
      </c>
      <c r="Q21" s="37" t="str">
        <f t="shared" si="257"/>
        <v>_COI_1_</v>
      </c>
      <c r="R21" s="37" t="str">
        <f t="shared" si="257"/>
        <v>_low_4_</v>
      </c>
      <c r="S21" s="37" t="str">
        <f t="shared" si="257"/>
        <v>_HIG_2_</v>
      </c>
      <c r="T21" s="37" t="str">
        <f t="shared" si="257"/>
        <v>_low_3_</v>
      </c>
      <c r="W21" s="37">
        <v>1</v>
      </c>
      <c r="X21" s="37">
        <v>1</v>
      </c>
      <c r="Y21" s="37">
        <v>1</v>
      </c>
      <c r="Z21" s="37">
        <v>1</v>
      </c>
      <c r="AA21" s="37">
        <v>20</v>
      </c>
      <c r="AD21" s="37" t="str">
        <f t="shared" ref="AD21:AH21" si="258">VLOOKUP(AD76,$B$114:$C$126,2,FALSE)</f>
        <v>_low_3_</v>
      </c>
      <c r="AE21" s="37" t="str">
        <f t="shared" si="258"/>
        <v>_COI_1_</v>
      </c>
      <c r="AF21" s="37" t="str">
        <f t="shared" si="258"/>
        <v>_low_4_</v>
      </c>
      <c r="AG21" s="37" t="str">
        <f t="shared" si="258"/>
        <v>_HIG_2_</v>
      </c>
      <c r="AH21" s="37" t="str">
        <f t="shared" si="258"/>
        <v>_low_3_</v>
      </c>
      <c r="AK21" s="37">
        <v>1</v>
      </c>
      <c r="AL21" s="37">
        <v>2000</v>
      </c>
      <c r="AM21" s="37">
        <v>1</v>
      </c>
      <c r="AN21" s="37">
        <v>1</v>
      </c>
      <c r="AO21" s="37">
        <v>20</v>
      </c>
      <c r="AR21" s="37" t="str">
        <f t="shared" ref="AR21:AV21" si="259">VLOOKUP(AR76,$B$114:$C$126,2,FALSE)</f>
        <v>_low_3_</v>
      </c>
      <c r="AS21" s="37" t="str">
        <f t="shared" si="259"/>
        <v>_COI_1_</v>
      </c>
      <c r="AT21" s="37" t="str">
        <f t="shared" si="259"/>
        <v>_low_4_</v>
      </c>
      <c r="AU21" s="37" t="str">
        <f t="shared" si="259"/>
        <v>_HIG_2_</v>
      </c>
      <c r="AV21" s="37" t="str">
        <f t="shared" si="259"/>
        <v>_low_3_</v>
      </c>
      <c r="AY21" s="37">
        <v>1</v>
      </c>
      <c r="AZ21" s="37">
        <v>4000</v>
      </c>
      <c r="BA21" s="37">
        <v>1</v>
      </c>
      <c r="BB21" s="37">
        <v>1</v>
      </c>
      <c r="BC21" s="37">
        <v>20</v>
      </c>
      <c r="BF21" s="37" t="str">
        <f t="shared" ref="BF21:BJ21" si="260">VLOOKUP(BF76,$B$114:$C$126,2,FALSE)</f>
        <v>_low_3_</v>
      </c>
      <c r="BG21" s="37" t="str">
        <f t="shared" si="260"/>
        <v>_COI_1_</v>
      </c>
      <c r="BH21" s="37" t="str">
        <f t="shared" si="260"/>
        <v>_low_4_</v>
      </c>
      <c r="BI21" s="37" t="str">
        <f t="shared" si="260"/>
        <v>_HIG_2_</v>
      </c>
      <c r="BJ21" s="37" t="str">
        <f t="shared" si="260"/>
        <v>_low_3_</v>
      </c>
      <c r="BM21" s="37">
        <v>1</v>
      </c>
      <c r="BN21" s="37">
        <v>5000</v>
      </c>
      <c r="BO21" s="37">
        <v>1</v>
      </c>
      <c r="BP21" s="37">
        <v>1</v>
      </c>
      <c r="BQ21" s="37">
        <v>20</v>
      </c>
      <c r="BT21" s="37" t="str">
        <f t="shared" ref="BT21:BX21" si="261">VLOOKUP(BT76,$B$114:$C$126,2,FALSE)</f>
        <v>_low_3_</v>
      </c>
      <c r="BU21" s="37" t="str">
        <f t="shared" si="261"/>
        <v>_COI_1_</v>
      </c>
      <c r="BV21" s="37" t="str">
        <f t="shared" si="261"/>
        <v>_low_4_</v>
      </c>
      <c r="BW21" s="37" t="str">
        <f t="shared" si="261"/>
        <v>_HIG_2_</v>
      </c>
      <c r="BX21" s="37" t="str">
        <f t="shared" si="261"/>
        <v>_low_3_</v>
      </c>
      <c r="CA21" s="37">
        <v>1</v>
      </c>
      <c r="CB21" s="37">
        <v>4000</v>
      </c>
      <c r="CC21" s="37">
        <v>1</v>
      </c>
      <c r="CD21" s="37">
        <v>1</v>
      </c>
      <c r="CE21" s="37">
        <v>20</v>
      </c>
      <c r="CH21" s="37" t="str">
        <f t="shared" ref="CH21:CL21" si="262">VLOOKUP(CH76,$B$114:$C$126,2,FALSE)</f>
        <v>_low_3_</v>
      </c>
      <c r="CI21" s="37" t="str">
        <f t="shared" si="262"/>
        <v>_COI_1_</v>
      </c>
      <c r="CJ21" s="37" t="str">
        <f t="shared" si="262"/>
        <v>_low_4_</v>
      </c>
      <c r="CK21" s="37" t="str">
        <f t="shared" si="262"/>
        <v>_HIG_2_</v>
      </c>
      <c r="CL21" s="37" t="str">
        <f t="shared" si="262"/>
        <v>_low_3_</v>
      </c>
      <c r="CO21" s="37">
        <v>1</v>
      </c>
      <c r="CP21" s="37">
        <v>1</v>
      </c>
      <c r="CQ21" s="37">
        <v>1</v>
      </c>
      <c r="CR21" s="37">
        <v>1</v>
      </c>
      <c r="CS21" s="37">
        <v>20</v>
      </c>
      <c r="CV21" s="37" t="str">
        <f t="shared" ref="CV21:CZ21" si="263">VLOOKUP(CV76,$B$114:$C$126,2,FALSE)</f>
        <v>_low_3_</v>
      </c>
      <c r="CW21" s="37" t="str">
        <f t="shared" si="263"/>
        <v>_COI_1_</v>
      </c>
      <c r="CX21" s="37" t="str">
        <f t="shared" si="263"/>
        <v>_low_4_</v>
      </c>
      <c r="CY21" s="37" t="str">
        <f t="shared" si="263"/>
        <v>_HIG_2_</v>
      </c>
      <c r="CZ21" s="37" t="str">
        <f t="shared" si="263"/>
        <v>_low_3_</v>
      </c>
      <c r="DC21" s="37">
        <v>1</v>
      </c>
      <c r="DD21" s="37">
        <v>4000</v>
      </c>
      <c r="DE21" s="37">
        <v>1</v>
      </c>
      <c r="DF21" s="37">
        <v>1</v>
      </c>
      <c r="DG21" s="37">
        <v>20</v>
      </c>
      <c r="DJ21" s="37" t="str">
        <f t="shared" ref="DJ21:DN21" si="264">VLOOKUP(DJ76,$B$114:$C$126,2,FALSE)</f>
        <v>_low_3_</v>
      </c>
      <c r="DK21" s="37" t="str">
        <f t="shared" si="264"/>
        <v>_COI_1_</v>
      </c>
      <c r="DL21" s="37" t="str">
        <f t="shared" si="264"/>
        <v>_low_4_</v>
      </c>
      <c r="DM21" s="37" t="str">
        <f t="shared" si="264"/>
        <v>_HIG_2_</v>
      </c>
      <c r="DN21" s="37" t="str">
        <f t="shared" si="264"/>
        <v>_low_3_</v>
      </c>
      <c r="DQ21" s="37">
        <v>1</v>
      </c>
      <c r="DR21" s="37">
        <v>1</v>
      </c>
      <c r="DS21" s="37">
        <v>1</v>
      </c>
      <c r="DT21" s="37">
        <v>1</v>
      </c>
      <c r="DU21" s="37">
        <v>20</v>
      </c>
      <c r="DX21" s="37" t="str">
        <f t="shared" ref="DX21:EB21" si="265">VLOOKUP(DX76,$B$114:$C$126,2,FALSE)</f>
        <v>_low_3_</v>
      </c>
      <c r="DY21" s="37" t="str">
        <f t="shared" si="265"/>
        <v>_COI_1_</v>
      </c>
      <c r="DZ21" s="37" t="str">
        <f t="shared" si="265"/>
        <v>_low_4_</v>
      </c>
      <c r="EA21" s="37" t="str">
        <f t="shared" si="265"/>
        <v>_HIG_2_</v>
      </c>
      <c r="EB21" s="37" t="str">
        <f t="shared" si="265"/>
        <v>_low_3_</v>
      </c>
      <c r="EE21" s="37">
        <v>1</v>
      </c>
      <c r="EF21" s="37">
        <v>1</v>
      </c>
      <c r="EG21" s="37">
        <v>1</v>
      </c>
      <c r="EH21" s="37">
        <v>1</v>
      </c>
      <c r="EI21" s="37">
        <v>20</v>
      </c>
      <c r="EL21" s="37" t="str">
        <f t="shared" ref="EL21:EP21" si="266">VLOOKUP(EL76,$B$114:$C$126,2,FALSE)</f>
        <v>_low_3_</v>
      </c>
      <c r="EM21" s="37" t="str">
        <f t="shared" si="266"/>
        <v>_COI_1_</v>
      </c>
      <c r="EN21" s="37" t="str">
        <f t="shared" si="266"/>
        <v>_low_4_</v>
      </c>
      <c r="EO21" s="37" t="str">
        <f t="shared" si="266"/>
        <v>_HIG_2_</v>
      </c>
      <c r="EP21" s="37" t="str">
        <f t="shared" si="266"/>
        <v>_low_3_</v>
      </c>
      <c r="ES21" s="37">
        <v>1</v>
      </c>
      <c r="ET21" s="37">
        <v>1</v>
      </c>
      <c r="EU21" s="37">
        <v>1</v>
      </c>
      <c r="EV21" s="37">
        <v>1</v>
      </c>
      <c r="EW21" s="37">
        <v>20</v>
      </c>
      <c r="EZ21" s="37" t="str">
        <f t="shared" ref="EZ21:FD21" si="267">VLOOKUP(EZ76,$B$114:$C$126,2,FALSE)</f>
        <v>_low_3_</v>
      </c>
      <c r="FA21" s="37" t="str">
        <f t="shared" si="267"/>
        <v>_COI_1_</v>
      </c>
      <c r="FB21" s="37" t="str">
        <f t="shared" si="267"/>
        <v>_low_4_</v>
      </c>
      <c r="FC21" s="37" t="str">
        <f t="shared" si="267"/>
        <v>_HIG_2_</v>
      </c>
      <c r="FD21" s="37" t="str">
        <f t="shared" si="267"/>
        <v>_low_3_</v>
      </c>
      <c r="FG21" s="37">
        <v>1</v>
      </c>
      <c r="FH21" s="37">
        <v>1</v>
      </c>
      <c r="FI21" s="37">
        <v>1</v>
      </c>
      <c r="FJ21" s="37">
        <v>1</v>
      </c>
      <c r="FK21" s="37">
        <v>20</v>
      </c>
      <c r="FN21" s="37" t="str">
        <f t="shared" ref="FN21:FR21" si="268">VLOOKUP(FN76,$B$114:$C$126,2,FALSE)</f>
        <v>_low_3_</v>
      </c>
      <c r="FO21" s="37" t="str">
        <f t="shared" si="268"/>
        <v>_COI_1_</v>
      </c>
      <c r="FP21" s="37" t="str">
        <f t="shared" si="268"/>
        <v>_low_4_</v>
      </c>
      <c r="FQ21" s="37" t="str">
        <f t="shared" si="268"/>
        <v>_HIG_2_</v>
      </c>
      <c r="FR21" s="37" t="str">
        <f t="shared" si="268"/>
        <v>_low_3_</v>
      </c>
      <c r="FU21" s="37">
        <v>1</v>
      </c>
      <c r="FV21" s="37">
        <v>4000</v>
      </c>
      <c r="FW21" s="37">
        <v>1</v>
      </c>
      <c r="FX21" s="37">
        <v>1</v>
      </c>
      <c r="FY21" s="37">
        <v>20</v>
      </c>
      <c r="GB21" s="37" t="str">
        <f t="shared" ref="GB21:GF21" si="269">VLOOKUP(GB76,$B$114:$C$126,2,FALSE)</f>
        <v>_low_3_</v>
      </c>
      <c r="GC21" s="37" t="str">
        <f t="shared" si="269"/>
        <v>_COI_1_</v>
      </c>
      <c r="GD21" s="37" t="str">
        <f t="shared" si="269"/>
        <v>_low_4_</v>
      </c>
      <c r="GE21" s="37" t="str">
        <f t="shared" si="269"/>
        <v>_HIG_2_</v>
      </c>
      <c r="GF21" s="37" t="str">
        <f t="shared" si="269"/>
        <v>_low_3_</v>
      </c>
      <c r="GI21" s="37">
        <v>1</v>
      </c>
      <c r="GJ21" s="37">
        <v>1</v>
      </c>
      <c r="GK21" s="37">
        <v>1</v>
      </c>
      <c r="GL21" s="37">
        <v>1</v>
      </c>
      <c r="GM21" s="37">
        <v>20</v>
      </c>
      <c r="GP21" s="37" t="str">
        <f t="shared" ref="GP21:GT21" si="270">VLOOKUP(GP76,$B$114:$C$126,2,FALSE)</f>
        <v>_low_3_</v>
      </c>
      <c r="GQ21" s="37" t="str">
        <f t="shared" si="270"/>
        <v>_COI_1_</v>
      </c>
      <c r="GR21" s="37" t="str">
        <f t="shared" si="270"/>
        <v>_low_4_</v>
      </c>
      <c r="GS21" s="37" t="str">
        <f t="shared" si="270"/>
        <v>_HIG_2_</v>
      </c>
      <c r="GT21" s="37" t="str">
        <f t="shared" si="270"/>
        <v>_low_3_</v>
      </c>
      <c r="GW21" s="37">
        <v>1</v>
      </c>
      <c r="GX21" s="37">
        <v>1</v>
      </c>
      <c r="GY21" s="37">
        <v>1</v>
      </c>
      <c r="GZ21" s="37">
        <v>1</v>
      </c>
      <c r="HA21" s="37">
        <v>20</v>
      </c>
      <c r="HD21" s="37" t="str">
        <f t="shared" ref="HD21:HH21" si="271">VLOOKUP(HD76,$B$114:$C$126,2,FALSE)</f>
        <v>_low_3_</v>
      </c>
      <c r="HE21" s="37" t="str">
        <f t="shared" si="271"/>
        <v>_COI_1_</v>
      </c>
      <c r="HF21" s="37" t="str">
        <f t="shared" si="271"/>
        <v>_low_4_</v>
      </c>
      <c r="HG21" s="37" t="str">
        <f t="shared" si="271"/>
        <v>_HIG_2_</v>
      </c>
      <c r="HH21" s="37" t="str">
        <f t="shared" si="271"/>
        <v>_low_3_</v>
      </c>
      <c r="HK21" s="37">
        <v>1</v>
      </c>
      <c r="HL21" s="37">
        <v>1</v>
      </c>
      <c r="HM21" s="37">
        <v>1</v>
      </c>
      <c r="HN21" s="37">
        <v>1</v>
      </c>
      <c r="HO21" s="37">
        <v>20</v>
      </c>
    </row>
    <row r="22" spans="1:223" x14ac:dyDescent="0.35">
      <c r="A22" s="37">
        <v>18</v>
      </c>
      <c r="B22" s="37" t="str">
        <f t="shared" ref="B22:F22" si="272">VLOOKUP(B77,$B$114:$C$126,2,FALSE)</f>
        <v>_low_4_</v>
      </c>
      <c r="C22" s="37" t="str">
        <f t="shared" si="272"/>
        <v>_low_4_</v>
      </c>
      <c r="D22" s="37" t="str">
        <f t="shared" si="272"/>
        <v>_low_2_</v>
      </c>
      <c r="E22" s="37" t="str">
        <f t="shared" si="272"/>
        <v>_low_4_</v>
      </c>
      <c r="F22" s="37" t="str">
        <f t="shared" si="272"/>
        <v>_HIG_4_</v>
      </c>
      <c r="I22" s="60">
        <v>20</v>
      </c>
      <c r="J22" s="60">
        <v>1</v>
      </c>
      <c r="K22" s="60">
        <v>20</v>
      </c>
      <c r="L22" s="60">
        <v>20</v>
      </c>
      <c r="M22" s="60">
        <v>20</v>
      </c>
      <c r="P22" s="37" t="str">
        <f t="shared" ref="P22:T22" si="273">VLOOKUP(P77,$B$114:$C$126,2,FALSE)</f>
        <v>_low_4_</v>
      </c>
      <c r="Q22" s="37" t="str">
        <f t="shared" si="273"/>
        <v>_low_4_</v>
      </c>
      <c r="R22" s="37" t="str">
        <f t="shared" si="273"/>
        <v>_low_2_</v>
      </c>
      <c r="S22" s="37" t="str">
        <f t="shared" si="273"/>
        <v>_low_4_</v>
      </c>
      <c r="T22" s="37" t="str">
        <f t="shared" si="273"/>
        <v>_HIG_4_</v>
      </c>
      <c r="W22" s="37">
        <v>20</v>
      </c>
      <c r="X22" s="37">
        <v>1</v>
      </c>
      <c r="Y22" s="37">
        <v>20</v>
      </c>
      <c r="Z22" s="37">
        <v>20</v>
      </c>
      <c r="AA22" s="37">
        <v>20</v>
      </c>
      <c r="AD22" s="37" t="str">
        <f t="shared" ref="AD22:AH22" si="274">VLOOKUP(AD77,$B$114:$C$126,2,FALSE)</f>
        <v>_low_4_</v>
      </c>
      <c r="AE22" s="37" t="str">
        <f t="shared" si="274"/>
        <v>_low_4_</v>
      </c>
      <c r="AF22" s="37" t="str">
        <f t="shared" si="274"/>
        <v>_low_2_</v>
      </c>
      <c r="AG22" s="37" t="str">
        <f t="shared" si="274"/>
        <v>_low_4_</v>
      </c>
      <c r="AH22" s="37" t="str">
        <f t="shared" si="274"/>
        <v>_HIG_4_</v>
      </c>
      <c r="AK22" s="37">
        <v>20</v>
      </c>
      <c r="AL22" s="37">
        <v>2000</v>
      </c>
      <c r="AM22" s="37">
        <v>20</v>
      </c>
      <c r="AN22" s="37">
        <v>20</v>
      </c>
      <c r="AO22" s="37">
        <v>20</v>
      </c>
      <c r="AR22" s="37" t="str">
        <f t="shared" ref="AR22:AV22" si="275">VLOOKUP(AR77,$B$114:$C$126,2,FALSE)</f>
        <v>_low_4_</v>
      </c>
      <c r="AS22" s="37" t="str">
        <f t="shared" si="275"/>
        <v>_low_4_</v>
      </c>
      <c r="AT22" s="37" t="str">
        <f t="shared" si="275"/>
        <v>_low_2_</v>
      </c>
      <c r="AU22" s="37" t="str">
        <f t="shared" si="275"/>
        <v>_low_4_</v>
      </c>
      <c r="AV22" s="37" t="str">
        <f t="shared" si="275"/>
        <v>_HIG_4_</v>
      </c>
      <c r="AY22" s="37">
        <v>20</v>
      </c>
      <c r="AZ22" s="37">
        <v>4000</v>
      </c>
      <c r="BA22" s="37">
        <v>20</v>
      </c>
      <c r="BB22" s="37">
        <v>20</v>
      </c>
      <c r="BC22" s="37">
        <v>20</v>
      </c>
      <c r="BF22" s="37" t="str">
        <f t="shared" ref="BF22:BJ22" si="276">VLOOKUP(BF77,$B$114:$C$126,2,FALSE)</f>
        <v>_low_4_</v>
      </c>
      <c r="BG22" s="37" t="str">
        <f t="shared" si="276"/>
        <v>_low_4_</v>
      </c>
      <c r="BH22" s="37" t="str">
        <f t="shared" si="276"/>
        <v>_low_2_</v>
      </c>
      <c r="BI22" s="37" t="str">
        <f t="shared" si="276"/>
        <v>_low_4_</v>
      </c>
      <c r="BJ22" s="37" t="str">
        <f t="shared" si="276"/>
        <v>_HIG_4_</v>
      </c>
      <c r="BM22" s="37">
        <v>20</v>
      </c>
      <c r="BN22" s="37">
        <v>5000</v>
      </c>
      <c r="BO22" s="37">
        <v>20</v>
      </c>
      <c r="BP22" s="37">
        <v>20</v>
      </c>
      <c r="BQ22" s="37">
        <v>20</v>
      </c>
      <c r="BT22" s="37" t="str">
        <f t="shared" ref="BT22:BX22" si="277">VLOOKUP(BT77,$B$114:$C$126,2,FALSE)</f>
        <v>_low_4_</v>
      </c>
      <c r="BU22" s="37" t="str">
        <f t="shared" si="277"/>
        <v>_low_4_</v>
      </c>
      <c r="BV22" s="37" t="str">
        <f t="shared" si="277"/>
        <v>_low_2_</v>
      </c>
      <c r="BW22" s="37" t="str">
        <f t="shared" si="277"/>
        <v>_low_4_</v>
      </c>
      <c r="BX22" s="37" t="str">
        <f t="shared" si="277"/>
        <v>_HIG_4_</v>
      </c>
      <c r="CA22" s="37">
        <v>20</v>
      </c>
      <c r="CB22" s="37">
        <v>4000</v>
      </c>
      <c r="CC22" s="37">
        <v>20</v>
      </c>
      <c r="CD22" s="37">
        <v>20</v>
      </c>
      <c r="CE22" s="37">
        <v>20</v>
      </c>
      <c r="CH22" s="37" t="str">
        <f t="shared" ref="CH22:CL22" si="278">VLOOKUP(CH77,$B$114:$C$126,2,FALSE)</f>
        <v>_low_4_</v>
      </c>
      <c r="CI22" s="37" t="str">
        <f t="shared" si="278"/>
        <v>_low_4_</v>
      </c>
      <c r="CJ22" s="37" t="str">
        <f t="shared" si="278"/>
        <v>_low_2_</v>
      </c>
      <c r="CK22" s="37" t="str">
        <f t="shared" si="278"/>
        <v>_low_4_</v>
      </c>
      <c r="CL22" s="37" t="str">
        <f t="shared" si="278"/>
        <v>_HIG_4_</v>
      </c>
      <c r="CO22" s="37">
        <v>20</v>
      </c>
      <c r="CP22" s="37">
        <v>1</v>
      </c>
      <c r="CQ22" s="37">
        <v>20</v>
      </c>
      <c r="CR22" s="37">
        <v>20</v>
      </c>
      <c r="CS22" s="37">
        <v>20</v>
      </c>
      <c r="CV22" s="37" t="str">
        <f t="shared" ref="CV22:CZ22" si="279">VLOOKUP(CV77,$B$114:$C$126,2,FALSE)</f>
        <v>_low_4_</v>
      </c>
      <c r="CW22" s="37" t="str">
        <f t="shared" si="279"/>
        <v>_low_4_</v>
      </c>
      <c r="CX22" s="37" t="str">
        <f t="shared" si="279"/>
        <v>_low_2_</v>
      </c>
      <c r="CY22" s="37" t="str">
        <f t="shared" si="279"/>
        <v>_low_4_</v>
      </c>
      <c r="CZ22" s="37" t="str">
        <f t="shared" si="279"/>
        <v>_HIG_4_</v>
      </c>
      <c r="DC22" s="37">
        <v>20</v>
      </c>
      <c r="DD22" s="37">
        <v>4000</v>
      </c>
      <c r="DE22" s="37">
        <v>20</v>
      </c>
      <c r="DF22" s="37">
        <v>20</v>
      </c>
      <c r="DG22" s="37">
        <v>20</v>
      </c>
      <c r="DJ22" s="37" t="str">
        <f t="shared" ref="DJ22:DN22" si="280">VLOOKUP(DJ77,$B$114:$C$126,2,FALSE)</f>
        <v>_low_4_</v>
      </c>
      <c r="DK22" s="37" t="str">
        <f t="shared" si="280"/>
        <v>_low_4_</v>
      </c>
      <c r="DL22" s="37" t="str">
        <f t="shared" si="280"/>
        <v>_low_2_</v>
      </c>
      <c r="DM22" s="37" t="str">
        <f t="shared" si="280"/>
        <v>_low_4_</v>
      </c>
      <c r="DN22" s="37" t="str">
        <f t="shared" si="280"/>
        <v>_HIG_4_</v>
      </c>
      <c r="DQ22" s="37">
        <v>20</v>
      </c>
      <c r="DR22" s="37">
        <v>1</v>
      </c>
      <c r="DS22" s="37">
        <v>20</v>
      </c>
      <c r="DT22" s="37">
        <v>20</v>
      </c>
      <c r="DU22" s="37">
        <v>20</v>
      </c>
      <c r="DX22" s="37" t="str">
        <f t="shared" ref="DX22:EB22" si="281">VLOOKUP(DX77,$B$114:$C$126,2,FALSE)</f>
        <v>_low_4_</v>
      </c>
      <c r="DY22" s="37" t="str">
        <f t="shared" si="281"/>
        <v>_low_4_</v>
      </c>
      <c r="DZ22" s="37" t="str">
        <f t="shared" si="281"/>
        <v>_low_2_</v>
      </c>
      <c r="EA22" s="37" t="str">
        <f t="shared" si="281"/>
        <v>_low_4_</v>
      </c>
      <c r="EB22" s="37" t="str">
        <f t="shared" si="281"/>
        <v>_HIG_4_</v>
      </c>
      <c r="EE22" s="37">
        <v>20</v>
      </c>
      <c r="EF22" s="37">
        <v>1</v>
      </c>
      <c r="EG22" s="37">
        <v>20</v>
      </c>
      <c r="EH22" s="37">
        <v>20</v>
      </c>
      <c r="EI22" s="37">
        <v>20</v>
      </c>
      <c r="EL22" s="37" t="str">
        <f t="shared" ref="EL22:EP22" si="282">VLOOKUP(EL77,$B$114:$C$126,2,FALSE)</f>
        <v>_low_4_</v>
      </c>
      <c r="EM22" s="37" t="str">
        <f t="shared" si="282"/>
        <v>_low_4_</v>
      </c>
      <c r="EN22" s="37" t="str">
        <f t="shared" si="282"/>
        <v>_low_2_</v>
      </c>
      <c r="EO22" s="37" t="str">
        <f t="shared" si="282"/>
        <v>_low_4_</v>
      </c>
      <c r="EP22" s="37" t="str">
        <f t="shared" si="282"/>
        <v>_HIG_4_</v>
      </c>
      <c r="ES22" s="37">
        <v>20</v>
      </c>
      <c r="ET22" s="37">
        <v>1</v>
      </c>
      <c r="EU22" s="37">
        <v>20</v>
      </c>
      <c r="EV22" s="37">
        <v>20</v>
      </c>
      <c r="EW22" s="37">
        <v>20</v>
      </c>
      <c r="EZ22" s="37" t="str">
        <f t="shared" ref="EZ22:FD22" si="283">VLOOKUP(EZ77,$B$114:$C$126,2,FALSE)</f>
        <v>_low_4_</v>
      </c>
      <c r="FA22" s="37" t="str">
        <f t="shared" si="283"/>
        <v>_low_4_</v>
      </c>
      <c r="FB22" s="37" t="str">
        <f t="shared" si="283"/>
        <v>_low_2_</v>
      </c>
      <c r="FC22" s="37" t="str">
        <f t="shared" si="283"/>
        <v>_low_4_</v>
      </c>
      <c r="FD22" s="37" t="str">
        <f t="shared" si="283"/>
        <v>_HIG_4_</v>
      </c>
      <c r="FG22" s="37">
        <v>20</v>
      </c>
      <c r="FH22" s="37">
        <v>1</v>
      </c>
      <c r="FI22" s="37">
        <v>20</v>
      </c>
      <c r="FJ22" s="37">
        <v>20</v>
      </c>
      <c r="FK22" s="37">
        <v>20</v>
      </c>
      <c r="FN22" s="37" t="str">
        <f t="shared" ref="FN22:FR22" si="284">VLOOKUP(FN77,$B$114:$C$126,2,FALSE)</f>
        <v>_low_4_</v>
      </c>
      <c r="FO22" s="37" t="str">
        <f t="shared" si="284"/>
        <v>_low_4_</v>
      </c>
      <c r="FP22" s="37" t="str">
        <f t="shared" si="284"/>
        <v>_low_2_</v>
      </c>
      <c r="FQ22" s="37" t="str">
        <f t="shared" si="284"/>
        <v>_low_4_</v>
      </c>
      <c r="FR22" s="37" t="str">
        <f t="shared" si="284"/>
        <v>_HIG_4_</v>
      </c>
      <c r="FU22" s="37">
        <v>20</v>
      </c>
      <c r="FV22" s="37">
        <v>4000</v>
      </c>
      <c r="FW22" s="37">
        <v>20</v>
      </c>
      <c r="FX22" s="37">
        <v>20</v>
      </c>
      <c r="FY22" s="37">
        <v>20</v>
      </c>
      <c r="GB22" s="37" t="str">
        <f t="shared" ref="GB22:GF22" si="285">VLOOKUP(GB77,$B$114:$C$126,2,FALSE)</f>
        <v>_low_4_</v>
      </c>
      <c r="GC22" s="37" t="str">
        <f t="shared" si="285"/>
        <v>_low_4_</v>
      </c>
      <c r="GD22" s="37" t="str">
        <f t="shared" si="285"/>
        <v>_low_2_</v>
      </c>
      <c r="GE22" s="37" t="str">
        <f t="shared" si="285"/>
        <v>_low_4_</v>
      </c>
      <c r="GF22" s="37" t="str">
        <f t="shared" si="285"/>
        <v>_HIG_4_</v>
      </c>
      <c r="GI22" s="37">
        <v>20</v>
      </c>
      <c r="GJ22" s="37">
        <v>1</v>
      </c>
      <c r="GK22" s="37">
        <v>20</v>
      </c>
      <c r="GL22" s="37">
        <v>20</v>
      </c>
      <c r="GM22" s="37">
        <v>20</v>
      </c>
      <c r="GP22" s="37" t="str">
        <f t="shared" ref="GP22:GT22" si="286">VLOOKUP(GP77,$B$114:$C$126,2,FALSE)</f>
        <v>_low_4_</v>
      </c>
      <c r="GQ22" s="37" t="str">
        <f t="shared" si="286"/>
        <v>_low_4_</v>
      </c>
      <c r="GR22" s="37" t="str">
        <f t="shared" si="286"/>
        <v>_low_2_</v>
      </c>
      <c r="GS22" s="37" t="str">
        <f t="shared" si="286"/>
        <v>_low_4_</v>
      </c>
      <c r="GT22" s="37" t="str">
        <f t="shared" si="286"/>
        <v>_HIG_4_</v>
      </c>
      <c r="GW22" s="37">
        <v>20</v>
      </c>
      <c r="GX22" s="37">
        <v>1</v>
      </c>
      <c r="GY22" s="37">
        <v>20</v>
      </c>
      <c r="GZ22" s="37">
        <v>20</v>
      </c>
      <c r="HA22" s="37">
        <v>20</v>
      </c>
      <c r="HD22" s="37" t="str">
        <f t="shared" ref="HD22:HH22" si="287">VLOOKUP(HD77,$B$114:$C$126,2,FALSE)</f>
        <v>_low_4_</v>
      </c>
      <c r="HE22" s="37" t="str">
        <f t="shared" si="287"/>
        <v>_low_4_</v>
      </c>
      <c r="HF22" s="37" t="str">
        <f t="shared" si="287"/>
        <v>_low_2_</v>
      </c>
      <c r="HG22" s="37" t="str">
        <f t="shared" si="287"/>
        <v>_low_4_</v>
      </c>
      <c r="HH22" s="37" t="str">
        <f t="shared" si="287"/>
        <v>_HIG_4_</v>
      </c>
      <c r="HK22" s="37">
        <v>20</v>
      </c>
      <c r="HL22" s="37">
        <v>1</v>
      </c>
      <c r="HM22" s="37">
        <v>20</v>
      </c>
      <c r="HN22" s="37">
        <v>20</v>
      </c>
      <c r="HO22" s="37">
        <v>20</v>
      </c>
    </row>
    <row r="23" spans="1:223" x14ac:dyDescent="0.35">
      <c r="A23" s="37">
        <v>19</v>
      </c>
      <c r="B23" s="37" t="str">
        <f t="shared" ref="B23:F23" si="288">VLOOKUP(B78,$B$114:$C$126,2,FALSE)</f>
        <v>_low_4_</v>
      </c>
      <c r="C23" s="37" t="str">
        <f t="shared" si="288"/>
        <v>_low_1_</v>
      </c>
      <c r="D23" s="37" t="str">
        <f t="shared" si="288"/>
        <v>_low_5_</v>
      </c>
      <c r="E23" s="37" t="str">
        <f t="shared" si="288"/>
        <v>_HIG_1_</v>
      </c>
      <c r="F23" s="37" t="str">
        <f t="shared" si="288"/>
        <v>_low_4_</v>
      </c>
      <c r="I23" s="60">
        <v>20</v>
      </c>
      <c r="J23" s="60">
        <v>20</v>
      </c>
      <c r="K23" s="60">
        <v>20</v>
      </c>
      <c r="L23" s="60">
        <v>20</v>
      </c>
      <c r="M23" s="60">
        <v>20</v>
      </c>
      <c r="P23" s="37" t="str">
        <f t="shared" ref="P23:T23" si="289">VLOOKUP(P78,$B$114:$C$126,2,FALSE)</f>
        <v>_low_4_</v>
      </c>
      <c r="Q23" s="37" t="str">
        <f t="shared" si="289"/>
        <v>_low_1_</v>
      </c>
      <c r="R23" s="37" t="str">
        <f t="shared" si="289"/>
        <v>_low_5_</v>
      </c>
      <c r="S23" s="37" t="str">
        <f t="shared" si="289"/>
        <v>_HIG_1_</v>
      </c>
      <c r="T23" s="37" t="str">
        <f t="shared" si="289"/>
        <v>_low_4_</v>
      </c>
      <c r="W23" s="37">
        <v>20</v>
      </c>
      <c r="X23" s="37">
        <v>20</v>
      </c>
      <c r="Y23" s="37">
        <v>20</v>
      </c>
      <c r="Z23" s="37">
        <v>20</v>
      </c>
      <c r="AA23" s="37">
        <v>20</v>
      </c>
      <c r="AD23" s="37" t="str">
        <f t="shared" ref="AD23:AH23" si="290">VLOOKUP(AD78,$B$114:$C$126,2,FALSE)</f>
        <v>_low_4_</v>
      </c>
      <c r="AE23" s="37" t="str">
        <f t="shared" si="290"/>
        <v>_low_1_</v>
      </c>
      <c r="AF23" s="37" t="str">
        <f t="shared" si="290"/>
        <v>_low_5_</v>
      </c>
      <c r="AG23" s="37" t="str">
        <f t="shared" si="290"/>
        <v>_HIG_1_</v>
      </c>
      <c r="AH23" s="37" t="str">
        <f t="shared" si="290"/>
        <v>_low_4_</v>
      </c>
      <c r="AK23" s="37">
        <v>20</v>
      </c>
      <c r="AL23" s="37">
        <v>20</v>
      </c>
      <c r="AM23" s="37">
        <v>20</v>
      </c>
      <c r="AN23" s="37">
        <v>20</v>
      </c>
      <c r="AO23" s="37">
        <v>20</v>
      </c>
      <c r="AR23" s="37" t="str">
        <f t="shared" ref="AR23:AV23" si="291">VLOOKUP(AR78,$B$114:$C$126,2,FALSE)</f>
        <v>_low_4_</v>
      </c>
      <c r="AS23" s="37" t="str">
        <f t="shared" si="291"/>
        <v>_low_1_</v>
      </c>
      <c r="AT23" s="37" t="str">
        <f t="shared" si="291"/>
        <v>_low_5_</v>
      </c>
      <c r="AU23" s="37" t="str">
        <f t="shared" si="291"/>
        <v>_HIG_1_</v>
      </c>
      <c r="AV23" s="37" t="str">
        <f t="shared" si="291"/>
        <v>_low_4_</v>
      </c>
      <c r="AY23" s="37">
        <v>20</v>
      </c>
      <c r="AZ23" s="37">
        <v>20</v>
      </c>
      <c r="BA23" s="37">
        <v>20</v>
      </c>
      <c r="BB23" s="37">
        <v>20</v>
      </c>
      <c r="BC23" s="37">
        <v>20</v>
      </c>
      <c r="BF23" s="37" t="str">
        <f t="shared" ref="BF23:BJ23" si="292">VLOOKUP(BF78,$B$114:$C$126,2,FALSE)</f>
        <v>_low_4_</v>
      </c>
      <c r="BG23" s="37" t="str">
        <f t="shared" si="292"/>
        <v>_low_1_</v>
      </c>
      <c r="BH23" s="37" t="str">
        <f t="shared" si="292"/>
        <v>_low_5_</v>
      </c>
      <c r="BI23" s="37" t="str">
        <f t="shared" si="292"/>
        <v>_HIG_1_</v>
      </c>
      <c r="BJ23" s="37" t="str">
        <f t="shared" si="292"/>
        <v>_low_4_</v>
      </c>
      <c r="BM23" s="37">
        <v>20</v>
      </c>
      <c r="BN23" s="37">
        <v>20</v>
      </c>
      <c r="BO23" s="37">
        <v>20</v>
      </c>
      <c r="BP23" s="37">
        <v>20</v>
      </c>
      <c r="BQ23" s="37">
        <v>20</v>
      </c>
      <c r="BT23" s="37" t="str">
        <f t="shared" ref="BT23:BX23" si="293">VLOOKUP(BT78,$B$114:$C$126,2,FALSE)</f>
        <v>_low_4_</v>
      </c>
      <c r="BU23" s="37" t="str">
        <f t="shared" si="293"/>
        <v>_low_1_</v>
      </c>
      <c r="BV23" s="37" t="str">
        <f t="shared" si="293"/>
        <v>_low_5_</v>
      </c>
      <c r="BW23" s="37" t="str">
        <f t="shared" si="293"/>
        <v>_HIG_1_</v>
      </c>
      <c r="BX23" s="37" t="str">
        <f t="shared" si="293"/>
        <v>_low_4_</v>
      </c>
      <c r="CA23" s="37">
        <v>20</v>
      </c>
      <c r="CB23" s="37">
        <v>20</v>
      </c>
      <c r="CC23" s="37">
        <v>20</v>
      </c>
      <c r="CD23" s="37">
        <v>20</v>
      </c>
      <c r="CE23" s="37">
        <v>20</v>
      </c>
      <c r="CH23" s="37" t="str">
        <f t="shared" ref="CH23:CL23" si="294">VLOOKUP(CH78,$B$114:$C$126,2,FALSE)</f>
        <v>_low_4_</v>
      </c>
      <c r="CI23" s="37" t="str">
        <f t="shared" si="294"/>
        <v>_low_1_</v>
      </c>
      <c r="CJ23" s="37" t="str">
        <f t="shared" si="294"/>
        <v>_low_5_</v>
      </c>
      <c r="CK23" s="37" t="str">
        <f t="shared" si="294"/>
        <v>_HIG_1_</v>
      </c>
      <c r="CL23" s="37" t="str">
        <f t="shared" si="294"/>
        <v>_low_4_</v>
      </c>
      <c r="CO23" s="37">
        <v>20</v>
      </c>
      <c r="CP23" s="37">
        <v>20</v>
      </c>
      <c r="CQ23" s="37">
        <v>20</v>
      </c>
      <c r="CR23" s="37">
        <v>20</v>
      </c>
      <c r="CS23" s="37">
        <v>20</v>
      </c>
      <c r="CV23" s="37" t="str">
        <f t="shared" ref="CV23:CZ23" si="295">VLOOKUP(CV78,$B$114:$C$126,2,FALSE)</f>
        <v>_low_4_</v>
      </c>
      <c r="CW23" s="37" t="str">
        <f t="shared" si="295"/>
        <v>_low_1_</v>
      </c>
      <c r="CX23" s="37" t="str">
        <f t="shared" si="295"/>
        <v>_low_5_</v>
      </c>
      <c r="CY23" s="37" t="str">
        <f t="shared" si="295"/>
        <v>_HIG_1_</v>
      </c>
      <c r="CZ23" s="37" t="str">
        <f t="shared" si="295"/>
        <v>_low_4_</v>
      </c>
      <c r="DC23" s="37">
        <v>20</v>
      </c>
      <c r="DD23" s="37">
        <v>20</v>
      </c>
      <c r="DE23" s="37">
        <v>20</v>
      </c>
      <c r="DF23" s="37">
        <v>20</v>
      </c>
      <c r="DG23" s="37">
        <v>20</v>
      </c>
      <c r="DJ23" s="37" t="str">
        <f t="shared" ref="DJ23:DN23" si="296">VLOOKUP(DJ78,$B$114:$C$126,2,FALSE)</f>
        <v>_low_4_</v>
      </c>
      <c r="DK23" s="37" t="str">
        <f t="shared" si="296"/>
        <v>_low_1_</v>
      </c>
      <c r="DL23" s="37" t="str">
        <f t="shared" si="296"/>
        <v>_low_5_</v>
      </c>
      <c r="DM23" s="37" t="str">
        <f t="shared" si="296"/>
        <v>_HIG_1_</v>
      </c>
      <c r="DN23" s="37" t="str">
        <f t="shared" si="296"/>
        <v>_low_4_</v>
      </c>
      <c r="DQ23" s="37">
        <v>20</v>
      </c>
      <c r="DR23" s="37">
        <v>20</v>
      </c>
      <c r="DS23" s="37">
        <v>20</v>
      </c>
      <c r="DT23" s="37">
        <v>20</v>
      </c>
      <c r="DU23" s="37">
        <v>20</v>
      </c>
      <c r="DX23" s="37" t="str">
        <f t="shared" ref="DX23:EB23" si="297">VLOOKUP(DX78,$B$114:$C$126,2,FALSE)</f>
        <v>_low_4_</v>
      </c>
      <c r="DY23" s="37" t="str">
        <f t="shared" si="297"/>
        <v>_low_1_</v>
      </c>
      <c r="DZ23" s="37" t="str">
        <f t="shared" si="297"/>
        <v>_low_5_</v>
      </c>
      <c r="EA23" s="37" t="str">
        <f t="shared" si="297"/>
        <v>_HIG_1_</v>
      </c>
      <c r="EB23" s="37" t="str">
        <f t="shared" si="297"/>
        <v>_low_4_</v>
      </c>
      <c r="EE23" s="37">
        <v>20</v>
      </c>
      <c r="EF23" s="37">
        <v>20</v>
      </c>
      <c r="EG23" s="37">
        <v>20</v>
      </c>
      <c r="EH23" s="37">
        <v>20</v>
      </c>
      <c r="EI23" s="37">
        <v>20</v>
      </c>
      <c r="EL23" s="37" t="str">
        <f t="shared" ref="EL23:EP23" si="298">VLOOKUP(EL78,$B$114:$C$126,2,FALSE)</f>
        <v>_low_4_</v>
      </c>
      <c r="EM23" s="37" t="str">
        <f t="shared" si="298"/>
        <v>_low_1_</v>
      </c>
      <c r="EN23" s="37" t="str">
        <f t="shared" si="298"/>
        <v>_low_5_</v>
      </c>
      <c r="EO23" s="37" t="str">
        <f t="shared" si="298"/>
        <v>_HIG_1_</v>
      </c>
      <c r="EP23" s="37" t="str">
        <f t="shared" si="298"/>
        <v>_low_4_</v>
      </c>
      <c r="ES23" s="37">
        <v>20</v>
      </c>
      <c r="ET23" s="37">
        <v>20</v>
      </c>
      <c r="EU23" s="37">
        <v>20</v>
      </c>
      <c r="EV23" s="37">
        <v>20</v>
      </c>
      <c r="EW23" s="37">
        <v>20</v>
      </c>
      <c r="EZ23" s="37" t="str">
        <f t="shared" ref="EZ23:FD23" si="299">VLOOKUP(EZ78,$B$114:$C$126,2,FALSE)</f>
        <v>_low_4_</v>
      </c>
      <c r="FA23" s="37" t="str">
        <f t="shared" si="299"/>
        <v>_low_1_</v>
      </c>
      <c r="FB23" s="37" t="str">
        <f t="shared" si="299"/>
        <v>_low_5_</v>
      </c>
      <c r="FC23" s="37" t="str">
        <f t="shared" si="299"/>
        <v>_HIG_1_</v>
      </c>
      <c r="FD23" s="37" t="str">
        <f t="shared" si="299"/>
        <v>_low_4_</v>
      </c>
      <c r="FG23" s="37">
        <v>20</v>
      </c>
      <c r="FH23" s="37">
        <v>20</v>
      </c>
      <c r="FI23" s="37">
        <v>20</v>
      </c>
      <c r="FJ23" s="37">
        <v>20</v>
      </c>
      <c r="FK23" s="37">
        <v>20</v>
      </c>
      <c r="FN23" s="37" t="str">
        <f t="shared" ref="FN23:FR23" si="300">VLOOKUP(FN78,$B$114:$C$126,2,FALSE)</f>
        <v>_low_4_</v>
      </c>
      <c r="FO23" s="37" t="str">
        <f t="shared" si="300"/>
        <v>_low_1_</v>
      </c>
      <c r="FP23" s="37" t="str">
        <f t="shared" si="300"/>
        <v>_low_5_</v>
      </c>
      <c r="FQ23" s="37" t="str">
        <f t="shared" si="300"/>
        <v>_HIG_1_</v>
      </c>
      <c r="FR23" s="37" t="str">
        <f t="shared" si="300"/>
        <v>_low_4_</v>
      </c>
      <c r="FU23" s="37">
        <v>20</v>
      </c>
      <c r="FV23" s="37">
        <v>20</v>
      </c>
      <c r="FW23" s="37">
        <v>20</v>
      </c>
      <c r="FX23" s="37">
        <v>20</v>
      </c>
      <c r="FY23" s="37">
        <v>20</v>
      </c>
      <c r="GB23" s="37" t="str">
        <f t="shared" ref="GB23:GF23" si="301">VLOOKUP(GB78,$B$114:$C$126,2,FALSE)</f>
        <v>_low_4_</v>
      </c>
      <c r="GC23" s="37" t="str">
        <f t="shared" si="301"/>
        <v>_low_1_</v>
      </c>
      <c r="GD23" s="37" t="str">
        <f t="shared" si="301"/>
        <v>_low_5_</v>
      </c>
      <c r="GE23" s="37" t="str">
        <f t="shared" si="301"/>
        <v>_HIG_1_</v>
      </c>
      <c r="GF23" s="37" t="str">
        <f t="shared" si="301"/>
        <v>_low_4_</v>
      </c>
      <c r="GI23" s="37">
        <v>20</v>
      </c>
      <c r="GJ23" s="37">
        <v>20</v>
      </c>
      <c r="GK23" s="37">
        <v>20</v>
      </c>
      <c r="GL23" s="37">
        <v>20</v>
      </c>
      <c r="GM23" s="37">
        <v>20</v>
      </c>
      <c r="GP23" s="37" t="str">
        <f t="shared" ref="GP23:GT23" si="302">VLOOKUP(GP78,$B$114:$C$126,2,FALSE)</f>
        <v>_low_4_</v>
      </c>
      <c r="GQ23" s="37" t="str">
        <f t="shared" si="302"/>
        <v>_low_1_</v>
      </c>
      <c r="GR23" s="37" t="str">
        <f t="shared" si="302"/>
        <v>_low_5_</v>
      </c>
      <c r="GS23" s="37" t="str">
        <f t="shared" si="302"/>
        <v>_HIG_1_</v>
      </c>
      <c r="GT23" s="37" t="str">
        <f t="shared" si="302"/>
        <v>_low_4_</v>
      </c>
      <c r="GW23" s="37">
        <v>20</v>
      </c>
      <c r="GX23" s="37">
        <v>20</v>
      </c>
      <c r="GY23" s="37">
        <v>20</v>
      </c>
      <c r="GZ23" s="37">
        <v>20</v>
      </c>
      <c r="HA23" s="37">
        <v>20</v>
      </c>
      <c r="HD23" s="37" t="str">
        <f t="shared" ref="HD23:HH23" si="303">VLOOKUP(HD78,$B$114:$C$126,2,FALSE)</f>
        <v>_low_4_</v>
      </c>
      <c r="HE23" s="37" t="str">
        <f t="shared" si="303"/>
        <v>_low_1_</v>
      </c>
      <c r="HF23" s="37" t="str">
        <f t="shared" si="303"/>
        <v>_low_5_</v>
      </c>
      <c r="HG23" s="37" t="str">
        <f t="shared" si="303"/>
        <v>_HIG_1_</v>
      </c>
      <c r="HH23" s="37" t="str">
        <f t="shared" si="303"/>
        <v>_low_4_</v>
      </c>
      <c r="HK23" s="37">
        <v>20</v>
      </c>
      <c r="HL23" s="37">
        <v>20</v>
      </c>
      <c r="HM23" s="37">
        <v>20</v>
      </c>
      <c r="HN23" s="37">
        <v>20</v>
      </c>
      <c r="HO23" s="37">
        <v>20</v>
      </c>
    </row>
    <row r="24" spans="1:223" x14ac:dyDescent="0.35">
      <c r="A24" s="37">
        <v>20</v>
      </c>
      <c r="B24" s="37" t="str">
        <f t="shared" ref="B24:F24" si="304">VLOOKUP(B79,$B$114:$C$126,2,FALSE)</f>
        <v>_low_1_</v>
      </c>
      <c r="C24" s="37" t="str">
        <f t="shared" si="304"/>
        <v>_HIG_2_</v>
      </c>
      <c r="D24" s="37" t="str">
        <f t="shared" si="304"/>
        <v>_SCA_1_</v>
      </c>
      <c r="E24" s="37" t="str">
        <f t="shared" si="304"/>
        <v>_low_1_</v>
      </c>
      <c r="F24" s="37" t="str">
        <f t="shared" si="304"/>
        <v>_HIG_3_</v>
      </c>
      <c r="I24" s="60">
        <v>1</v>
      </c>
      <c r="J24" s="60">
        <v>1</v>
      </c>
      <c r="K24" s="60">
        <v>20</v>
      </c>
      <c r="L24" s="60">
        <v>20</v>
      </c>
      <c r="M24" s="60">
        <v>1</v>
      </c>
      <c r="P24" s="37" t="str">
        <f t="shared" ref="P24:T24" si="305">VLOOKUP(P79,$B$114:$C$126,2,FALSE)</f>
        <v>_low_1_</v>
      </c>
      <c r="Q24" s="37" t="str">
        <f t="shared" si="305"/>
        <v>_HIG_2_</v>
      </c>
      <c r="R24" s="37" t="str">
        <f t="shared" si="305"/>
        <v>_SCA_1_</v>
      </c>
      <c r="S24" s="37" t="str">
        <f t="shared" si="305"/>
        <v>_low_1_</v>
      </c>
      <c r="T24" s="37" t="str">
        <f t="shared" si="305"/>
        <v>_HIG_3_</v>
      </c>
      <c r="W24" s="37">
        <v>1</v>
      </c>
      <c r="X24" s="37">
        <v>1</v>
      </c>
      <c r="Y24" s="37">
        <v>20</v>
      </c>
      <c r="Z24" s="37">
        <v>20</v>
      </c>
      <c r="AA24" s="37">
        <v>1</v>
      </c>
      <c r="AD24" s="37" t="str">
        <f t="shared" ref="AD24:AH24" si="306">VLOOKUP(AD79,$B$114:$C$126,2,FALSE)</f>
        <v>_low_1_</v>
      </c>
      <c r="AE24" s="37" t="str">
        <f t="shared" si="306"/>
        <v>_HIG_2_</v>
      </c>
      <c r="AF24" s="37" t="str">
        <f t="shared" si="306"/>
        <v>_SCA_1_</v>
      </c>
      <c r="AG24" s="37" t="str">
        <f t="shared" si="306"/>
        <v>_low_1_</v>
      </c>
      <c r="AH24" s="37" t="str">
        <f t="shared" si="306"/>
        <v>_HIG_3_</v>
      </c>
      <c r="AK24" s="37">
        <v>1</v>
      </c>
      <c r="AL24" s="37">
        <v>1</v>
      </c>
      <c r="AM24" s="37">
        <v>20</v>
      </c>
      <c r="AN24" s="37">
        <v>20</v>
      </c>
      <c r="AO24" s="37">
        <v>1</v>
      </c>
      <c r="AR24" s="37" t="str">
        <f t="shared" ref="AR24:AV24" si="307">VLOOKUP(AR79,$B$114:$C$126,2,FALSE)</f>
        <v>_low_1_</v>
      </c>
      <c r="AS24" s="37" t="str">
        <f t="shared" si="307"/>
        <v>_HIG_2_</v>
      </c>
      <c r="AT24" s="37" t="str">
        <f t="shared" si="307"/>
        <v>_SCA_1_</v>
      </c>
      <c r="AU24" s="37" t="str">
        <f t="shared" si="307"/>
        <v>_low_1_</v>
      </c>
      <c r="AV24" s="37" t="str">
        <f t="shared" si="307"/>
        <v>_HIG_3_</v>
      </c>
      <c r="AY24" s="37">
        <v>1</v>
      </c>
      <c r="AZ24" s="37">
        <v>1</v>
      </c>
      <c r="BA24" s="37">
        <v>20</v>
      </c>
      <c r="BB24" s="37">
        <v>20</v>
      </c>
      <c r="BC24" s="37">
        <v>1</v>
      </c>
      <c r="BF24" s="37" t="str">
        <f t="shared" ref="BF24:BJ24" si="308">VLOOKUP(BF79,$B$114:$C$126,2,FALSE)</f>
        <v>_low_1_</v>
      </c>
      <c r="BG24" s="37" t="str">
        <f t="shared" si="308"/>
        <v>_HIG_2_</v>
      </c>
      <c r="BH24" s="37" t="str">
        <f t="shared" si="308"/>
        <v>_SCA_1_</v>
      </c>
      <c r="BI24" s="37" t="str">
        <f t="shared" si="308"/>
        <v>_low_1_</v>
      </c>
      <c r="BJ24" s="37" t="str">
        <f t="shared" si="308"/>
        <v>_HIG_3_</v>
      </c>
      <c r="BM24" s="37">
        <v>5000</v>
      </c>
      <c r="BN24" s="37">
        <v>1</v>
      </c>
      <c r="BO24" s="37">
        <v>20</v>
      </c>
      <c r="BP24" s="37">
        <v>20</v>
      </c>
      <c r="BQ24" s="37">
        <v>1</v>
      </c>
      <c r="BT24" s="37" t="str">
        <f t="shared" ref="BT24:BX24" si="309">VLOOKUP(BT79,$B$114:$C$126,2,FALSE)</f>
        <v>_low_1_</v>
      </c>
      <c r="BU24" s="37" t="str">
        <f t="shared" si="309"/>
        <v>_HIG_2_</v>
      </c>
      <c r="BV24" s="37" t="str">
        <f t="shared" si="309"/>
        <v>_SCA_1_</v>
      </c>
      <c r="BW24" s="37" t="str">
        <f t="shared" si="309"/>
        <v>_low_1_</v>
      </c>
      <c r="BX24" s="37" t="str">
        <f t="shared" si="309"/>
        <v>_HIG_3_</v>
      </c>
      <c r="CA24" s="37">
        <v>1</v>
      </c>
      <c r="CB24" s="37">
        <v>1</v>
      </c>
      <c r="CC24" s="37">
        <v>20</v>
      </c>
      <c r="CD24" s="37">
        <v>20</v>
      </c>
      <c r="CE24" s="37">
        <v>1</v>
      </c>
      <c r="CH24" s="37" t="str">
        <f t="shared" ref="CH24:CL24" si="310">VLOOKUP(CH79,$B$114:$C$126,2,FALSE)</f>
        <v>_low_1_</v>
      </c>
      <c r="CI24" s="37" t="str">
        <f t="shared" si="310"/>
        <v>_HIG_2_</v>
      </c>
      <c r="CJ24" s="37" t="str">
        <f t="shared" si="310"/>
        <v>_SCA_1_</v>
      </c>
      <c r="CK24" s="37" t="str">
        <f t="shared" si="310"/>
        <v>_low_1_</v>
      </c>
      <c r="CL24" s="37" t="str">
        <f t="shared" si="310"/>
        <v>_HIG_3_</v>
      </c>
      <c r="CO24" s="37">
        <v>1</v>
      </c>
      <c r="CP24" s="37">
        <v>1</v>
      </c>
      <c r="CQ24" s="37">
        <v>20</v>
      </c>
      <c r="CR24" s="37">
        <v>20</v>
      </c>
      <c r="CS24" s="37">
        <v>1</v>
      </c>
      <c r="CV24" s="37" t="str">
        <f t="shared" ref="CV24:CZ24" si="311">VLOOKUP(CV79,$B$114:$C$126,2,FALSE)</f>
        <v>_low_1_</v>
      </c>
      <c r="CW24" s="37" t="str">
        <f t="shared" si="311"/>
        <v>_HIG_2_</v>
      </c>
      <c r="CX24" s="37" t="str">
        <f t="shared" si="311"/>
        <v>_SCA_1_</v>
      </c>
      <c r="CY24" s="37" t="str">
        <f t="shared" si="311"/>
        <v>_low_1_</v>
      </c>
      <c r="CZ24" s="37" t="str">
        <f t="shared" si="311"/>
        <v>_HIG_3_</v>
      </c>
      <c r="DC24" s="37">
        <v>1</v>
      </c>
      <c r="DD24" s="37">
        <v>1</v>
      </c>
      <c r="DE24" s="37">
        <v>20</v>
      </c>
      <c r="DF24" s="37">
        <v>20</v>
      </c>
      <c r="DG24" s="37">
        <v>1</v>
      </c>
      <c r="DJ24" s="37" t="str">
        <f t="shared" ref="DJ24:DN24" si="312">VLOOKUP(DJ79,$B$114:$C$126,2,FALSE)</f>
        <v>_low_1_</v>
      </c>
      <c r="DK24" s="37" t="str">
        <f t="shared" si="312"/>
        <v>_HIG_2_</v>
      </c>
      <c r="DL24" s="37" t="str">
        <f t="shared" si="312"/>
        <v>_SCA_1_</v>
      </c>
      <c r="DM24" s="37" t="str">
        <f t="shared" si="312"/>
        <v>_low_1_</v>
      </c>
      <c r="DN24" s="37" t="str">
        <f t="shared" si="312"/>
        <v>_HIG_3_</v>
      </c>
      <c r="DQ24" s="37">
        <v>4000</v>
      </c>
      <c r="DR24" s="37">
        <v>1</v>
      </c>
      <c r="DS24" s="37">
        <v>20</v>
      </c>
      <c r="DT24" s="37">
        <v>20</v>
      </c>
      <c r="DU24" s="37">
        <v>1</v>
      </c>
      <c r="DX24" s="37" t="str">
        <f t="shared" ref="DX24:EB24" si="313">VLOOKUP(DX79,$B$114:$C$126,2,FALSE)</f>
        <v>_low_1_</v>
      </c>
      <c r="DY24" s="37" t="str">
        <f t="shared" si="313"/>
        <v>_HIG_2_</v>
      </c>
      <c r="DZ24" s="37" t="str">
        <f t="shared" si="313"/>
        <v>_SCA_1_</v>
      </c>
      <c r="EA24" s="37" t="str">
        <f t="shared" si="313"/>
        <v>_low_1_</v>
      </c>
      <c r="EB24" s="37" t="str">
        <f t="shared" si="313"/>
        <v>_HIG_3_</v>
      </c>
      <c r="EE24" s="37">
        <v>8000</v>
      </c>
      <c r="EF24" s="37">
        <v>1</v>
      </c>
      <c r="EG24" s="37">
        <v>20</v>
      </c>
      <c r="EH24" s="37">
        <v>20</v>
      </c>
      <c r="EI24" s="37">
        <v>1</v>
      </c>
      <c r="EL24" s="37" t="str">
        <f t="shared" ref="EL24:EP24" si="314">VLOOKUP(EL79,$B$114:$C$126,2,FALSE)</f>
        <v>_low_1_</v>
      </c>
      <c r="EM24" s="37" t="str">
        <f t="shared" si="314"/>
        <v>_HIG_2_</v>
      </c>
      <c r="EN24" s="37" t="str">
        <f t="shared" si="314"/>
        <v>_SCA_1_</v>
      </c>
      <c r="EO24" s="37" t="str">
        <f t="shared" si="314"/>
        <v>_low_1_</v>
      </c>
      <c r="EP24" s="37" t="str">
        <f t="shared" si="314"/>
        <v>_HIG_3_</v>
      </c>
      <c r="ES24" s="37">
        <v>1</v>
      </c>
      <c r="ET24" s="37">
        <v>1</v>
      </c>
      <c r="EU24" s="37">
        <v>20</v>
      </c>
      <c r="EV24" s="37">
        <v>20</v>
      </c>
      <c r="EW24" s="37">
        <v>1</v>
      </c>
      <c r="EZ24" s="37" t="str">
        <f t="shared" ref="EZ24:FD24" si="315">VLOOKUP(EZ79,$B$114:$C$126,2,FALSE)</f>
        <v>_low_1_</v>
      </c>
      <c r="FA24" s="37" t="str">
        <f t="shared" si="315"/>
        <v>_HIG_2_</v>
      </c>
      <c r="FB24" s="37" t="str">
        <f t="shared" si="315"/>
        <v>_SCA_1_</v>
      </c>
      <c r="FC24" s="37" t="str">
        <f t="shared" si="315"/>
        <v>_low_1_</v>
      </c>
      <c r="FD24" s="37" t="str">
        <f t="shared" si="315"/>
        <v>_HIG_3_</v>
      </c>
      <c r="FG24" s="37">
        <v>1</v>
      </c>
      <c r="FH24" s="37">
        <v>1</v>
      </c>
      <c r="FI24" s="37">
        <v>20</v>
      </c>
      <c r="FJ24" s="37">
        <v>20</v>
      </c>
      <c r="FK24" s="37">
        <v>1</v>
      </c>
      <c r="FN24" s="37" t="str">
        <f t="shared" ref="FN24:FR24" si="316">VLOOKUP(FN79,$B$114:$C$126,2,FALSE)</f>
        <v>_low_1_</v>
      </c>
      <c r="FO24" s="37" t="str">
        <f t="shared" si="316"/>
        <v>_HIG_2_</v>
      </c>
      <c r="FP24" s="37" t="str">
        <f t="shared" si="316"/>
        <v>_SCA_1_</v>
      </c>
      <c r="FQ24" s="37" t="str">
        <f t="shared" si="316"/>
        <v>_low_1_</v>
      </c>
      <c r="FR24" s="37" t="str">
        <f t="shared" si="316"/>
        <v>_HIG_3_</v>
      </c>
      <c r="FU24" s="37">
        <v>1</v>
      </c>
      <c r="FV24" s="37">
        <v>1</v>
      </c>
      <c r="FW24" s="37">
        <v>20</v>
      </c>
      <c r="FX24" s="37">
        <v>20</v>
      </c>
      <c r="FY24" s="37">
        <v>1</v>
      </c>
      <c r="GB24" s="37" t="str">
        <f t="shared" ref="GB24:GF24" si="317">VLOOKUP(GB79,$B$114:$C$126,2,FALSE)</f>
        <v>_low_1_</v>
      </c>
      <c r="GC24" s="37" t="str">
        <f t="shared" si="317"/>
        <v>_HIG_2_</v>
      </c>
      <c r="GD24" s="37" t="str">
        <f t="shared" si="317"/>
        <v>_SCA_1_</v>
      </c>
      <c r="GE24" s="37" t="str">
        <f t="shared" si="317"/>
        <v>_low_1_</v>
      </c>
      <c r="GF24" s="37" t="str">
        <f t="shared" si="317"/>
        <v>_HIG_3_</v>
      </c>
      <c r="GI24" s="37">
        <v>1</v>
      </c>
      <c r="GJ24" s="37">
        <v>1</v>
      </c>
      <c r="GK24" s="37">
        <v>20</v>
      </c>
      <c r="GL24" s="37">
        <v>20</v>
      </c>
      <c r="GM24" s="37">
        <v>1</v>
      </c>
      <c r="GP24" s="37" t="str">
        <f t="shared" ref="GP24:GT24" si="318">VLOOKUP(GP79,$B$114:$C$126,2,FALSE)</f>
        <v>_low_1_</v>
      </c>
      <c r="GQ24" s="37" t="str">
        <f t="shared" si="318"/>
        <v>_HIG_2_</v>
      </c>
      <c r="GR24" s="37" t="str">
        <f t="shared" si="318"/>
        <v>_SCA_1_</v>
      </c>
      <c r="GS24" s="37" t="str">
        <f t="shared" si="318"/>
        <v>_low_1_</v>
      </c>
      <c r="GT24" s="37" t="str">
        <f t="shared" si="318"/>
        <v>_HIG_3_</v>
      </c>
      <c r="GW24" s="37">
        <v>1</v>
      </c>
      <c r="GX24" s="37">
        <v>1</v>
      </c>
      <c r="GY24" s="37">
        <v>20</v>
      </c>
      <c r="GZ24" s="37">
        <v>20</v>
      </c>
      <c r="HA24" s="37">
        <v>1</v>
      </c>
      <c r="HD24" s="37" t="str">
        <f t="shared" ref="HD24:HH24" si="319">VLOOKUP(HD79,$B$114:$C$126,2,FALSE)</f>
        <v>_low_1_</v>
      </c>
      <c r="HE24" s="37" t="str">
        <f t="shared" si="319"/>
        <v>_HIG_2_</v>
      </c>
      <c r="HF24" s="37" t="str">
        <f t="shared" si="319"/>
        <v>_SCA_1_</v>
      </c>
      <c r="HG24" s="37" t="str">
        <f t="shared" si="319"/>
        <v>_low_1_</v>
      </c>
      <c r="HH24" s="37" t="str">
        <f t="shared" si="319"/>
        <v>_HIG_3_</v>
      </c>
      <c r="HK24" s="37">
        <v>1</v>
      </c>
      <c r="HL24" s="37">
        <v>1</v>
      </c>
      <c r="HM24" s="37">
        <v>20</v>
      </c>
      <c r="HN24" s="37">
        <v>20</v>
      </c>
      <c r="HO24" s="37">
        <v>1</v>
      </c>
    </row>
    <row r="25" spans="1:223" x14ac:dyDescent="0.35">
      <c r="A25" s="37">
        <v>21</v>
      </c>
      <c r="B25" s="37" t="str">
        <f t="shared" ref="B25:F25" si="320">VLOOKUP(B80,$B$114:$C$126,2,FALSE)</f>
        <v>_COI_1_</v>
      </c>
      <c r="C25" s="37" t="str">
        <f t="shared" si="320"/>
        <v>_COI_1_</v>
      </c>
      <c r="D25" s="37" t="str">
        <f t="shared" si="320"/>
        <v>_low_1_</v>
      </c>
      <c r="E25" s="37" t="str">
        <f t="shared" si="320"/>
        <v>_HIG_3_</v>
      </c>
      <c r="F25" s="37" t="str">
        <f t="shared" si="320"/>
        <v>_COI_1_</v>
      </c>
      <c r="I25" s="60">
        <v>1</v>
      </c>
      <c r="J25" s="60">
        <v>1</v>
      </c>
      <c r="K25" s="60">
        <v>20</v>
      </c>
      <c r="L25" s="60">
        <v>20</v>
      </c>
      <c r="M25" s="60">
        <v>1</v>
      </c>
      <c r="P25" s="37" t="str">
        <f t="shared" ref="P25:T25" si="321">VLOOKUP(P80,$B$114:$C$126,2,FALSE)</f>
        <v>_COI_1_</v>
      </c>
      <c r="Q25" s="37" t="str">
        <f t="shared" si="321"/>
        <v>_COI_1_</v>
      </c>
      <c r="R25" s="37" t="str">
        <f t="shared" si="321"/>
        <v>_low_1_</v>
      </c>
      <c r="S25" s="37" t="str">
        <f t="shared" si="321"/>
        <v>_HIG_3_</v>
      </c>
      <c r="T25" s="37" t="str">
        <f t="shared" si="321"/>
        <v>_COI_1_</v>
      </c>
      <c r="W25" s="37">
        <v>1</v>
      </c>
      <c r="X25" s="37">
        <v>1</v>
      </c>
      <c r="Y25" s="37">
        <v>20</v>
      </c>
      <c r="Z25" s="37">
        <v>20</v>
      </c>
      <c r="AA25" s="37">
        <v>1</v>
      </c>
      <c r="AD25" s="37" t="str">
        <f t="shared" ref="AD25:AH25" si="322">VLOOKUP(AD80,$B$114:$C$126,2,FALSE)</f>
        <v>_COI_1_</v>
      </c>
      <c r="AE25" s="37" t="str">
        <f t="shared" si="322"/>
        <v>_COI_1_</v>
      </c>
      <c r="AF25" s="37" t="str">
        <f t="shared" si="322"/>
        <v>_low_1_</v>
      </c>
      <c r="AG25" s="37" t="str">
        <f t="shared" si="322"/>
        <v>_HIG_3_</v>
      </c>
      <c r="AH25" s="37" t="str">
        <f t="shared" si="322"/>
        <v>_COI_1_</v>
      </c>
      <c r="AK25" s="37">
        <v>1</v>
      </c>
      <c r="AL25" s="37">
        <v>1</v>
      </c>
      <c r="AM25" s="37">
        <v>20</v>
      </c>
      <c r="AN25" s="37">
        <v>20</v>
      </c>
      <c r="AO25" s="37">
        <v>1</v>
      </c>
      <c r="AR25" s="37" t="str">
        <f t="shared" ref="AR25:AV25" si="323">VLOOKUP(AR80,$B$114:$C$126,2,FALSE)</f>
        <v>_COI_1_</v>
      </c>
      <c r="AS25" s="37" t="str">
        <f t="shared" si="323"/>
        <v>_COI_1_</v>
      </c>
      <c r="AT25" s="37" t="str">
        <f t="shared" si="323"/>
        <v>_low_1_</v>
      </c>
      <c r="AU25" s="37" t="str">
        <f t="shared" si="323"/>
        <v>_HIG_3_</v>
      </c>
      <c r="AV25" s="37" t="str">
        <f t="shared" si="323"/>
        <v>_COI_1_</v>
      </c>
      <c r="AY25" s="37">
        <v>1</v>
      </c>
      <c r="AZ25" s="37">
        <v>1</v>
      </c>
      <c r="BA25" s="37">
        <v>20</v>
      </c>
      <c r="BB25" s="37">
        <v>20</v>
      </c>
      <c r="BC25" s="37">
        <v>1</v>
      </c>
      <c r="BF25" s="37" t="str">
        <f t="shared" ref="BF25:BJ25" si="324">VLOOKUP(BF80,$B$114:$C$126,2,FALSE)</f>
        <v>_COI_1_</v>
      </c>
      <c r="BG25" s="37" t="str">
        <f t="shared" si="324"/>
        <v>_COI_1_</v>
      </c>
      <c r="BH25" s="37" t="str">
        <f t="shared" si="324"/>
        <v>_low_1_</v>
      </c>
      <c r="BI25" s="37" t="str">
        <f t="shared" si="324"/>
        <v>_HIG_3_</v>
      </c>
      <c r="BJ25" s="37" t="str">
        <f t="shared" si="324"/>
        <v>_COI_1_</v>
      </c>
      <c r="BM25" s="37">
        <v>5000</v>
      </c>
      <c r="BN25" s="37">
        <v>1</v>
      </c>
      <c r="BO25" s="37">
        <v>20</v>
      </c>
      <c r="BP25" s="37">
        <v>20</v>
      </c>
      <c r="BQ25" s="37">
        <v>1</v>
      </c>
      <c r="BT25" s="37" t="str">
        <f t="shared" ref="BT25:BX25" si="325">VLOOKUP(BT80,$B$114:$C$126,2,FALSE)</f>
        <v>_COI_1_</v>
      </c>
      <c r="BU25" s="37" t="str">
        <f t="shared" si="325"/>
        <v>_COI_1_</v>
      </c>
      <c r="BV25" s="37" t="str">
        <f t="shared" si="325"/>
        <v>_low_1_</v>
      </c>
      <c r="BW25" s="37" t="str">
        <f t="shared" si="325"/>
        <v>_HIG_3_</v>
      </c>
      <c r="BX25" s="37" t="str">
        <f t="shared" si="325"/>
        <v>_COI_1_</v>
      </c>
      <c r="CA25" s="37">
        <v>1</v>
      </c>
      <c r="CB25" s="37">
        <v>1</v>
      </c>
      <c r="CC25" s="37">
        <v>20</v>
      </c>
      <c r="CD25" s="37">
        <v>20</v>
      </c>
      <c r="CE25" s="37">
        <v>1</v>
      </c>
      <c r="CH25" s="37" t="str">
        <f t="shared" ref="CH25:CL25" si="326">VLOOKUP(CH80,$B$114:$C$126,2,FALSE)</f>
        <v>_COI_1_</v>
      </c>
      <c r="CI25" s="37" t="str">
        <f t="shared" si="326"/>
        <v>_COI_1_</v>
      </c>
      <c r="CJ25" s="37" t="str">
        <f t="shared" si="326"/>
        <v>_low_1_</v>
      </c>
      <c r="CK25" s="37" t="str">
        <f t="shared" si="326"/>
        <v>_HIG_3_</v>
      </c>
      <c r="CL25" s="37" t="str">
        <f t="shared" si="326"/>
        <v>_COI_1_</v>
      </c>
      <c r="CO25" s="37">
        <v>1</v>
      </c>
      <c r="CP25" s="37">
        <v>1</v>
      </c>
      <c r="CQ25" s="37">
        <v>20</v>
      </c>
      <c r="CR25" s="37">
        <v>20</v>
      </c>
      <c r="CS25" s="37">
        <v>1</v>
      </c>
      <c r="CV25" s="37" t="str">
        <f t="shared" ref="CV25:CZ25" si="327">VLOOKUP(CV80,$B$114:$C$126,2,FALSE)</f>
        <v>_COI_1_</v>
      </c>
      <c r="CW25" s="37" t="str">
        <f t="shared" si="327"/>
        <v>_COI_1_</v>
      </c>
      <c r="CX25" s="37" t="str">
        <f t="shared" si="327"/>
        <v>_low_1_</v>
      </c>
      <c r="CY25" s="37" t="str">
        <f t="shared" si="327"/>
        <v>_HIG_3_</v>
      </c>
      <c r="CZ25" s="37" t="str">
        <f t="shared" si="327"/>
        <v>_COI_1_</v>
      </c>
      <c r="DC25" s="37">
        <v>1</v>
      </c>
      <c r="DD25" s="37">
        <v>1</v>
      </c>
      <c r="DE25" s="37">
        <v>20</v>
      </c>
      <c r="DF25" s="37">
        <v>20</v>
      </c>
      <c r="DG25" s="37">
        <v>1</v>
      </c>
      <c r="DJ25" s="37" t="str">
        <f t="shared" ref="DJ25:DN25" si="328">VLOOKUP(DJ80,$B$114:$C$126,2,FALSE)</f>
        <v>_COI_1_</v>
      </c>
      <c r="DK25" s="37" t="str">
        <f t="shared" si="328"/>
        <v>_COI_1_</v>
      </c>
      <c r="DL25" s="37" t="str">
        <f t="shared" si="328"/>
        <v>_low_1_</v>
      </c>
      <c r="DM25" s="37" t="str">
        <f t="shared" si="328"/>
        <v>_HIG_3_</v>
      </c>
      <c r="DN25" s="37" t="str">
        <f t="shared" si="328"/>
        <v>_COI_1_</v>
      </c>
      <c r="DQ25" s="37">
        <v>4000</v>
      </c>
      <c r="DR25" s="37">
        <v>1</v>
      </c>
      <c r="DS25" s="37">
        <v>20</v>
      </c>
      <c r="DT25" s="37">
        <v>20</v>
      </c>
      <c r="DU25" s="37">
        <v>1</v>
      </c>
      <c r="DX25" s="37" t="str">
        <f t="shared" ref="DX25:EB25" si="329">VLOOKUP(DX80,$B$114:$C$126,2,FALSE)</f>
        <v>_COI_1_</v>
      </c>
      <c r="DY25" s="37" t="str">
        <f t="shared" si="329"/>
        <v>_COI_1_</v>
      </c>
      <c r="DZ25" s="37" t="str">
        <f t="shared" si="329"/>
        <v>_low_1_</v>
      </c>
      <c r="EA25" s="37" t="str">
        <f t="shared" si="329"/>
        <v>_HIG_3_</v>
      </c>
      <c r="EB25" s="37" t="str">
        <f t="shared" si="329"/>
        <v>_COI_1_</v>
      </c>
      <c r="EE25" s="37">
        <v>8000</v>
      </c>
      <c r="EF25" s="37">
        <v>1</v>
      </c>
      <c r="EG25" s="37">
        <v>20</v>
      </c>
      <c r="EH25" s="37">
        <v>20</v>
      </c>
      <c r="EI25" s="37">
        <v>1</v>
      </c>
      <c r="EL25" s="37" t="str">
        <f t="shared" ref="EL25:EP25" si="330">VLOOKUP(EL80,$B$114:$C$126,2,FALSE)</f>
        <v>_COI_1_</v>
      </c>
      <c r="EM25" s="37" t="str">
        <f t="shared" si="330"/>
        <v>_COI_1_</v>
      </c>
      <c r="EN25" s="37" t="str">
        <f t="shared" si="330"/>
        <v>_low_1_</v>
      </c>
      <c r="EO25" s="37" t="str">
        <f t="shared" si="330"/>
        <v>_HIG_3_</v>
      </c>
      <c r="EP25" s="37" t="str">
        <f t="shared" si="330"/>
        <v>_COI_1_</v>
      </c>
      <c r="ES25" s="37">
        <v>1</v>
      </c>
      <c r="ET25" s="37">
        <v>1</v>
      </c>
      <c r="EU25" s="37">
        <v>20</v>
      </c>
      <c r="EV25" s="37">
        <v>20</v>
      </c>
      <c r="EW25" s="37">
        <v>1</v>
      </c>
      <c r="EZ25" s="37" t="str">
        <f t="shared" ref="EZ25:FD25" si="331">VLOOKUP(EZ80,$B$114:$C$126,2,FALSE)</f>
        <v>_COI_1_</v>
      </c>
      <c r="FA25" s="37" t="str">
        <f t="shared" si="331"/>
        <v>_COI_1_</v>
      </c>
      <c r="FB25" s="37" t="str">
        <f t="shared" si="331"/>
        <v>_low_1_</v>
      </c>
      <c r="FC25" s="37" t="str">
        <f t="shared" si="331"/>
        <v>_HIG_3_</v>
      </c>
      <c r="FD25" s="37" t="str">
        <f t="shared" si="331"/>
        <v>_COI_1_</v>
      </c>
      <c r="FG25" s="37">
        <v>1</v>
      </c>
      <c r="FH25" s="37">
        <v>1</v>
      </c>
      <c r="FI25" s="37">
        <v>20</v>
      </c>
      <c r="FJ25" s="37">
        <v>20</v>
      </c>
      <c r="FK25" s="37">
        <v>1</v>
      </c>
      <c r="FN25" s="37" t="str">
        <f t="shared" ref="FN25:FR25" si="332">VLOOKUP(FN80,$B$114:$C$126,2,FALSE)</f>
        <v>_COI_1_</v>
      </c>
      <c r="FO25" s="37" t="str">
        <f t="shared" si="332"/>
        <v>_COI_1_</v>
      </c>
      <c r="FP25" s="37" t="str">
        <f t="shared" si="332"/>
        <v>_low_1_</v>
      </c>
      <c r="FQ25" s="37" t="str">
        <f t="shared" si="332"/>
        <v>_HIG_3_</v>
      </c>
      <c r="FR25" s="37" t="str">
        <f t="shared" si="332"/>
        <v>_COI_1_</v>
      </c>
      <c r="FU25" s="37">
        <v>1</v>
      </c>
      <c r="FV25" s="37">
        <v>1</v>
      </c>
      <c r="FW25" s="37">
        <v>20</v>
      </c>
      <c r="FX25" s="37">
        <v>20</v>
      </c>
      <c r="FY25" s="37">
        <v>1</v>
      </c>
      <c r="GB25" s="37" t="str">
        <f t="shared" ref="GB25:GF25" si="333">VLOOKUP(GB80,$B$114:$C$126,2,FALSE)</f>
        <v>_COI_1_</v>
      </c>
      <c r="GC25" s="37" t="str">
        <f t="shared" si="333"/>
        <v>_COI_1_</v>
      </c>
      <c r="GD25" s="37" t="str">
        <f t="shared" si="333"/>
        <v>_low_1_</v>
      </c>
      <c r="GE25" s="37" t="str">
        <f t="shared" si="333"/>
        <v>_HIG_3_</v>
      </c>
      <c r="GF25" s="37" t="str">
        <f t="shared" si="333"/>
        <v>_COI_1_</v>
      </c>
      <c r="GI25" s="37">
        <v>1</v>
      </c>
      <c r="GJ25" s="37">
        <v>1</v>
      </c>
      <c r="GK25" s="37">
        <v>20</v>
      </c>
      <c r="GL25" s="37">
        <v>20</v>
      </c>
      <c r="GM25" s="37">
        <v>1</v>
      </c>
      <c r="GP25" s="37" t="str">
        <f t="shared" ref="GP25:GT25" si="334">VLOOKUP(GP80,$B$114:$C$126,2,FALSE)</f>
        <v>_COI_1_</v>
      </c>
      <c r="GQ25" s="37" t="str">
        <f t="shared" si="334"/>
        <v>_COI_1_</v>
      </c>
      <c r="GR25" s="37" t="str">
        <f t="shared" si="334"/>
        <v>_low_1_</v>
      </c>
      <c r="GS25" s="37" t="str">
        <f t="shared" si="334"/>
        <v>_HIG_3_</v>
      </c>
      <c r="GT25" s="37" t="str">
        <f t="shared" si="334"/>
        <v>_COI_1_</v>
      </c>
      <c r="GW25" s="37">
        <v>1</v>
      </c>
      <c r="GX25" s="37">
        <v>1</v>
      </c>
      <c r="GY25" s="37">
        <v>20</v>
      </c>
      <c r="GZ25" s="37">
        <v>20</v>
      </c>
      <c r="HA25" s="37">
        <v>1</v>
      </c>
      <c r="HD25" s="37" t="str">
        <f t="shared" ref="HD25:HH25" si="335">VLOOKUP(HD80,$B$114:$C$126,2,FALSE)</f>
        <v>_COI_1_</v>
      </c>
      <c r="HE25" s="37" t="str">
        <f t="shared" si="335"/>
        <v>_COI_1_</v>
      </c>
      <c r="HF25" s="37" t="str">
        <f t="shared" si="335"/>
        <v>_low_1_</v>
      </c>
      <c r="HG25" s="37" t="str">
        <f t="shared" si="335"/>
        <v>_HIG_3_</v>
      </c>
      <c r="HH25" s="37" t="str">
        <f t="shared" si="335"/>
        <v>_COI_1_</v>
      </c>
      <c r="HK25" s="37">
        <v>1</v>
      </c>
      <c r="HL25" s="37">
        <v>1</v>
      </c>
      <c r="HM25" s="37">
        <v>20</v>
      </c>
      <c r="HN25" s="37">
        <v>20</v>
      </c>
      <c r="HO25" s="37">
        <v>1</v>
      </c>
    </row>
    <row r="26" spans="1:223" x14ac:dyDescent="0.35">
      <c r="A26" s="37">
        <v>22</v>
      </c>
      <c r="B26" s="37" t="str">
        <f t="shared" ref="B26:F26" si="336">VLOOKUP(B81,$B$114:$C$126,2,FALSE)</f>
        <v>_low_5_</v>
      </c>
      <c r="C26" s="37" t="str">
        <f t="shared" si="336"/>
        <v>_COI_1_</v>
      </c>
      <c r="D26" s="37" t="str">
        <f t="shared" si="336"/>
        <v>_HIG_1_</v>
      </c>
      <c r="E26" s="37" t="str">
        <f t="shared" si="336"/>
        <v>_HIG_3_</v>
      </c>
      <c r="F26" s="37" t="str">
        <f t="shared" si="336"/>
        <v>_COI_1_</v>
      </c>
      <c r="I26" s="60">
        <v>1</v>
      </c>
      <c r="J26" s="60">
        <v>1</v>
      </c>
      <c r="K26" s="60">
        <v>20</v>
      </c>
      <c r="L26" s="60">
        <v>20</v>
      </c>
      <c r="M26" s="60">
        <v>1</v>
      </c>
      <c r="P26" s="37" t="str">
        <f t="shared" ref="P26:T26" si="337">VLOOKUP(P81,$B$114:$C$126,2,FALSE)</f>
        <v>_low_5_</v>
      </c>
      <c r="Q26" s="37" t="str">
        <f t="shared" si="337"/>
        <v>_COI_1_</v>
      </c>
      <c r="R26" s="37" t="str">
        <f t="shared" si="337"/>
        <v>_HIG_1_</v>
      </c>
      <c r="S26" s="37" t="str">
        <f t="shared" si="337"/>
        <v>_HIG_3_</v>
      </c>
      <c r="T26" s="37" t="str">
        <f t="shared" si="337"/>
        <v>_COI_1_</v>
      </c>
      <c r="W26" s="37">
        <v>1</v>
      </c>
      <c r="X26" s="37">
        <v>1</v>
      </c>
      <c r="Y26" s="37">
        <v>20</v>
      </c>
      <c r="Z26" s="37">
        <v>20</v>
      </c>
      <c r="AA26" s="37">
        <v>1</v>
      </c>
      <c r="AD26" s="37" t="str">
        <f t="shared" ref="AD26:AH26" si="338">VLOOKUP(AD81,$B$114:$C$126,2,FALSE)</f>
        <v>_low_5_</v>
      </c>
      <c r="AE26" s="37" t="str">
        <f t="shared" si="338"/>
        <v>_COI_1_</v>
      </c>
      <c r="AF26" s="37" t="str">
        <f t="shared" si="338"/>
        <v>_HIG_1_</v>
      </c>
      <c r="AG26" s="37" t="str">
        <f t="shared" si="338"/>
        <v>_HIG_3_</v>
      </c>
      <c r="AH26" s="37" t="str">
        <f t="shared" si="338"/>
        <v>_COI_1_</v>
      </c>
      <c r="AK26" s="37">
        <v>1</v>
      </c>
      <c r="AL26" s="37">
        <v>1</v>
      </c>
      <c r="AM26" s="37">
        <v>20</v>
      </c>
      <c r="AN26" s="37">
        <v>20</v>
      </c>
      <c r="AO26" s="37">
        <v>1</v>
      </c>
      <c r="AR26" s="37" t="str">
        <f t="shared" ref="AR26:AV26" si="339">VLOOKUP(AR81,$B$114:$C$126,2,FALSE)</f>
        <v>_low_5_</v>
      </c>
      <c r="AS26" s="37" t="str">
        <f t="shared" si="339"/>
        <v>_COI_1_</v>
      </c>
      <c r="AT26" s="37" t="str">
        <f t="shared" si="339"/>
        <v>_HIG_1_</v>
      </c>
      <c r="AU26" s="37" t="str">
        <f t="shared" si="339"/>
        <v>_HIG_3_</v>
      </c>
      <c r="AV26" s="37" t="str">
        <f t="shared" si="339"/>
        <v>_COI_1_</v>
      </c>
      <c r="AY26" s="37">
        <v>1</v>
      </c>
      <c r="AZ26" s="37">
        <v>1</v>
      </c>
      <c r="BA26" s="37">
        <v>20</v>
      </c>
      <c r="BB26" s="37">
        <v>20</v>
      </c>
      <c r="BC26" s="37">
        <v>1</v>
      </c>
      <c r="BF26" s="37" t="str">
        <f t="shared" ref="BF26:BJ26" si="340">VLOOKUP(BF81,$B$114:$C$126,2,FALSE)</f>
        <v>_low_5_</v>
      </c>
      <c r="BG26" s="37" t="str">
        <f t="shared" si="340"/>
        <v>_COI_1_</v>
      </c>
      <c r="BH26" s="37" t="str">
        <f t="shared" si="340"/>
        <v>_HIG_1_</v>
      </c>
      <c r="BI26" s="37" t="str">
        <f t="shared" si="340"/>
        <v>_HIG_3_</v>
      </c>
      <c r="BJ26" s="37" t="str">
        <f t="shared" si="340"/>
        <v>_COI_1_</v>
      </c>
      <c r="BM26" s="37">
        <v>5000</v>
      </c>
      <c r="BN26" s="37">
        <v>1</v>
      </c>
      <c r="BO26" s="37">
        <v>20</v>
      </c>
      <c r="BP26" s="37">
        <v>20</v>
      </c>
      <c r="BQ26" s="37">
        <v>1</v>
      </c>
      <c r="BT26" s="37" t="str">
        <f t="shared" ref="BT26:BX26" si="341">VLOOKUP(BT81,$B$114:$C$126,2,FALSE)</f>
        <v>_low_5_</v>
      </c>
      <c r="BU26" s="37" t="str">
        <f t="shared" si="341"/>
        <v>_COI_1_</v>
      </c>
      <c r="BV26" s="37" t="str">
        <f t="shared" si="341"/>
        <v>_HIG_1_</v>
      </c>
      <c r="BW26" s="37" t="str">
        <f t="shared" si="341"/>
        <v>_HIG_3_</v>
      </c>
      <c r="BX26" s="37" t="str">
        <f t="shared" si="341"/>
        <v>_COI_1_</v>
      </c>
      <c r="CA26" s="37">
        <v>1</v>
      </c>
      <c r="CB26" s="37">
        <v>1</v>
      </c>
      <c r="CC26" s="37">
        <v>20</v>
      </c>
      <c r="CD26" s="37">
        <v>20</v>
      </c>
      <c r="CE26" s="37">
        <v>1</v>
      </c>
      <c r="CH26" s="37" t="str">
        <f t="shared" ref="CH26:CL26" si="342">VLOOKUP(CH81,$B$114:$C$126,2,FALSE)</f>
        <v>_low_5_</v>
      </c>
      <c r="CI26" s="37" t="str">
        <f t="shared" si="342"/>
        <v>_COI_1_</v>
      </c>
      <c r="CJ26" s="37" t="str">
        <f t="shared" si="342"/>
        <v>_HIG_1_</v>
      </c>
      <c r="CK26" s="37" t="str">
        <f t="shared" si="342"/>
        <v>_HIG_3_</v>
      </c>
      <c r="CL26" s="37" t="str">
        <f t="shared" si="342"/>
        <v>_COI_1_</v>
      </c>
      <c r="CO26" s="37">
        <v>1</v>
      </c>
      <c r="CP26" s="37">
        <v>1</v>
      </c>
      <c r="CQ26" s="37">
        <v>20</v>
      </c>
      <c r="CR26" s="37">
        <v>20</v>
      </c>
      <c r="CS26" s="37">
        <v>1</v>
      </c>
      <c r="CV26" s="37" t="str">
        <f t="shared" ref="CV26:CZ26" si="343">VLOOKUP(CV81,$B$114:$C$126,2,FALSE)</f>
        <v>_low_5_</v>
      </c>
      <c r="CW26" s="37" t="str">
        <f t="shared" si="343"/>
        <v>_COI_1_</v>
      </c>
      <c r="CX26" s="37" t="str">
        <f t="shared" si="343"/>
        <v>_HIG_1_</v>
      </c>
      <c r="CY26" s="37" t="str">
        <f t="shared" si="343"/>
        <v>_HIG_3_</v>
      </c>
      <c r="CZ26" s="37" t="str">
        <f t="shared" si="343"/>
        <v>_COI_1_</v>
      </c>
      <c r="DC26" s="37">
        <v>1</v>
      </c>
      <c r="DD26" s="37">
        <v>1</v>
      </c>
      <c r="DE26" s="37">
        <v>20</v>
      </c>
      <c r="DF26" s="37">
        <v>20</v>
      </c>
      <c r="DG26" s="37">
        <v>4000</v>
      </c>
      <c r="DJ26" s="37" t="str">
        <f t="shared" ref="DJ26:DN26" si="344">VLOOKUP(DJ81,$B$114:$C$126,2,FALSE)</f>
        <v>_low_5_</v>
      </c>
      <c r="DK26" s="37" t="str">
        <f t="shared" si="344"/>
        <v>_COI_1_</v>
      </c>
      <c r="DL26" s="37" t="str">
        <f t="shared" si="344"/>
        <v>_HIG_1_</v>
      </c>
      <c r="DM26" s="37" t="str">
        <f t="shared" si="344"/>
        <v>_HIG_3_</v>
      </c>
      <c r="DN26" s="37" t="str">
        <f t="shared" si="344"/>
        <v>_COI_1_</v>
      </c>
      <c r="DQ26" s="37">
        <v>4000</v>
      </c>
      <c r="DR26" s="37">
        <v>1</v>
      </c>
      <c r="DS26" s="37">
        <v>20</v>
      </c>
      <c r="DT26" s="37">
        <v>20</v>
      </c>
      <c r="DU26" s="37">
        <v>1</v>
      </c>
      <c r="DX26" s="37" t="str">
        <f t="shared" ref="DX26:EB26" si="345">VLOOKUP(DX81,$B$114:$C$126,2,FALSE)</f>
        <v>_low_5_</v>
      </c>
      <c r="DY26" s="37" t="str">
        <f t="shared" si="345"/>
        <v>_COI_1_</v>
      </c>
      <c r="DZ26" s="37" t="str">
        <f t="shared" si="345"/>
        <v>_HIG_1_</v>
      </c>
      <c r="EA26" s="37" t="str">
        <f t="shared" si="345"/>
        <v>_HIG_3_</v>
      </c>
      <c r="EB26" s="37" t="str">
        <f t="shared" si="345"/>
        <v>_COI_1_</v>
      </c>
      <c r="EE26" s="37">
        <v>8000</v>
      </c>
      <c r="EF26" s="37">
        <v>1</v>
      </c>
      <c r="EG26" s="37">
        <v>20</v>
      </c>
      <c r="EH26" s="37">
        <v>20</v>
      </c>
      <c r="EI26" s="37">
        <v>8000</v>
      </c>
      <c r="EL26" s="37" t="str">
        <f t="shared" ref="EL26:EP26" si="346">VLOOKUP(EL81,$B$114:$C$126,2,FALSE)</f>
        <v>_low_5_</v>
      </c>
      <c r="EM26" s="37" t="str">
        <f t="shared" si="346"/>
        <v>_COI_1_</v>
      </c>
      <c r="EN26" s="37" t="str">
        <f t="shared" si="346"/>
        <v>_HIG_1_</v>
      </c>
      <c r="EO26" s="37" t="str">
        <f t="shared" si="346"/>
        <v>_HIG_3_</v>
      </c>
      <c r="EP26" s="37" t="str">
        <f t="shared" si="346"/>
        <v>_COI_1_</v>
      </c>
      <c r="ES26" s="37">
        <v>1</v>
      </c>
      <c r="ET26" s="37">
        <v>1</v>
      </c>
      <c r="EU26" s="37">
        <v>20</v>
      </c>
      <c r="EV26" s="37">
        <v>20</v>
      </c>
      <c r="EW26" s="37">
        <v>2000</v>
      </c>
      <c r="EZ26" s="37" t="str">
        <f t="shared" ref="EZ26:FD26" si="347">VLOOKUP(EZ81,$B$114:$C$126,2,FALSE)</f>
        <v>_low_5_</v>
      </c>
      <c r="FA26" s="37" t="str">
        <f t="shared" si="347"/>
        <v>_COI_1_</v>
      </c>
      <c r="FB26" s="37" t="str">
        <f t="shared" si="347"/>
        <v>_HIG_1_</v>
      </c>
      <c r="FC26" s="37" t="str">
        <f t="shared" si="347"/>
        <v>_HIG_3_</v>
      </c>
      <c r="FD26" s="37" t="str">
        <f t="shared" si="347"/>
        <v>_COI_1_</v>
      </c>
      <c r="FG26" s="37">
        <v>1</v>
      </c>
      <c r="FH26" s="37">
        <v>1</v>
      </c>
      <c r="FI26" s="37">
        <v>20</v>
      </c>
      <c r="FJ26" s="37">
        <v>20</v>
      </c>
      <c r="FK26" s="37">
        <v>8000</v>
      </c>
      <c r="FN26" s="37" t="str">
        <f t="shared" ref="FN26:FR26" si="348">VLOOKUP(FN81,$B$114:$C$126,2,FALSE)</f>
        <v>_low_5_</v>
      </c>
      <c r="FO26" s="37" t="str">
        <f t="shared" si="348"/>
        <v>_COI_1_</v>
      </c>
      <c r="FP26" s="37" t="str">
        <f t="shared" si="348"/>
        <v>_HIG_1_</v>
      </c>
      <c r="FQ26" s="37" t="str">
        <f t="shared" si="348"/>
        <v>_HIG_3_</v>
      </c>
      <c r="FR26" s="37" t="str">
        <f t="shared" si="348"/>
        <v>_COI_1_</v>
      </c>
      <c r="FU26" s="37">
        <v>1</v>
      </c>
      <c r="FV26" s="37">
        <v>1</v>
      </c>
      <c r="FW26" s="37">
        <v>20</v>
      </c>
      <c r="FX26" s="37">
        <v>20</v>
      </c>
      <c r="FY26" s="37">
        <v>4000</v>
      </c>
      <c r="GB26" s="37" t="str">
        <f t="shared" ref="GB26:GF26" si="349">VLOOKUP(GB81,$B$114:$C$126,2,FALSE)</f>
        <v>_low_5_</v>
      </c>
      <c r="GC26" s="37" t="str">
        <f t="shared" si="349"/>
        <v>_COI_1_</v>
      </c>
      <c r="GD26" s="37" t="str">
        <f t="shared" si="349"/>
        <v>_HIG_1_</v>
      </c>
      <c r="GE26" s="37" t="str">
        <f t="shared" si="349"/>
        <v>_HIG_3_</v>
      </c>
      <c r="GF26" s="37" t="str">
        <f t="shared" si="349"/>
        <v>_COI_1_</v>
      </c>
      <c r="GI26" s="37">
        <v>1</v>
      </c>
      <c r="GJ26" s="37">
        <v>1</v>
      </c>
      <c r="GK26" s="37">
        <v>20</v>
      </c>
      <c r="GL26" s="37">
        <v>20</v>
      </c>
      <c r="GM26" s="37">
        <v>4000</v>
      </c>
      <c r="GP26" s="37" t="str">
        <f t="shared" ref="GP26:GT26" si="350">VLOOKUP(GP81,$B$114:$C$126,2,FALSE)</f>
        <v>_low_5_</v>
      </c>
      <c r="GQ26" s="37" t="str">
        <f t="shared" si="350"/>
        <v>_COI_1_</v>
      </c>
      <c r="GR26" s="37" t="str">
        <f t="shared" si="350"/>
        <v>_HIG_1_</v>
      </c>
      <c r="GS26" s="37" t="str">
        <f t="shared" si="350"/>
        <v>_HIG_3_</v>
      </c>
      <c r="GT26" s="37" t="str">
        <f t="shared" si="350"/>
        <v>_COI_1_</v>
      </c>
      <c r="GW26" s="37">
        <v>1</v>
      </c>
      <c r="GX26" s="37">
        <v>10000</v>
      </c>
      <c r="GY26" s="37">
        <v>20</v>
      </c>
      <c r="GZ26" s="37">
        <v>20</v>
      </c>
      <c r="HA26" s="37">
        <v>10000</v>
      </c>
      <c r="HD26" s="37" t="str">
        <f t="shared" ref="HD26:HH26" si="351">VLOOKUP(HD81,$B$114:$C$126,2,FALSE)</f>
        <v>_low_5_</v>
      </c>
      <c r="HE26" s="37" t="str">
        <f t="shared" si="351"/>
        <v>_COI_1_</v>
      </c>
      <c r="HF26" s="37" t="str">
        <f t="shared" si="351"/>
        <v>_HIG_1_</v>
      </c>
      <c r="HG26" s="37" t="str">
        <f t="shared" si="351"/>
        <v>_HIG_3_</v>
      </c>
      <c r="HH26" s="37" t="str">
        <f t="shared" si="351"/>
        <v>_COI_1_</v>
      </c>
      <c r="HK26" s="37">
        <v>1</v>
      </c>
      <c r="HL26" s="37">
        <v>100000000</v>
      </c>
      <c r="HM26" s="37">
        <v>20</v>
      </c>
      <c r="HN26" s="37">
        <v>20</v>
      </c>
      <c r="HO26" s="37">
        <v>100000000</v>
      </c>
    </row>
    <row r="27" spans="1:223" x14ac:dyDescent="0.35">
      <c r="A27" s="37">
        <v>23</v>
      </c>
      <c r="B27" s="37" t="str">
        <f t="shared" ref="B27:F27" si="352">VLOOKUP(B82,$B$114:$C$126,2,FALSE)</f>
        <v>_low_4_</v>
      </c>
      <c r="C27" s="37" t="str">
        <f t="shared" si="352"/>
        <v>_COI_1_</v>
      </c>
      <c r="D27" s="37" t="str">
        <f t="shared" si="352"/>
        <v>_HIG_3_</v>
      </c>
      <c r="E27" s="37" t="str">
        <f t="shared" si="352"/>
        <v>_low_2_</v>
      </c>
      <c r="F27" s="37" t="str">
        <f t="shared" si="352"/>
        <v>_COI_1_</v>
      </c>
      <c r="I27" s="60">
        <v>20</v>
      </c>
      <c r="J27" s="60">
        <v>1</v>
      </c>
      <c r="K27" s="60">
        <v>20</v>
      </c>
      <c r="L27" s="60">
        <v>20</v>
      </c>
      <c r="M27" s="60">
        <v>1</v>
      </c>
      <c r="P27" s="37" t="str">
        <f t="shared" ref="P27:T27" si="353">VLOOKUP(P82,$B$114:$C$126,2,FALSE)</f>
        <v>_low_4_</v>
      </c>
      <c r="Q27" s="37" t="str">
        <f t="shared" si="353"/>
        <v>_COI_1_</v>
      </c>
      <c r="R27" s="37" t="str">
        <f t="shared" si="353"/>
        <v>_HIG_3_</v>
      </c>
      <c r="S27" s="37" t="str">
        <f t="shared" si="353"/>
        <v>_low_2_</v>
      </c>
      <c r="T27" s="37" t="str">
        <f t="shared" si="353"/>
        <v>_COI_1_</v>
      </c>
      <c r="W27" s="37">
        <v>20</v>
      </c>
      <c r="X27" s="37">
        <v>1</v>
      </c>
      <c r="Y27" s="37">
        <v>20</v>
      </c>
      <c r="Z27" s="37">
        <v>20</v>
      </c>
      <c r="AA27" s="37">
        <v>1</v>
      </c>
      <c r="AD27" s="37" t="str">
        <f t="shared" ref="AD27:AH27" si="354">VLOOKUP(AD82,$B$114:$C$126,2,FALSE)</f>
        <v>_low_4_</v>
      </c>
      <c r="AE27" s="37" t="str">
        <f t="shared" si="354"/>
        <v>_COI_1_</v>
      </c>
      <c r="AF27" s="37" t="str">
        <f t="shared" si="354"/>
        <v>_HIG_3_</v>
      </c>
      <c r="AG27" s="37" t="str">
        <f t="shared" si="354"/>
        <v>_low_2_</v>
      </c>
      <c r="AH27" s="37" t="str">
        <f t="shared" si="354"/>
        <v>_COI_1_</v>
      </c>
      <c r="AK27" s="37">
        <v>20</v>
      </c>
      <c r="AL27" s="37">
        <v>1</v>
      </c>
      <c r="AM27" s="37">
        <v>20</v>
      </c>
      <c r="AN27" s="37">
        <v>20</v>
      </c>
      <c r="AO27" s="37">
        <v>1</v>
      </c>
      <c r="AR27" s="37" t="str">
        <f t="shared" ref="AR27:AV27" si="355">VLOOKUP(AR82,$B$114:$C$126,2,FALSE)</f>
        <v>_low_4_</v>
      </c>
      <c r="AS27" s="37" t="str">
        <f t="shared" si="355"/>
        <v>_COI_1_</v>
      </c>
      <c r="AT27" s="37" t="str">
        <f t="shared" si="355"/>
        <v>_HIG_3_</v>
      </c>
      <c r="AU27" s="37" t="str">
        <f t="shared" si="355"/>
        <v>_low_2_</v>
      </c>
      <c r="AV27" s="37" t="str">
        <f t="shared" si="355"/>
        <v>_COI_1_</v>
      </c>
      <c r="AY27" s="37">
        <v>20</v>
      </c>
      <c r="AZ27" s="37">
        <v>1</v>
      </c>
      <c r="BA27" s="37">
        <v>20</v>
      </c>
      <c r="BB27" s="37">
        <v>20</v>
      </c>
      <c r="BC27" s="37">
        <v>1</v>
      </c>
      <c r="BF27" s="37" t="str">
        <f t="shared" ref="BF27:BJ27" si="356">VLOOKUP(BF82,$B$114:$C$126,2,FALSE)</f>
        <v>_low_4_</v>
      </c>
      <c r="BG27" s="37" t="str">
        <f t="shared" si="356"/>
        <v>_COI_1_</v>
      </c>
      <c r="BH27" s="37" t="str">
        <f t="shared" si="356"/>
        <v>_HIG_3_</v>
      </c>
      <c r="BI27" s="37" t="str">
        <f t="shared" si="356"/>
        <v>_low_2_</v>
      </c>
      <c r="BJ27" s="37" t="str">
        <f t="shared" si="356"/>
        <v>_COI_1_</v>
      </c>
      <c r="BM27" s="37">
        <v>20</v>
      </c>
      <c r="BN27" s="37">
        <v>1</v>
      </c>
      <c r="BO27" s="37">
        <v>20</v>
      </c>
      <c r="BP27" s="37">
        <v>20</v>
      </c>
      <c r="BQ27" s="37">
        <v>1</v>
      </c>
      <c r="BT27" s="37" t="str">
        <f t="shared" ref="BT27:BX27" si="357">VLOOKUP(BT82,$B$114:$C$126,2,FALSE)</f>
        <v>_low_4_</v>
      </c>
      <c r="BU27" s="37" t="str">
        <f t="shared" si="357"/>
        <v>_COI_1_</v>
      </c>
      <c r="BV27" s="37" t="str">
        <f t="shared" si="357"/>
        <v>_HIG_3_</v>
      </c>
      <c r="BW27" s="37" t="str">
        <f t="shared" si="357"/>
        <v>_low_2_</v>
      </c>
      <c r="BX27" s="37" t="str">
        <f t="shared" si="357"/>
        <v>_COI_1_</v>
      </c>
      <c r="CA27" s="37">
        <v>20</v>
      </c>
      <c r="CB27" s="37">
        <v>1</v>
      </c>
      <c r="CC27" s="37">
        <v>20</v>
      </c>
      <c r="CD27" s="37">
        <v>20</v>
      </c>
      <c r="CE27" s="37">
        <v>1</v>
      </c>
      <c r="CH27" s="37" t="str">
        <f t="shared" ref="CH27:CL27" si="358">VLOOKUP(CH82,$B$114:$C$126,2,FALSE)</f>
        <v>_low_4_</v>
      </c>
      <c r="CI27" s="37" t="str">
        <f t="shared" si="358"/>
        <v>_COI_1_</v>
      </c>
      <c r="CJ27" s="37" t="str">
        <f t="shared" si="358"/>
        <v>_HIG_3_</v>
      </c>
      <c r="CK27" s="37" t="str">
        <f t="shared" si="358"/>
        <v>_low_2_</v>
      </c>
      <c r="CL27" s="37" t="str">
        <f t="shared" si="358"/>
        <v>_COI_1_</v>
      </c>
      <c r="CO27" s="37">
        <v>20</v>
      </c>
      <c r="CP27" s="37">
        <v>1</v>
      </c>
      <c r="CQ27" s="37">
        <v>20</v>
      </c>
      <c r="CR27" s="37">
        <v>20</v>
      </c>
      <c r="CS27" s="37">
        <v>1</v>
      </c>
      <c r="CV27" s="37" t="str">
        <f t="shared" ref="CV27:CZ27" si="359">VLOOKUP(CV82,$B$114:$C$126,2,FALSE)</f>
        <v>_low_4_</v>
      </c>
      <c r="CW27" s="37" t="str">
        <f t="shared" si="359"/>
        <v>_COI_1_</v>
      </c>
      <c r="CX27" s="37" t="str">
        <f t="shared" si="359"/>
        <v>_HIG_3_</v>
      </c>
      <c r="CY27" s="37" t="str">
        <f t="shared" si="359"/>
        <v>_low_2_</v>
      </c>
      <c r="CZ27" s="37" t="str">
        <f t="shared" si="359"/>
        <v>_COI_1_</v>
      </c>
      <c r="DC27" s="37">
        <v>20</v>
      </c>
      <c r="DD27" s="37">
        <v>1</v>
      </c>
      <c r="DE27" s="37">
        <v>20</v>
      </c>
      <c r="DF27" s="37">
        <v>20</v>
      </c>
      <c r="DG27" s="37">
        <v>1</v>
      </c>
      <c r="DJ27" s="37" t="str">
        <f t="shared" ref="DJ27:DN27" si="360">VLOOKUP(DJ82,$B$114:$C$126,2,FALSE)</f>
        <v>_low_4_</v>
      </c>
      <c r="DK27" s="37" t="str">
        <f t="shared" si="360"/>
        <v>_COI_1_</v>
      </c>
      <c r="DL27" s="37" t="str">
        <f t="shared" si="360"/>
        <v>_HIG_3_</v>
      </c>
      <c r="DM27" s="37" t="str">
        <f t="shared" si="360"/>
        <v>_low_2_</v>
      </c>
      <c r="DN27" s="37" t="str">
        <f t="shared" si="360"/>
        <v>_COI_1_</v>
      </c>
      <c r="DQ27" s="37">
        <v>20</v>
      </c>
      <c r="DR27" s="37">
        <v>1</v>
      </c>
      <c r="DS27" s="37">
        <v>20</v>
      </c>
      <c r="DT27" s="37">
        <v>20</v>
      </c>
      <c r="DU27" s="37">
        <v>1</v>
      </c>
      <c r="DX27" s="37" t="str">
        <f t="shared" ref="DX27:EB27" si="361">VLOOKUP(DX82,$B$114:$C$126,2,FALSE)</f>
        <v>_low_4_</v>
      </c>
      <c r="DY27" s="37" t="str">
        <f t="shared" si="361"/>
        <v>_COI_1_</v>
      </c>
      <c r="DZ27" s="37" t="str">
        <f t="shared" si="361"/>
        <v>_HIG_3_</v>
      </c>
      <c r="EA27" s="37" t="str">
        <f t="shared" si="361"/>
        <v>_low_2_</v>
      </c>
      <c r="EB27" s="37" t="str">
        <f t="shared" si="361"/>
        <v>_COI_1_</v>
      </c>
      <c r="EE27" s="37">
        <v>20</v>
      </c>
      <c r="EF27" s="37">
        <v>1</v>
      </c>
      <c r="EG27" s="37">
        <v>20</v>
      </c>
      <c r="EH27" s="37">
        <v>20</v>
      </c>
      <c r="EI27" s="37">
        <v>1</v>
      </c>
      <c r="EL27" s="37" t="str">
        <f t="shared" ref="EL27:EP27" si="362">VLOOKUP(EL82,$B$114:$C$126,2,FALSE)</f>
        <v>_low_4_</v>
      </c>
      <c r="EM27" s="37" t="str">
        <f t="shared" si="362"/>
        <v>_COI_1_</v>
      </c>
      <c r="EN27" s="37" t="str">
        <f t="shared" si="362"/>
        <v>_HIG_3_</v>
      </c>
      <c r="EO27" s="37" t="str">
        <f t="shared" si="362"/>
        <v>_low_2_</v>
      </c>
      <c r="EP27" s="37" t="str">
        <f t="shared" si="362"/>
        <v>_COI_1_</v>
      </c>
      <c r="ES27" s="37">
        <v>20</v>
      </c>
      <c r="ET27" s="37">
        <v>1</v>
      </c>
      <c r="EU27" s="37">
        <v>20</v>
      </c>
      <c r="EV27" s="37">
        <v>20</v>
      </c>
      <c r="EW27" s="37">
        <v>1</v>
      </c>
      <c r="EZ27" s="37" t="str">
        <f t="shared" ref="EZ27:FD27" si="363">VLOOKUP(EZ82,$B$114:$C$126,2,FALSE)</f>
        <v>_low_4_</v>
      </c>
      <c r="FA27" s="37" t="str">
        <f t="shared" si="363"/>
        <v>_COI_1_</v>
      </c>
      <c r="FB27" s="37" t="str">
        <f t="shared" si="363"/>
        <v>_HIG_3_</v>
      </c>
      <c r="FC27" s="37" t="str">
        <f t="shared" si="363"/>
        <v>_low_2_</v>
      </c>
      <c r="FD27" s="37" t="str">
        <f t="shared" si="363"/>
        <v>_COI_1_</v>
      </c>
      <c r="FG27" s="37">
        <v>20</v>
      </c>
      <c r="FH27" s="37">
        <v>1</v>
      </c>
      <c r="FI27" s="37">
        <v>20</v>
      </c>
      <c r="FJ27" s="37">
        <v>20</v>
      </c>
      <c r="FK27" s="37">
        <v>1</v>
      </c>
      <c r="FN27" s="37" t="str">
        <f t="shared" ref="FN27:FR27" si="364">VLOOKUP(FN82,$B$114:$C$126,2,FALSE)</f>
        <v>_low_4_</v>
      </c>
      <c r="FO27" s="37" t="str">
        <f t="shared" si="364"/>
        <v>_COI_1_</v>
      </c>
      <c r="FP27" s="37" t="str">
        <f t="shared" si="364"/>
        <v>_HIG_3_</v>
      </c>
      <c r="FQ27" s="37" t="str">
        <f t="shared" si="364"/>
        <v>_low_2_</v>
      </c>
      <c r="FR27" s="37" t="str">
        <f t="shared" si="364"/>
        <v>_COI_1_</v>
      </c>
      <c r="FU27" s="37">
        <v>20</v>
      </c>
      <c r="FV27" s="37">
        <v>1</v>
      </c>
      <c r="FW27" s="37">
        <v>20</v>
      </c>
      <c r="FX27" s="37">
        <v>20</v>
      </c>
      <c r="FY27" s="37">
        <v>1</v>
      </c>
      <c r="GB27" s="37" t="str">
        <f t="shared" ref="GB27:GF27" si="365">VLOOKUP(GB82,$B$114:$C$126,2,FALSE)</f>
        <v>_low_4_</v>
      </c>
      <c r="GC27" s="37" t="str">
        <f t="shared" si="365"/>
        <v>_COI_1_</v>
      </c>
      <c r="GD27" s="37" t="str">
        <f t="shared" si="365"/>
        <v>_HIG_3_</v>
      </c>
      <c r="GE27" s="37" t="str">
        <f t="shared" si="365"/>
        <v>_low_2_</v>
      </c>
      <c r="GF27" s="37" t="str">
        <f t="shared" si="365"/>
        <v>_COI_1_</v>
      </c>
      <c r="GI27" s="37">
        <v>20</v>
      </c>
      <c r="GJ27" s="37">
        <v>1</v>
      </c>
      <c r="GK27" s="37">
        <v>20</v>
      </c>
      <c r="GL27" s="37">
        <v>20</v>
      </c>
      <c r="GM27" s="37">
        <v>1</v>
      </c>
      <c r="GP27" s="37" t="str">
        <f t="shared" ref="GP27:GT27" si="366">VLOOKUP(GP82,$B$114:$C$126,2,FALSE)</f>
        <v>_low_4_</v>
      </c>
      <c r="GQ27" s="37" t="str">
        <f t="shared" si="366"/>
        <v>_COI_1_</v>
      </c>
      <c r="GR27" s="37" t="str">
        <f t="shared" si="366"/>
        <v>_HIG_3_</v>
      </c>
      <c r="GS27" s="37" t="str">
        <f t="shared" si="366"/>
        <v>_low_2_</v>
      </c>
      <c r="GT27" s="37" t="str">
        <f t="shared" si="366"/>
        <v>_COI_1_</v>
      </c>
      <c r="GW27" s="37">
        <v>20</v>
      </c>
      <c r="GX27" s="37">
        <v>1</v>
      </c>
      <c r="GY27" s="37">
        <v>20</v>
      </c>
      <c r="GZ27" s="37">
        <v>20</v>
      </c>
      <c r="HA27" s="37">
        <v>1</v>
      </c>
      <c r="HD27" s="37" t="str">
        <f t="shared" ref="HD27:HH27" si="367">VLOOKUP(HD82,$B$114:$C$126,2,FALSE)</f>
        <v>_low_4_</v>
      </c>
      <c r="HE27" s="37" t="str">
        <f t="shared" si="367"/>
        <v>_COI_1_</v>
      </c>
      <c r="HF27" s="37" t="str">
        <f t="shared" si="367"/>
        <v>_HIG_3_</v>
      </c>
      <c r="HG27" s="37" t="str">
        <f t="shared" si="367"/>
        <v>_low_2_</v>
      </c>
      <c r="HH27" s="37" t="str">
        <f t="shared" si="367"/>
        <v>_COI_1_</v>
      </c>
      <c r="HK27" s="37">
        <v>20</v>
      </c>
      <c r="HL27" s="37">
        <v>1</v>
      </c>
      <c r="HM27" s="37">
        <v>20</v>
      </c>
      <c r="HN27" s="37">
        <v>20</v>
      </c>
      <c r="HO27" s="37">
        <v>1</v>
      </c>
    </row>
    <row r="28" spans="1:223" x14ac:dyDescent="0.35">
      <c r="A28" s="37">
        <v>24</v>
      </c>
      <c r="B28" s="37" t="str">
        <f t="shared" ref="B28:F28" si="368">VLOOKUP(B83,$B$114:$C$126,2,FALSE)</f>
        <v>_HIG_3_</v>
      </c>
      <c r="C28" s="37" t="str">
        <f t="shared" si="368"/>
        <v>_HIG_4_</v>
      </c>
      <c r="D28" s="37" t="str">
        <f t="shared" si="368"/>
        <v>_low_3_</v>
      </c>
      <c r="E28" s="37" t="str">
        <f t="shared" si="368"/>
        <v>_low_2_</v>
      </c>
      <c r="F28" s="37" t="str">
        <f t="shared" si="368"/>
        <v>_HIG_4_</v>
      </c>
      <c r="I28" s="60">
        <v>20</v>
      </c>
      <c r="J28" s="60">
        <v>1</v>
      </c>
      <c r="K28" s="60">
        <v>1</v>
      </c>
      <c r="L28" s="60">
        <v>1</v>
      </c>
      <c r="M28" s="60">
        <v>1</v>
      </c>
      <c r="P28" s="37" t="str">
        <f t="shared" ref="P28:T28" si="369">VLOOKUP(P83,$B$114:$C$126,2,FALSE)</f>
        <v>_HIG_3_</v>
      </c>
      <c r="Q28" s="37" t="str">
        <f t="shared" si="369"/>
        <v>_HIG_4_</v>
      </c>
      <c r="R28" s="37" t="str">
        <f t="shared" si="369"/>
        <v>_low_3_</v>
      </c>
      <c r="S28" s="37" t="str">
        <f t="shared" si="369"/>
        <v>_low_2_</v>
      </c>
      <c r="T28" s="37" t="str">
        <f t="shared" si="369"/>
        <v>_HIG_4_</v>
      </c>
      <c r="W28" s="37">
        <v>20</v>
      </c>
      <c r="X28" s="37">
        <v>1</v>
      </c>
      <c r="Y28" s="37">
        <v>1</v>
      </c>
      <c r="Z28" s="37">
        <v>1</v>
      </c>
      <c r="AA28" s="37">
        <v>1</v>
      </c>
      <c r="AD28" s="37" t="str">
        <f t="shared" ref="AD28:AH28" si="370">VLOOKUP(AD83,$B$114:$C$126,2,FALSE)</f>
        <v>_HIG_3_</v>
      </c>
      <c r="AE28" s="37" t="str">
        <f t="shared" si="370"/>
        <v>_HIG_4_</v>
      </c>
      <c r="AF28" s="37" t="str">
        <f t="shared" si="370"/>
        <v>_low_3_</v>
      </c>
      <c r="AG28" s="37" t="str">
        <f t="shared" si="370"/>
        <v>_low_2_</v>
      </c>
      <c r="AH28" s="37" t="str">
        <f t="shared" si="370"/>
        <v>_HIG_4_</v>
      </c>
      <c r="AK28" s="37">
        <v>20</v>
      </c>
      <c r="AL28" s="37">
        <v>1</v>
      </c>
      <c r="AM28" s="37">
        <v>1</v>
      </c>
      <c r="AN28" s="37">
        <v>2000</v>
      </c>
      <c r="AO28" s="37">
        <v>1</v>
      </c>
      <c r="AR28" s="37" t="str">
        <f t="shared" ref="AR28:AV28" si="371">VLOOKUP(AR83,$B$114:$C$126,2,FALSE)</f>
        <v>_HIG_3_</v>
      </c>
      <c r="AS28" s="37" t="str">
        <f t="shared" si="371"/>
        <v>_HIG_4_</v>
      </c>
      <c r="AT28" s="37" t="str">
        <f t="shared" si="371"/>
        <v>_low_3_</v>
      </c>
      <c r="AU28" s="37" t="str">
        <f t="shared" si="371"/>
        <v>_low_2_</v>
      </c>
      <c r="AV28" s="37" t="str">
        <f t="shared" si="371"/>
        <v>_HIG_4_</v>
      </c>
      <c r="AY28" s="37">
        <v>20</v>
      </c>
      <c r="AZ28" s="37">
        <v>1</v>
      </c>
      <c r="BA28" s="37">
        <v>1</v>
      </c>
      <c r="BB28" s="37">
        <v>1</v>
      </c>
      <c r="BC28" s="37">
        <v>1</v>
      </c>
      <c r="BF28" s="37" t="str">
        <f t="shared" ref="BF28:BJ28" si="372">VLOOKUP(BF83,$B$114:$C$126,2,FALSE)</f>
        <v>_HIG_3_</v>
      </c>
      <c r="BG28" s="37" t="str">
        <f t="shared" si="372"/>
        <v>_HIG_4_</v>
      </c>
      <c r="BH28" s="37" t="str">
        <f t="shared" si="372"/>
        <v>_low_3_</v>
      </c>
      <c r="BI28" s="37" t="str">
        <f t="shared" si="372"/>
        <v>_low_2_</v>
      </c>
      <c r="BJ28" s="37" t="str">
        <f t="shared" si="372"/>
        <v>_HIG_4_</v>
      </c>
      <c r="BM28" s="37">
        <v>20</v>
      </c>
      <c r="BN28" s="37">
        <v>1</v>
      </c>
      <c r="BO28" s="37">
        <v>1</v>
      </c>
      <c r="BP28" s="37">
        <v>1</v>
      </c>
      <c r="BQ28" s="37">
        <v>1</v>
      </c>
      <c r="BT28" s="37" t="str">
        <f t="shared" ref="BT28:BX28" si="373">VLOOKUP(BT83,$B$114:$C$126,2,FALSE)</f>
        <v>_HIG_3_</v>
      </c>
      <c r="BU28" s="37" t="str">
        <f t="shared" si="373"/>
        <v>_HIG_4_</v>
      </c>
      <c r="BV28" s="37" t="str">
        <f t="shared" si="373"/>
        <v>_low_3_</v>
      </c>
      <c r="BW28" s="37" t="str">
        <f t="shared" si="373"/>
        <v>_low_2_</v>
      </c>
      <c r="BX28" s="37" t="str">
        <f t="shared" si="373"/>
        <v>_HIG_4_</v>
      </c>
      <c r="CA28" s="37">
        <v>20</v>
      </c>
      <c r="CB28" s="37">
        <v>1</v>
      </c>
      <c r="CC28" s="37">
        <v>1</v>
      </c>
      <c r="CD28" s="37">
        <v>4000</v>
      </c>
      <c r="CE28" s="37">
        <v>1</v>
      </c>
      <c r="CH28" s="37" t="str">
        <f t="shared" ref="CH28:CL28" si="374">VLOOKUP(CH83,$B$114:$C$126,2,FALSE)</f>
        <v>_HIG_3_</v>
      </c>
      <c r="CI28" s="37" t="str">
        <f t="shared" si="374"/>
        <v>_HIG_4_</v>
      </c>
      <c r="CJ28" s="37" t="str">
        <f t="shared" si="374"/>
        <v>_low_3_</v>
      </c>
      <c r="CK28" s="37" t="str">
        <f t="shared" si="374"/>
        <v>_low_2_</v>
      </c>
      <c r="CL28" s="37" t="str">
        <f t="shared" si="374"/>
        <v>_HIG_4_</v>
      </c>
      <c r="CO28" s="37">
        <v>20</v>
      </c>
      <c r="CP28" s="37">
        <v>1</v>
      </c>
      <c r="CQ28" s="37">
        <v>1</v>
      </c>
      <c r="CR28" s="37">
        <v>1</v>
      </c>
      <c r="CS28" s="37">
        <v>1</v>
      </c>
      <c r="CV28" s="37" t="str">
        <f t="shared" ref="CV28:CZ28" si="375">VLOOKUP(CV83,$B$114:$C$126,2,FALSE)</f>
        <v>_HIG_3_</v>
      </c>
      <c r="CW28" s="37" t="str">
        <f t="shared" si="375"/>
        <v>_HIG_4_</v>
      </c>
      <c r="CX28" s="37" t="str">
        <f t="shared" si="375"/>
        <v>_low_3_</v>
      </c>
      <c r="CY28" s="37" t="str">
        <f t="shared" si="375"/>
        <v>_low_2_</v>
      </c>
      <c r="CZ28" s="37" t="str">
        <f t="shared" si="375"/>
        <v>_HIG_4_</v>
      </c>
      <c r="DC28" s="37">
        <v>20</v>
      </c>
      <c r="DD28" s="37">
        <v>1</v>
      </c>
      <c r="DE28" s="37">
        <v>1</v>
      </c>
      <c r="DF28" s="37">
        <v>1</v>
      </c>
      <c r="DG28" s="37">
        <v>1</v>
      </c>
      <c r="DJ28" s="37" t="str">
        <f t="shared" ref="DJ28:DN28" si="376">VLOOKUP(DJ83,$B$114:$C$126,2,FALSE)</f>
        <v>_HIG_3_</v>
      </c>
      <c r="DK28" s="37" t="str">
        <f t="shared" si="376"/>
        <v>_HIG_4_</v>
      </c>
      <c r="DL28" s="37" t="str">
        <f t="shared" si="376"/>
        <v>_low_3_</v>
      </c>
      <c r="DM28" s="37" t="str">
        <f t="shared" si="376"/>
        <v>_low_2_</v>
      </c>
      <c r="DN28" s="37" t="str">
        <f t="shared" si="376"/>
        <v>_HIG_4_</v>
      </c>
      <c r="DQ28" s="37">
        <v>20</v>
      </c>
      <c r="DR28" s="37">
        <v>1</v>
      </c>
      <c r="DS28" s="37">
        <v>1</v>
      </c>
      <c r="DT28" s="37">
        <v>1</v>
      </c>
      <c r="DU28" s="37">
        <v>1</v>
      </c>
      <c r="DX28" s="37" t="str">
        <f t="shared" ref="DX28:EB28" si="377">VLOOKUP(DX83,$B$114:$C$126,2,FALSE)</f>
        <v>_HIG_3_</v>
      </c>
      <c r="DY28" s="37" t="str">
        <f t="shared" si="377"/>
        <v>_HIG_4_</v>
      </c>
      <c r="DZ28" s="37" t="str">
        <f t="shared" si="377"/>
        <v>_low_3_</v>
      </c>
      <c r="EA28" s="37" t="str">
        <f t="shared" si="377"/>
        <v>_low_2_</v>
      </c>
      <c r="EB28" s="37" t="str">
        <f t="shared" si="377"/>
        <v>_HIG_4_</v>
      </c>
      <c r="EE28" s="37">
        <v>20</v>
      </c>
      <c r="EF28" s="37">
        <v>1</v>
      </c>
      <c r="EG28" s="37">
        <v>1</v>
      </c>
      <c r="EH28" s="37">
        <v>1</v>
      </c>
      <c r="EI28" s="37">
        <v>1</v>
      </c>
      <c r="EL28" s="37" t="str">
        <f t="shared" ref="EL28:EP28" si="378">VLOOKUP(EL83,$B$114:$C$126,2,FALSE)</f>
        <v>_HIG_3_</v>
      </c>
      <c r="EM28" s="37" t="str">
        <f t="shared" si="378"/>
        <v>_HIG_4_</v>
      </c>
      <c r="EN28" s="37" t="str">
        <f t="shared" si="378"/>
        <v>_low_3_</v>
      </c>
      <c r="EO28" s="37" t="str">
        <f t="shared" si="378"/>
        <v>_low_2_</v>
      </c>
      <c r="EP28" s="37" t="str">
        <f t="shared" si="378"/>
        <v>_HIG_4_</v>
      </c>
      <c r="ES28" s="37">
        <v>20</v>
      </c>
      <c r="ET28" s="37">
        <v>1</v>
      </c>
      <c r="EU28" s="37">
        <v>1</v>
      </c>
      <c r="EV28" s="37">
        <v>1</v>
      </c>
      <c r="EW28" s="37">
        <v>1</v>
      </c>
      <c r="EZ28" s="37" t="str">
        <f t="shared" ref="EZ28:FD28" si="379">VLOOKUP(EZ83,$B$114:$C$126,2,FALSE)</f>
        <v>_HIG_3_</v>
      </c>
      <c r="FA28" s="37" t="str">
        <f t="shared" si="379"/>
        <v>_HIG_4_</v>
      </c>
      <c r="FB28" s="37" t="str">
        <f t="shared" si="379"/>
        <v>_low_3_</v>
      </c>
      <c r="FC28" s="37" t="str">
        <f t="shared" si="379"/>
        <v>_low_2_</v>
      </c>
      <c r="FD28" s="37" t="str">
        <f t="shared" si="379"/>
        <v>_HIG_4_</v>
      </c>
      <c r="FG28" s="37">
        <v>20</v>
      </c>
      <c r="FH28" s="37">
        <v>1</v>
      </c>
      <c r="FI28" s="37">
        <v>1</v>
      </c>
      <c r="FJ28" s="37">
        <v>1</v>
      </c>
      <c r="FK28" s="37">
        <v>1</v>
      </c>
      <c r="FN28" s="37" t="str">
        <f t="shared" ref="FN28:FR28" si="380">VLOOKUP(FN83,$B$114:$C$126,2,FALSE)</f>
        <v>_HIG_3_</v>
      </c>
      <c r="FO28" s="37" t="str">
        <f t="shared" si="380"/>
        <v>_HIG_4_</v>
      </c>
      <c r="FP28" s="37" t="str">
        <f t="shared" si="380"/>
        <v>_low_3_</v>
      </c>
      <c r="FQ28" s="37" t="str">
        <f t="shared" si="380"/>
        <v>_low_2_</v>
      </c>
      <c r="FR28" s="37" t="str">
        <f t="shared" si="380"/>
        <v>_HIG_4_</v>
      </c>
      <c r="FU28" s="37">
        <v>20</v>
      </c>
      <c r="FV28" s="37">
        <v>1</v>
      </c>
      <c r="FW28" s="37">
        <v>1</v>
      </c>
      <c r="FX28" s="37">
        <v>1</v>
      </c>
      <c r="FY28" s="37">
        <v>1</v>
      </c>
      <c r="GB28" s="37" t="str">
        <f t="shared" ref="GB28:GF28" si="381">VLOOKUP(GB83,$B$114:$C$126,2,FALSE)</f>
        <v>_HIG_3_</v>
      </c>
      <c r="GC28" s="37" t="str">
        <f t="shared" si="381"/>
        <v>_HIG_4_</v>
      </c>
      <c r="GD28" s="37" t="str">
        <f t="shared" si="381"/>
        <v>_low_3_</v>
      </c>
      <c r="GE28" s="37" t="str">
        <f t="shared" si="381"/>
        <v>_low_2_</v>
      </c>
      <c r="GF28" s="37" t="str">
        <f t="shared" si="381"/>
        <v>_HIG_4_</v>
      </c>
      <c r="GI28" s="37">
        <v>20</v>
      </c>
      <c r="GJ28" s="37">
        <v>1</v>
      </c>
      <c r="GK28" s="37">
        <v>1</v>
      </c>
      <c r="GL28" s="37">
        <v>1</v>
      </c>
      <c r="GM28" s="37">
        <v>1</v>
      </c>
      <c r="GP28" s="37" t="str">
        <f t="shared" ref="GP28:GT28" si="382">VLOOKUP(GP83,$B$114:$C$126,2,FALSE)</f>
        <v>_HIG_3_</v>
      </c>
      <c r="GQ28" s="37" t="str">
        <f t="shared" si="382"/>
        <v>_HIG_4_</v>
      </c>
      <c r="GR28" s="37" t="str">
        <f t="shared" si="382"/>
        <v>_low_3_</v>
      </c>
      <c r="GS28" s="37" t="str">
        <f t="shared" si="382"/>
        <v>_low_2_</v>
      </c>
      <c r="GT28" s="37" t="str">
        <f t="shared" si="382"/>
        <v>_HIG_4_</v>
      </c>
      <c r="GW28" s="37">
        <v>20</v>
      </c>
      <c r="GX28" s="37">
        <v>1</v>
      </c>
      <c r="GY28" s="37">
        <v>1</v>
      </c>
      <c r="GZ28" s="37">
        <v>1</v>
      </c>
      <c r="HA28" s="37">
        <v>1</v>
      </c>
      <c r="HD28" s="37" t="str">
        <f t="shared" ref="HD28:HH28" si="383">VLOOKUP(HD83,$B$114:$C$126,2,FALSE)</f>
        <v>_HIG_3_</v>
      </c>
      <c r="HE28" s="37" t="str">
        <f t="shared" si="383"/>
        <v>_HIG_4_</v>
      </c>
      <c r="HF28" s="37" t="str">
        <f t="shared" si="383"/>
        <v>_low_3_</v>
      </c>
      <c r="HG28" s="37" t="str">
        <f t="shared" si="383"/>
        <v>_low_2_</v>
      </c>
      <c r="HH28" s="37" t="str">
        <f t="shared" si="383"/>
        <v>_HIG_4_</v>
      </c>
      <c r="HK28" s="37">
        <v>20</v>
      </c>
      <c r="HL28" s="37">
        <v>1</v>
      </c>
      <c r="HM28" s="37">
        <v>1</v>
      </c>
      <c r="HN28" s="37">
        <v>1</v>
      </c>
      <c r="HO28" s="37">
        <v>1</v>
      </c>
    </row>
    <row r="29" spans="1:223" x14ac:dyDescent="0.35">
      <c r="A29" s="37">
        <v>25</v>
      </c>
      <c r="B29" s="37" t="str">
        <f t="shared" ref="B29:F29" si="384">VLOOKUP(B84,$B$114:$C$126,2,FALSE)</f>
        <v>_HIG_3_</v>
      </c>
      <c r="C29" s="37" t="str">
        <f t="shared" si="384"/>
        <v>_low_3_</v>
      </c>
      <c r="D29" s="37" t="str">
        <f t="shared" si="384"/>
        <v>_COI_1_</v>
      </c>
      <c r="E29" s="37" t="str">
        <f t="shared" si="384"/>
        <v>_COI_1_</v>
      </c>
      <c r="F29" s="37" t="str">
        <f t="shared" si="384"/>
        <v>_low_2_</v>
      </c>
      <c r="I29" s="60">
        <v>1</v>
      </c>
      <c r="J29" s="60">
        <v>20</v>
      </c>
      <c r="K29" s="60">
        <v>1</v>
      </c>
      <c r="L29" s="60">
        <v>1</v>
      </c>
      <c r="M29" s="60">
        <v>20</v>
      </c>
      <c r="P29" s="37" t="str">
        <f t="shared" ref="P29:T29" si="385">VLOOKUP(P84,$B$114:$C$126,2,FALSE)</f>
        <v>_HIG_3_</v>
      </c>
      <c r="Q29" s="37" t="str">
        <f t="shared" si="385"/>
        <v>_low_3_</v>
      </c>
      <c r="R29" s="37" t="str">
        <f t="shared" si="385"/>
        <v>_COI_1_</v>
      </c>
      <c r="S29" s="37" t="str">
        <f t="shared" si="385"/>
        <v>_COI_1_</v>
      </c>
      <c r="T29" s="37" t="str">
        <f t="shared" si="385"/>
        <v>_low_2_</v>
      </c>
      <c r="W29" s="37">
        <v>1</v>
      </c>
      <c r="X29" s="37">
        <v>20</v>
      </c>
      <c r="Y29" s="37">
        <v>1</v>
      </c>
      <c r="Z29" s="37">
        <v>1</v>
      </c>
      <c r="AA29" s="37">
        <v>20</v>
      </c>
      <c r="AD29" s="37" t="str">
        <f t="shared" ref="AD29:AH29" si="386">VLOOKUP(AD84,$B$114:$C$126,2,FALSE)</f>
        <v>_HIG_3_</v>
      </c>
      <c r="AE29" s="37" t="str">
        <f t="shared" si="386"/>
        <v>_low_3_</v>
      </c>
      <c r="AF29" s="37" t="str">
        <f t="shared" si="386"/>
        <v>_COI_1_</v>
      </c>
      <c r="AG29" s="37" t="str">
        <f t="shared" si="386"/>
        <v>_COI_1_</v>
      </c>
      <c r="AH29" s="37" t="str">
        <f t="shared" si="386"/>
        <v>_low_2_</v>
      </c>
      <c r="AK29" s="37">
        <v>1</v>
      </c>
      <c r="AL29" s="37">
        <v>20</v>
      </c>
      <c r="AM29" s="37">
        <v>1</v>
      </c>
      <c r="AN29" s="37">
        <v>2000</v>
      </c>
      <c r="AO29" s="37">
        <v>20</v>
      </c>
      <c r="AR29" s="37" t="str">
        <f t="shared" ref="AR29:AV29" si="387">VLOOKUP(AR84,$B$114:$C$126,2,FALSE)</f>
        <v>_HIG_3_</v>
      </c>
      <c r="AS29" s="37" t="str">
        <f t="shared" si="387"/>
        <v>_low_3_</v>
      </c>
      <c r="AT29" s="37" t="str">
        <f t="shared" si="387"/>
        <v>_COI_1_</v>
      </c>
      <c r="AU29" s="37" t="str">
        <f t="shared" si="387"/>
        <v>_COI_1_</v>
      </c>
      <c r="AV29" s="37" t="str">
        <f t="shared" si="387"/>
        <v>_low_2_</v>
      </c>
      <c r="AY29" s="37">
        <v>1</v>
      </c>
      <c r="AZ29" s="37">
        <v>20</v>
      </c>
      <c r="BA29" s="37">
        <v>1</v>
      </c>
      <c r="BB29" s="37">
        <v>1</v>
      </c>
      <c r="BC29" s="37">
        <v>20</v>
      </c>
      <c r="BF29" s="37" t="str">
        <f t="shared" ref="BF29:BJ29" si="388">VLOOKUP(BF84,$B$114:$C$126,2,FALSE)</f>
        <v>_HIG_3_</v>
      </c>
      <c r="BG29" s="37" t="str">
        <f t="shared" si="388"/>
        <v>_low_3_</v>
      </c>
      <c r="BH29" s="37" t="str">
        <f t="shared" si="388"/>
        <v>_COI_1_</v>
      </c>
      <c r="BI29" s="37" t="str">
        <f t="shared" si="388"/>
        <v>_COI_1_</v>
      </c>
      <c r="BJ29" s="37" t="str">
        <f t="shared" si="388"/>
        <v>_low_2_</v>
      </c>
      <c r="BM29" s="37">
        <v>1</v>
      </c>
      <c r="BN29" s="37">
        <v>20</v>
      </c>
      <c r="BO29" s="37">
        <v>1</v>
      </c>
      <c r="BP29" s="37">
        <v>1</v>
      </c>
      <c r="BQ29" s="37">
        <v>20</v>
      </c>
      <c r="BT29" s="37" t="str">
        <f t="shared" ref="BT29:BX29" si="389">VLOOKUP(BT84,$B$114:$C$126,2,FALSE)</f>
        <v>_HIG_3_</v>
      </c>
      <c r="BU29" s="37" t="str">
        <f t="shared" si="389"/>
        <v>_low_3_</v>
      </c>
      <c r="BV29" s="37" t="str">
        <f t="shared" si="389"/>
        <v>_COI_1_</v>
      </c>
      <c r="BW29" s="37" t="str">
        <f t="shared" si="389"/>
        <v>_COI_1_</v>
      </c>
      <c r="BX29" s="37" t="str">
        <f t="shared" si="389"/>
        <v>_low_2_</v>
      </c>
      <c r="CA29" s="37">
        <v>1</v>
      </c>
      <c r="CB29" s="37">
        <v>20</v>
      </c>
      <c r="CC29" s="37">
        <v>1</v>
      </c>
      <c r="CD29" s="37">
        <v>4000</v>
      </c>
      <c r="CE29" s="37">
        <v>20</v>
      </c>
      <c r="CH29" s="37" t="str">
        <f t="shared" ref="CH29:CL29" si="390">VLOOKUP(CH84,$B$114:$C$126,2,FALSE)</f>
        <v>_HIG_3_</v>
      </c>
      <c r="CI29" s="37" t="str">
        <f t="shared" si="390"/>
        <v>_low_3_</v>
      </c>
      <c r="CJ29" s="37" t="str">
        <f t="shared" si="390"/>
        <v>_COI_1_</v>
      </c>
      <c r="CK29" s="37" t="str">
        <f t="shared" si="390"/>
        <v>_COI_1_</v>
      </c>
      <c r="CL29" s="37" t="str">
        <f t="shared" si="390"/>
        <v>_low_2_</v>
      </c>
      <c r="CO29" s="37">
        <v>1</v>
      </c>
      <c r="CP29" s="37">
        <v>20</v>
      </c>
      <c r="CQ29" s="37">
        <v>1</v>
      </c>
      <c r="CR29" s="37">
        <v>1</v>
      </c>
      <c r="CS29" s="37">
        <v>20</v>
      </c>
      <c r="CV29" s="37" t="str">
        <f t="shared" ref="CV29:CZ29" si="391">VLOOKUP(CV84,$B$114:$C$126,2,FALSE)</f>
        <v>_HIG_3_</v>
      </c>
      <c r="CW29" s="37" t="str">
        <f t="shared" si="391"/>
        <v>_low_3_</v>
      </c>
      <c r="CX29" s="37" t="str">
        <f t="shared" si="391"/>
        <v>_COI_1_</v>
      </c>
      <c r="CY29" s="37" t="str">
        <f t="shared" si="391"/>
        <v>_COI_1_</v>
      </c>
      <c r="CZ29" s="37" t="str">
        <f t="shared" si="391"/>
        <v>_low_2_</v>
      </c>
      <c r="DC29" s="37">
        <v>1</v>
      </c>
      <c r="DD29" s="37">
        <v>20</v>
      </c>
      <c r="DE29" s="37">
        <v>1</v>
      </c>
      <c r="DF29" s="37">
        <v>1</v>
      </c>
      <c r="DG29" s="37">
        <v>20</v>
      </c>
      <c r="DJ29" s="37" t="str">
        <f t="shared" ref="DJ29:DN29" si="392">VLOOKUP(DJ84,$B$114:$C$126,2,FALSE)</f>
        <v>_HIG_3_</v>
      </c>
      <c r="DK29" s="37" t="str">
        <f t="shared" si="392"/>
        <v>_low_3_</v>
      </c>
      <c r="DL29" s="37" t="str">
        <f t="shared" si="392"/>
        <v>_COI_1_</v>
      </c>
      <c r="DM29" s="37" t="str">
        <f t="shared" si="392"/>
        <v>_COI_1_</v>
      </c>
      <c r="DN29" s="37" t="str">
        <f t="shared" si="392"/>
        <v>_low_2_</v>
      </c>
      <c r="DQ29" s="37">
        <v>1</v>
      </c>
      <c r="DR29" s="37">
        <v>20</v>
      </c>
      <c r="DS29" s="37">
        <v>1</v>
      </c>
      <c r="DT29" s="37">
        <v>1</v>
      </c>
      <c r="DU29" s="37">
        <v>20</v>
      </c>
      <c r="DX29" s="37" t="str">
        <f t="shared" ref="DX29:EB29" si="393">VLOOKUP(DX84,$B$114:$C$126,2,FALSE)</f>
        <v>_HIG_3_</v>
      </c>
      <c r="DY29" s="37" t="str">
        <f t="shared" si="393"/>
        <v>_low_3_</v>
      </c>
      <c r="DZ29" s="37" t="str">
        <f t="shared" si="393"/>
        <v>_COI_1_</v>
      </c>
      <c r="EA29" s="37" t="str">
        <f t="shared" si="393"/>
        <v>_COI_1_</v>
      </c>
      <c r="EB29" s="37" t="str">
        <f t="shared" si="393"/>
        <v>_low_2_</v>
      </c>
      <c r="EE29" s="37">
        <v>1</v>
      </c>
      <c r="EF29" s="37">
        <v>20</v>
      </c>
      <c r="EG29" s="37">
        <v>1</v>
      </c>
      <c r="EH29" s="37">
        <v>1</v>
      </c>
      <c r="EI29" s="37">
        <v>20</v>
      </c>
      <c r="EL29" s="37" t="str">
        <f t="shared" ref="EL29:EP29" si="394">VLOOKUP(EL84,$B$114:$C$126,2,FALSE)</f>
        <v>_HIG_3_</v>
      </c>
      <c r="EM29" s="37" t="str">
        <f t="shared" si="394"/>
        <v>_low_3_</v>
      </c>
      <c r="EN29" s="37" t="str">
        <f t="shared" si="394"/>
        <v>_COI_1_</v>
      </c>
      <c r="EO29" s="37" t="str">
        <f t="shared" si="394"/>
        <v>_COI_1_</v>
      </c>
      <c r="EP29" s="37" t="str">
        <f t="shared" si="394"/>
        <v>_low_2_</v>
      </c>
      <c r="ES29" s="37">
        <v>1</v>
      </c>
      <c r="ET29" s="37">
        <v>20</v>
      </c>
      <c r="EU29" s="37">
        <v>1</v>
      </c>
      <c r="EV29" s="37">
        <v>1</v>
      </c>
      <c r="EW29" s="37">
        <v>20</v>
      </c>
      <c r="EZ29" s="37" t="str">
        <f t="shared" ref="EZ29:FD29" si="395">VLOOKUP(EZ84,$B$114:$C$126,2,FALSE)</f>
        <v>_HIG_3_</v>
      </c>
      <c r="FA29" s="37" t="str">
        <f t="shared" si="395"/>
        <v>_low_3_</v>
      </c>
      <c r="FB29" s="37" t="str">
        <f t="shared" si="395"/>
        <v>_COI_1_</v>
      </c>
      <c r="FC29" s="37" t="str">
        <f t="shared" si="395"/>
        <v>_COI_1_</v>
      </c>
      <c r="FD29" s="37" t="str">
        <f t="shared" si="395"/>
        <v>_low_2_</v>
      </c>
      <c r="FG29" s="37">
        <v>1</v>
      </c>
      <c r="FH29" s="37">
        <v>20</v>
      </c>
      <c r="FI29" s="37">
        <v>1</v>
      </c>
      <c r="FJ29" s="37">
        <v>1</v>
      </c>
      <c r="FK29" s="37">
        <v>20</v>
      </c>
      <c r="FN29" s="37" t="str">
        <f t="shared" ref="FN29:FR29" si="396">VLOOKUP(FN84,$B$114:$C$126,2,FALSE)</f>
        <v>_HIG_3_</v>
      </c>
      <c r="FO29" s="37" t="str">
        <f t="shared" si="396"/>
        <v>_low_3_</v>
      </c>
      <c r="FP29" s="37" t="str">
        <f t="shared" si="396"/>
        <v>_COI_1_</v>
      </c>
      <c r="FQ29" s="37" t="str">
        <f t="shared" si="396"/>
        <v>_COI_1_</v>
      </c>
      <c r="FR29" s="37" t="str">
        <f t="shared" si="396"/>
        <v>_low_2_</v>
      </c>
      <c r="FU29" s="37">
        <v>1</v>
      </c>
      <c r="FV29" s="37">
        <v>20</v>
      </c>
      <c r="FW29" s="37">
        <v>1</v>
      </c>
      <c r="FX29" s="37">
        <v>1</v>
      </c>
      <c r="FY29" s="37">
        <v>20</v>
      </c>
      <c r="GB29" s="37" t="str">
        <f t="shared" ref="GB29:GF29" si="397">VLOOKUP(GB84,$B$114:$C$126,2,FALSE)</f>
        <v>_HIG_3_</v>
      </c>
      <c r="GC29" s="37" t="str">
        <f t="shared" si="397"/>
        <v>_low_3_</v>
      </c>
      <c r="GD29" s="37" t="str">
        <f t="shared" si="397"/>
        <v>_COI_1_</v>
      </c>
      <c r="GE29" s="37" t="str">
        <f t="shared" si="397"/>
        <v>_COI_1_</v>
      </c>
      <c r="GF29" s="37" t="str">
        <f t="shared" si="397"/>
        <v>_low_2_</v>
      </c>
      <c r="GI29" s="37">
        <v>1</v>
      </c>
      <c r="GJ29" s="37">
        <v>20</v>
      </c>
      <c r="GK29" s="37">
        <v>1</v>
      </c>
      <c r="GL29" s="37">
        <v>1</v>
      </c>
      <c r="GM29" s="37">
        <v>20</v>
      </c>
      <c r="GP29" s="37" t="str">
        <f t="shared" ref="GP29:GT29" si="398">VLOOKUP(GP84,$B$114:$C$126,2,FALSE)</f>
        <v>_HIG_3_</v>
      </c>
      <c r="GQ29" s="37" t="str">
        <f t="shared" si="398"/>
        <v>_low_3_</v>
      </c>
      <c r="GR29" s="37" t="str">
        <f t="shared" si="398"/>
        <v>_COI_1_</v>
      </c>
      <c r="GS29" s="37" t="str">
        <f t="shared" si="398"/>
        <v>_COI_1_</v>
      </c>
      <c r="GT29" s="37" t="str">
        <f t="shared" si="398"/>
        <v>_low_2_</v>
      </c>
      <c r="GW29" s="37">
        <v>1</v>
      </c>
      <c r="GX29" s="37">
        <v>20</v>
      </c>
      <c r="GY29" s="37">
        <v>1</v>
      </c>
      <c r="GZ29" s="37">
        <v>1</v>
      </c>
      <c r="HA29" s="37">
        <v>20</v>
      </c>
      <c r="HD29" s="37" t="str">
        <f t="shared" ref="HD29:HH29" si="399">VLOOKUP(HD84,$B$114:$C$126,2,FALSE)</f>
        <v>_HIG_3_</v>
      </c>
      <c r="HE29" s="37" t="str">
        <f t="shared" si="399"/>
        <v>_low_3_</v>
      </c>
      <c r="HF29" s="37" t="str">
        <f t="shared" si="399"/>
        <v>_COI_1_</v>
      </c>
      <c r="HG29" s="37" t="str">
        <f t="shared" si="399"/>
        <v>_COI_1_</v>
      </c>
      <c r="HH29" s="37" t="str">
        <f t="shared" si="399"/>
        <v>_low_2_</v>
      </c>
      <c r="HK29" s="37">
        <v>1</v>
      </c>
      <c r="HL29" s="37">
        <v>20</v>
      </c>
      <c r="HM29" s="37">
        <v>1</v>
      </c>
      <c r="HN29" s="37">
        <v>1</v>
      </c>
      <c r="HO29" s="37">
        <v>20</v>
      </c>
    </row>
    <row r="30" spans="1:223" x14ac:dyDescent="0.35">
      <c r="A30" s="37">
        <v>26</v>
      </c>
      <c r="B30" s="37" t="str">
        <f t="shared" ref="B30:F30" si="400">VLOOKUP(B85,$B$114:$C$126,2,FALSE)</f>
        <v>_low_5_</v>
      </c>
      <c r="C30" s="37" t="str">
        <f t="shared" si="400"/>
        <v>_HIG_2_</v>
      </c>
      <c r="D30" s="37" t="str">
        <f t="shared" si="400"/>
        <v>_COI_1_</v>
      </c>
      <c r="E30" s="37" t="str">
        <f t="shared" si="400"/>
        <v>_HIG_3_</v>
      </c>
      <c r="F30" s="37" t="str">
        <f t="shared" si="400"/>
        <v>_HIG_4_</v>
      </c>
      <c r="I30" s="60">
        <v>1</v>
      </c>
      <c r="J30" s="60">
        <v>20</v>
      </c>
      <c r="K30" s="60">
        <v>1</v>
      </c>
      <c r="L30" s="60">
        <v>1</v>
      </c>
      <c r="M30" s="60">
        <v>20</v>
      </c>
      <c r="P30" s="37" t="str">
        <f t="shared" ref="P30:T30" si="401">VLOOKUP(P85,$B$114:$C$126,2,FALSE)</f>
        <v>_low_5_</v>
      </c>
      <c r="Q30" s="37" t="str">
        <f t="shared" si="401"/>
        <v>_HIG_2_</v>
      </c>
      <c r="R30" s="37" t="str">
        <f t="shared" si="401"/>
        <v>_COI_1_</v>
      </c>
      <c r="S30" s="37" t="str">
        <f t="shared" si="401"/>
        <v>_HIG_3_</v>
      </c>
      <c r="T30" s="37" t="str">
        <f t="shared" si="401"/>
        <v>_HIG_4_</v>
      </c>
      <c r="W30" s="37">
        <v>1</v>
      </c>
      <c r="X30" s="37">
        <v>20</v>
      </c>
      <c r="Y30" s="37">
        <v>1</v>
      </c>
      <c r="Z30" s="37">
        <v>10</v>
      </c>
      <c r="AA30" s="37">
        <v>20</v>
      </c>
      <c r="AD30" s="37" t="str">
        <f t="shared" ref="AD30:AH30" si="402">VLOOKUP(AD85,$B$114:$C$126,2,FALSE)</f>
        <v>_low_5_</v>
      </c>
      <c r="AE30" s="37" t="str">
        <f t="shared" si="402"/>
        <v>_HIG_2_</v>
      </c>
      <c r="AF30" s="37" t="str">
        <f t="shared" si="402"/>
        <v>_COI_1_</v>
      </c>
      <c r="AG30" s="37" t="str">
        <f t="shared" si="402"/>
        <v>_HIG_3_</v>
      </c>
      <c r="AH30" s="37" t="str">
        <f t="shared" si="402"/>
        <v>_HIG_4_</v>
      </c>
      <c r="AK30" s="37">
        <v>1</v>
      </c>
      <c r="AL30" s="37">
        <v>20</v>
      </c>
      <c r="AM30" s="37">
        <v>1</v>
      </c>
      <c r="AN30" s="37">
        <v>2000</v>
      </c>
      <c r="AO30" s="37">
        <v>20</v>
      </c>
      <c r="AR30" s="37" t="str">
        <f t="shared" ref="AR30:AV30" si="403">VLOOKUP(AR85,$B$114:$C$126,2,FALSE)</f>
        <v>_low_5_</v>
      </c>
      <c r="AS30" s="37" t="str">
        <f t="shared" si="403"/>
        <v>_HIG_2_</v>
      </c>
      <c r="AT30" s="37" t="str">
        <f t="shared" si="403"/>
        <v>_COI_1_</v>
      </c>
      <c r="AU30" s="37" t="str">
        <f t="shared" si="403"/>
        <v>_HIG_3_</v>
      </c>
      <c r="AV30" s="37" t="str">
        <f t="shared" si="403"/>
        <v>_HIG_4_</v>
      </c>
      <c r="AY30" s="37">
        <v>1</v>
      </c>
      <c r="AZ30" s="37">
        <v>20</v>
      </c>
      <c r="BA30" s="37">
        <v>1</v>
      </c>
      <c r="BB30" s="37">
        <v>10</v>
      </c>
      <c r="BC30" s="37">
        <v>20</v>
      </c>
      <c r="BF30" s="37" t="str">
        <f t="shared" ref="BF30:BJ30" si="404">VLOOKUP(BF85,$B$114:$C$126,2,FALSE)</f>
        <v>_low_5_</v>
      </c>
      <c r="BG30" s="37" t="str">
        <f t="shared" si="404"/>
        <v>_HIG_2_</v>
      </c>
      <c r="BH30" s="37" t="str">
        <f t="shared" si="404"/>
        <v>_COI_1_</v>
      </c>
      <c r="BI30" s="37" t="str">
        <f t="shared" si="404"/>
        <v>_HIG_3_</v>
      </c>
      <c r="BJ30" s="37" t="str">
        <f t="shared" si="404"/>
        <v>_HIG_4_</v>
      </c>
      <c r="BM30" s="37">
        <v>1</v>
      </c>
      <c r="BN30" s="37">
        <v>20</v>
      </c>
      <c r="BO30" s="37">
        <v>1</v>
      </c>
      <c r="BP30" s="37">
        <v>10</v>
      </c>
      <c r="BQ30" s="37">
        <v>20</v>
      </c>
      <c r="BT30" s="37" t="str">
        <f t="shared" ref="BT30:BX30" si="405">VLOOKUP(BT85,$B$114:$C$126,2,FALSE)</f>
        <v>_low_5_</v>
      </c>
      <c r="BU30" s="37" t="str">
        <f t="shared" si="405"/>
        <v>_HIG_2_</v>
      </c>
      <c r="BV30" s="37" t="str">
        <f t="shared" si="405"/>
        <v>_COI_1_</v>
      </c>
      <c r="BW30" s="37" t="str">
        <f t="shared" si="405"/>
        <v>_HIG_3_</v>
      </c>
      <c r="BX30" s="37" t="str">
        <f t="shared" si="405"/>
        <v>_HIG_4_</v>
      </c>
      <c r="CA30" s="37">
        <v>1</v>
      </c>
      <c r="CB30" s="37">
        <v>20</v>
      </c>
      <c r="CC30" s="37">
        <v>1</v>
      </c>
      <c r="CD30" s="37">
        <v>4000</v>
      </c>
      <c r="CE30" s="37">
        <v>20</v>
      </c>
      <c r="CH30" s="37" t="str">
        <f t="shared" ref="CH30:CL30" si="406">VLOOKUP(CH85,$B$114:$C$126,2,FALSE)</f>
        <v>_low_5_</v>
      </c>
      <c r="CI30" s="37" t="str">
        <f t="shared" si="406"/>
        <v>_HIG_2_</v>
      </c>
      <c r="CJ30" s="37" t="str">
        <f t="shared" si="406"/>
        <v>_COI_1_</v>
      </c>
      <c r="CK30" s="37" t="str">
        <f t="shared" si="406"/>
        <v>_HIG_3_</v>
      </c>
      <c r="CL30" s="37" t="str">
        <f t="shared" si="406"/>
        <v>_HIG_4_</v>
      </c>
      <c r="CO30" s="37">
        <v>1</v>
      </c>
      <c r="CP30" s="37">
        <v>20</v>
      </c>
      <c r="CQ30" s="37">
        <v>1</v>
      </c>
      <c r="CR30" s="37">
        <v>10</v>
      </c>
      <c r="CS30" s="37">
        <v>20</v>
      </c>
      <c r="CV30" s="37" t="str">
        <f t="shared" ref="CV30:CZ30" si="407">VLOOKUP(CV85,$B$114:$C$126,2,FALSE)</f>
        <v>_low_5_</v>
      </c>
      <c r="CW30" s="37" t="str">
        <f t="shared" si="407"/>
        <v>_HIG_2_</v>
      </c>
      <c r="CX30" s="37" t="str">
        <f t="shared" si="407"/>
        <v>_COI_1_</v>
      </c>
      <c r="CY30" s="37" t="str">
        <f t="shared" si="407"/>
        <v>_HIG_3_</v>
      </c>
      <c r="CZ30" s="37" t="str">
        <f t="shared" si="407"/>
        <v>_HIG_4_</v>
      </c>
      <c r="DC30" s="37">
        <v>1</v>
      </c>
      <c r="DD30" s="37">
        <v>20</v>
      </c>
      <c r="DE30" s="37">
        <v>4000</v>
      </c>
      <c r="DF30" s="37">
        <v>10</v>
      </c>
      <c r="DG30" s="37">
        <v>20</v>
      </c>
      <c r="DJ30" s="37" t="str">
        <f t="shared" ref="DJ30:DN30" si="408">VLOOKUP(DJ85,$B$114:$C$126,2,FALSE)</f>
        <v>_low_5_</v>
      </c>
      <c r="DK30" s="37" t="str">
        <f t="shared" si="408"/>
        <v>_HIG_2_</v>
      </c>
      <c r="DL30" s="37" t="str">
        <f t="shared" si="408"/>
        <v>_COI_1_</v>
      </c>
      <c r="DM30" s="37" t="str">
        <f t="shared" si="408"/>
        <v>_HIG_3_</v>
      </c>
      <c r="DN30" s="37" t="str">
        <f t="shared" si="408"/>
        <v>_HIG_4_</v>
      </c>
      <c r="DQ30" s="37">
        <v>1</v>
      </c>
      <c r="DR30" s="37">
        <v>20</v>
      </c>
      <c r="DS30" s="37">
        <v>1</v>
      </c>
      <c r="DT30" s="37">
        <v>10</v>
      </c>
      <c r="DU30" s="37">
        <v>20</v>
      </c>
      <c r="DX30" s="37" t="str">
        <f t="shared" ref="DX30:EB30" si="409">VLOOKUP(DX85,$B$114:$C$126,2,FALSE)</f>
        <v>_low_5_</v>
      </c>
      <c r="DY30" s="37" t="str">
        <f t="shared" si="409"/>
        <v>_HIG_2_</v>
      </c>
      <c r="DZ30" s="37" t="str">
        <f t="shared" si="409"/>
        <v>_COI_1_</v>
      </c>
      <c r="EA30" s="37" t="str">
        <f t="shared" si="409"/>
        <v>_HIG_3_</v>
      </c>
      <c r="EB30" s="37" t="str">
        <f t="shared" si="409"/>
        <v>_HIG_4_</v>
      </c>
      <c r="EE30" s="37">
        <v>1</v>
      </c>
      <c r="EF30" s="37">
        <v>20</v>
      </c>
      <c r="EG30" s="37">
        <v>1</v>
      </c>
      <c r="EH30" s="37">
        <v>10</v>
      </c>
      <c r="EI30" s="37">
        <v>20</v>
      </c>
      <c r="EL30" s="37" t="str">
        <f t="shared" ref="EL30:EP30" si="410">VLOOKUP(EL85,$B$114:$C$126,2,FALSE)</f>
        <v>_low_5_</v>
      </c>
      <c r="EM30" s="37" t="str">
        <f t="shared" si="410"/>
        <v>_HIG_2_</v>
      </c>
      <c r="EN30" s="37" t="str">
        <f t="shared" si="410"/>
        <v>_COI_1_</v>
      </c>
      <c r="EO30" s="37" t="str">
        <f t="shared" si="410"/>
        <v>_HIG_3_</v>
      </c>
      <c r="EP30" s="37" t="str">
        <f t="shared" si="410"/>
        <v>_HIG_4_</v>
      </c>
      <c r="ES30" s="37">
        <v>1</v>
      </c>
      <c r="ET30" s="37">
        <v>20</v>
      </c>
      <c r="EU30" s="37">
        <v>1</v>
      </c>
      <c r="EV30" s="37">
        <v>10</v>
      </c>
      <c r="EW30" s="37">
        <v>20</v>
      </c>
      <c r="EZ30" s="37" t="str">
        <f t="shared" ref="EZ30:FD30" si="411">VLOOKUP(EZ85,$B$114:$C$126,2,FALSE)</f>
        <v>_low_5_</v>
      </c>
      <c r="FA30" s="37" t="str">
        <f t="shared" si="411"/>
        <v>_HIG_2_</v>
      </c>
      <c r="FB30" s="37" t="str">
        <f t="shared" si="411"/>
        <v>_COI_1_</v>
      </c>
      <c r="FC30" s="37" t="str">
        <f t="shared" si="411"/>
        <v>_HIG_3_</v>
      </c>
      <c r="FD30" s="37" t="str">
        <f t="shared" si="411"/>
        <v>_HIG_4_</v>
      </c>
      <c r="FG30" s="37">
        <v>1</v>
      </c>
      <c r="FH30" s="37">
        <v>20</v>
      </c>
      <c r="FI30" s="37">
        <v>1</v>
      </c>
      <c r="FJ30" s="37">
        <v>10</v>
      </c>
      <c r="FK30" s="37">
        <v>20</v>
      </c>
      <c r="FN30" s="37" t="str">
        <f t="shared" ref="FN30:FR30" si="412">VLOOKUP(FN85,$B$114:$C$126,2,FALSE)</f>
        <v>_low_5_</v>
      </c>
      <c r="FO30" s="37" t="str">
        <f t="shared" si="412"/>
        <v>_HIG_2_</v>
      </c>
      <c r="FP30" s="37" t="str">
        <f t="shared" si="412"/>
        <v>_COI_1_</v>
      </c>
      <c r="FQ30" s="37" t="str">
        <f t="shared" si="412"/>
        <v>_HIG_3_</v>
      </c>
      <c r="FR30" s="37" t="str">
        <f t="shared" si="412"/>
        <v>_HIG_4_</v>
      </c>
      <c r="FU30" s="37">
        <v>1</v>
      </c>
      <c r="FV30" s="37">
        <v>20</v>
      </c>
      <c r="FW30" s="37">
        <v>1</v>
      </c>
      <c r="FX30" s="37">
        <v>10</v>
      </c>
      <c r="FY30" s="37">
        <v>20</v>
      </c>
      <c r="GB30" s="37" t="str">
        <f t="shared" ref="GB30:GF30" si="413">VLOOKUP(GB85,$B$114:$C$126,2,FALSE)</f>
        <v>_low_5_</v>
      </c>
      <c r="GC30" s="37" t="str">
        <f t="shared" si="413"/>
        <v>_HIG_2_</v>
      </c>
      <c r="GD30" s="37" t="str">
        <f t="shared" si="413"/>
        <v>_COI_1_</v>
      </c>
      <c r="GE30" s="37" t="str">
        <f t="shared" si="413"/>
        <v>_HIG_3_</v>
      </c>
      <c r="GF30" s="37" t="str">
        <f t="shared" si="413"/>
        <v>_HIG_4_</v>
      </c>
      <c r="GI30" s="37">
        <v>1</v>
      </c>
      <c r="GJ30" s="37">
        <v>20</v>
      </c>
      <c r="GK30" s="37">
        <v>4000</v>
      </c>
      <c r="GL30" s="37">
        <v>10</v>
      </c>
      <c r="GM30" s="37">
        <v>20</v>
      </c>
      <c r="GP30" s="37" t="str">
        <f t="shared" ref="GP30:GT30" si="414">VLOOKUP(GP85,$B$114:$C$126,2,FALSE)</f>
        <v>_low_5_</v>
      </c>
      <c r="GQ30" s="37" t="str">
        <f t="shared" si="414"/>
        <v>_HIG_2_</v>
      </c>
      <c r="GR30" s="37" t="str">
        <f t="shared" si="414"/>
        <v>_COI_1_</v>
      </c>
      <c r="GS30" s="37" t="str">
        <f t="shared" si="414"/>
        <v>_HIG_3_</v>
      </c>
      <c r="GT30" s="37" t="str">
        <f t="shared" si="414"/>
        <v>_HIG_4_</v>
      </c>
      <c r="GW30" s="37">
        <v>1</v>
      </c>
      <c r="GX30" s="37">
        <v>20</v>
      </c>
      <c r="GY30" s="37">
        <v>10000</v>
      </c>
      <c r="GZ30" s="37">
        <v>10</v>
      </c>
      <c r="HA30" s="37">
        <v>20</v>
      </c>
      <c r="HD30" s="37" t="str">
        <f t="shared" ref="HD30:HH30" si="415">VLOOKUP(HD85,$B$114:$C$126,2,FALSE)</f>
        <v>_low_5_</v>
      </c>
      <c r="HE30" s="37" t="str">
        <f t="shared" si="415"/>
        <v>_HIG_2_</v>
      </c>
      <c r="HF30" s="37" t="str">
        <f t="shared" si="415"/>
        <v>_COI_1_</v>
      </c>
      <c r="HG30" s="37" t="str">
        <f t="shared" si="415"/>
        <v>_HIG_3_</v>
      </c>
      <c r="HH30" s="37" t="str">
        <f t="shared" si="415"/>
        <v>_HIG_4_</v>
      </c>
      <c r="HK30" s="37">
        <v>1</v>
      </c>
      <c r="HL30" s="37">
        <v>20</v>
      </c>
      <c r="HM30" s="37">
        <v>100000000</v>
      </c>
      <c r="HN30" s="37">
        <v>10</v>
      </c>
      <c r="HO30" s="37">
        <v>20</v>
      </c>
    </row>
    <row r="31" spans="1:223" x14ac:dyDescent="0.35">
      <c r="A31" s="37">
        <v>27</v>
      </c>
      <c r="B31" s="37" t="str">
        <f t="shared" ref="B31:F31" si="416">VLOOKUP(B86,$B$114:$C$126,2,FALSE)</f>
        <v>_COI_1_</v>
      </c>
      <c r="C31" s="37" t="str">
        <f t="shared" si="416"/>
        <v>_low_2_</v>
      </c>
      <c r="D31" s="37" t="str">
        <f t="shared" si="416"/>
        <v>_COI_1_</v>
      </c>
      <c r="E31" s="37" t="str">
        <f t="shared" si="416"/>
        <v>_SCA_1_</v>
      </c>
      <c r="F31" s="37" t="str">
        <f t="shared" si="416"/>
        <v>_low_4_</v>
      </c>
      <c r="I31" s="60">
        <v>1</v>
      </c>
      <c r="J31" s="60">
        <v>20</v>
      </c>
      <c r="K31" s="60">
        <v>1</v>
      </c>
      <c r="L31" s="60">
        <v>10</v>
      </c>
      <c r="M31" s="60">
        <v>20</v>
      </c>
      <c r="P31" s="37" t="str">
        <f t="shared" ref="P31:T31" si="417">VLOOKUP(P86,$B$114:$C$126,2,FALSE)</f>
        <v>_COI_1_</v>
      </c>
      <c r="Q31" s="37" t="str">
        <f t="shared" si="417"/>
        <v>_low_2_</v>
      </c>
      <c r="R31" s="37" t="str">
        <f t="shared" si="417"/>
        <v>_COI_1_</v>
      </c>
      <c r="S31" s="37" t="str">
        <f t="shared" si="417"/>
        <v>_SCA_1_</v>
      </c>
      <c r="T31" s="37" t="str">
        <f t="shared" si="417"/>
        <v>_low_4_</v>
      </c>
      <c r="W31" s="37">
        <v>1</v>
      </c>
      <c r="X31" s="37">
        <v>20</v>
      </c>
      <c r="Y31" s="37">
        <v>1</v>
      </c>
      <c r="Z31" s="37">
        <v>10</v>
      </c>
      <c r="AA31" s="37">
        <v>20</v>
      </c>
      <c r="AD31" s="37" t="str">
        <f t="shared" ref="AD31:AH31" si="418">VLOOKUP(AD86,$B$114:$C$126,2,FALSE)</f>
        <v>_COI_1_</v>
      </c>
      <c r="AE31" s="37" t="str">
        <f t="shared" si="418"/>
        <v>_low_2_</v>
      </c>
      <c r="AF31" s="37" t="str">
        <f t="shared" si="418"/>
        <v>_COI_1_</v>
      </c>
      <c r="AG31" s="37" t="str">
        <f t="shared" si="418"/>
        <v>_SCA_1_</v>
      </c>
      <c r="AH31" s="37" t="str">
        <f t="shared" si="418"/>
        <v>_low_4_</v>
      </c>
      <c r="AK31" s="37">
        <v>1</v>
      </c>
      <c r="AL31" s="37">
        <v>20</v>
      </c>
      <c r="AM31" s="37">
        <v>1</v>
      </c>
      <c r="AN31" s="37">
        <v>10</v>
      </c>
      <c r="AO31" s="37">
        <v>20</v>
      </c>
      <c r="AR31" s="37" t="str">
        <f t="shared" ref="AR31:AV31" si="419">VLOOKUP(AR86,$B$114:$C$126,2,FALSE)</f>
        <v>_COI_1_</v>
      </c>
      <c r="AS31" s="37" t="str">
        <f t="shared" si="419"/>
        <v>_low_2_</v>
      </c>
      <c r="AT31" s="37" t="str">
        <f t="shared" si="419"/>
        <v>_COI_1_</v>
      </c>
      <c r="AU31" s="37" t="str">
        <f t="shared" si="419"/>
        <v>_SCA_1_</v>
      </c>
      <c r="AV31" s="37" t="str">
        <f t="shared" si="419"/>
        <v>_low_4_</v>
      </c>
      <c r="AY31" s="37">
        <v>1</v>
      </c>
      <c r="AZ31" s="37">
        <v>20</v>
      </c>
      <c r="BA31" s="37">
        <v>1</v>
      </c>
      <c r="BB31" s="37">
        <v>10</v>
      </c>
      <c r="BC31" s="37">
        <v>20</v>
      </c>
      <c r="BF31" s="37" t="str">
        <f t="shared" ref="BF31:BJ31" si="420">VLOOKUP(BF86,$B$114:$C$126,2,FALSE)</f>
        <v>_COI_1_</v>
      </c>
      <c r="BG31" s="37" t="str">
        <f t="shared" si="420"/>
        <v>_low_2_</v>
      </c>
      <c r="BH31" s="37" t="str">
        <f t="shared" si="420"/>
        <v>_COI_1_</v>
      </c>
      <c r="BI31" s="37" t="str">
        <f t="shared" si="420"/>
        <v>_SCA_1_</v>
      </c>
      <c r="BJ31" s="37" t="str">
        <f t="shared" si="420"/>
        <v>_low_4_</v>
      </c>
      <c r="BM31" s="37">
        <v>1</v>
      </c>
      <c r="BN31" s="37">
        <v>20</v>
      </c>
      <c r="BO31" s="37">
        <v>1</v>
      </c>
      <c r="BP31" s="37">
        <v>10</v>
      </c>
      <c r="BQ31" s="37">
        <v>20</v>
      </c>
      <c r="BT31" s="37" t="str">
        <f t="shared" ref="BT31:BX31" si="421">VLOOKUP(BT86,$B$114:$C$126,2,FALSE)</f>
        <v>_COI_1_</v>
      </c>
      <c r="BU31" s="37" t="str">
        <f t="shared" si="421"/>
        <v>_low_2_</v>
      </c>
      <c r="BV31" s="37" t="str">
        <f t="shared" si="421"/>
        <v>_COI_1_</v>
      </c>
      <c r="BW31" s="37" t="str">
        <f t="shared" si="421"/>
        <v>_SCA_1_</v>
      </c>
      <c r="BX31" s="37" t="str">
        <f t="shared" si="421"/>
        <v>_low_4_</v>
      </c>
      <c r="CA31" s="37">
        <v>1</v>
      </c>
      <c r="CB31" s="37">
        <v>20</v>
      </c>
      <c r="CC31" s="37">
        <v>1</v>
      </c>
      <c r="CD31" s="37">
        <v>10</v>
      </c>
      <c r="CE31" s="37">
        <v>20</v>
      </c>
      <c r="CH31" s="37" t="str">
        <f t="shared" ref="CH31:CL31" si="422">VLOOKUP(CH86,$B$114:$C$126,2,FALSE)</f>
        <v>_COI_1_</v>
      </c>
      <c r="CI31" s="37" t="str">
        <f t="shared" si="422"/>
        <v>_low_2_</v>
      </c>
      <c r="CJ31" s="37" t="str">
        <f t="shared" si="422"/>
        <v>_COI_1_</v>
      </c>
      <c r="CK31" s="37" t="str">
        <f t="shared" si="422"/>
        <v>_SCA_1_</v>
      </c>
      <c r="CL31" s="37" t="str">
        <f t="shared" si="422"/>
        <v>_low_4_</v>
      </c>
      <c r="CO31" s="37">
        <v>1</v>
      </c>
      <c r="CP31" s="37">
        <v>20</v>
      </c>
      <c r="CQ31" s="37">
        <v>1</v>
      </c>
      <c r="CR31" s="37">
        <v>10</v>
      </c>
      <c r="CS31" s="37">
        <v>20</v>
      </c>
      <c r="CV31" s="37" t="str">
        <f t="shared" ref="CV31:CZ31" si="423">VLOOKUP(CV86,$B$114:$C$126,2,FALSE)</f>
        <v>_COI_1_</v>
      </c>
      <c r="CW31" s="37" t="str">
        <f t="shared" si="423"/>
        <v>_low_2_</v>
      </c>
      <c r="CX31" s="37" t="str">
        <f t="shared" si="423"/>
        <v>_COI_1_</v>
      </c>
      <c r="CY31" s="37" t="str">
        <f t="shared" si="423"/>
        <v>_SCA_1_</v>
      </c>
      <c r="CZ31" s="37" t="str">
        <f t="shared" si="423"/>
        <v>_low_4_</v>
      </c>
      <c r="DC31" s="37">
        <v>1</v>
      </c>
      <c r="DD31" s="37">
        <v>20</v>
      </c>
      <c r="DE31" s="37">
        <v>1</v>
      </c>
      <c r="DF31" s="37">
        <v>10</v>
      </c>
      <c r="DG31" s="37">
        <v>20</v>
      </c>
      <c r="DJ31" s="37" t="str">
        <f t="shared" ref="DJ31:DN31" si="424">VLOOKUP(DJ86,$B$114:$C$126,2,FALSE)</f>
        <v>_COI_1_</v>
      </c>
      <c r="DK31" s="37" t="str">
        <f t="shared" si="424"/>
        <v>_low_2_</v>
      </c>
      <c r="DL31" s="37" t="str">
        <f t="shared" si="424"/>
        <v>_COI_1_</v>
      </c>
      <c r="DM31" s="37" t="str">
        <f t="shared" si="424"/>
        <v>_SCA_1_</v>
      </c>
      <c r="DN31" s="37" t="str">
        <f t="shared" si="424"/>
        <v>_low_4_</v>
      </c>
      <c r="DQ31" s="37">
        <v>1</v>
      </c>
      <c r="DR31" s="37">
        <v>20</v>
      </c>
      <c r="DS31" s="37">
        <v>1</v>
      </c>
      <c r="DT31" s="37">
        <v>10</v>
      </c>
      <c r="DU31" s="37">
        <v>20</v>
      </c>
      <c r="DX31" s="37" t="str">
        <f t="shared" ref="DX31:EB31" si="425">VLOOKUP(DX86,$B$114:$C$126,2,FALSE)</f>
        <v>_COI_1_</v>
      </c>
      <c r="DY31" s="37" t="str">
        <f t="shared" si="425"/>
        <v>_low_2_</v>
      </c>
      <c r="DZ31" s="37" t="str">
        <f t="shared" si="425"/>
        <v>_COI_1_</v>
      </c>
      <c r="EA31" s="37" t="str">
        <f t="shared" si="425"/>
        <v>_SCA_1_</v>
      </c>
      <c r="EB31" s="37" t="str">
        <f t="shared" si="425"/>
        <v>_low_4_</v>
      </c>
      <c r="EE31" s="37">
        <v>1</v>
      </c>
      <c r="EF31" s="37">
        <v>20</v>
      </c>
      <c r="EG31" s="37">
        <v>1</v>
      </c>
      <c r="EH31" s="37">
        <v>10</v>
      </c>
      <c r="EI31" s="37">
        <v>20</v>
      </c>
      <c r="EL31" s="37" t="str">
        <f t="shared" ref="EL31:EP31" si="426">VLOOKUP(EL86,$B$114:$C$126,2,FALSE)</f>
        <v>_COI_1_</v>
      </c>
      <c r="EM31" s="37" t="str">
        <f t="shared" si="426"/>
        <v>_low_2_</v>
      </c>
      <c r="EN31" s="37" t="str">
        <f t="shared" si="426"/>
        <v>_COI_1_</v>
      </c>
      <c r="EO31" s="37" t="str">
        <f t="shared" si="426"/>
        <v>_SCA_1_</v>
      </c>
      <c r="EP31" s="37" t="str">
        <f t="shared" si="426"/>
        <v>_low_4_</v>
      </c>
      <c r="ES31" s="37">
        <v>1</v>
      </c>
      <c r="ET31" s="37">
        <v>20</v>
      </c>
      <c r="EU31" s="37">
        <v>1</v>
      </c>
      <c r="EV31" s="37">
        <v>10</v>
      </c>
      <c r="EW31" s="37">
        <v>20</v>
      </c>
      <c r="EZ31" s="37" t="str">
        <f t="shared" ref="EZ31:FD31" si="427">VLOOKUP(EZ86,$B$114:$C$126,2,FALSE)</f>
        <v>_COI_1_</v>
      </c>
      <c r="FA31" s="37" t="str">
        <f t="shared" si="427"/>
        <v>_low_2_</v>
      </c>
      <c r="FB31" s="37" t="str">
        <f t="shared" si="427"/>
        <v>_COI_1_</v>
      </c>
      <c r="FC31" s="37" t="str">
        <f t="shared" si="427"/>
        <v>_SCA_1_</v>
      </c>
      <c r="FD31" s="37" t="str">
        <f t="shared" si="427"/>
        <v>_low_4_</v>
      </c>
      <c r="FG31" s="37">
        <v>1</v>
      </c>
      <c r="FH31" s="37">
        <v>20</v>
      </c>
      <c r="FI31" s="37">
        <v>1</v>
      </c>
      <c r="FJ31" s="37">
        <v>10</v>
      </c>
      <c r="FK31" s="37">
        <v>20</v>
      </c>
      <c r="FN31" s="37" t="str">
        <f t="shared" ref="FN31:FR31" si="428">VLOOKUP(FN86,$B$114:$C$126,2,FALSE)</f>
        <v>_COI_1_</v>
      </c>
      <c r="FO31" s="37" t="str">
        <f t="shared" si="428"/>
        <v>_low_2_</v>
      </c>
      <c r="FP31" s="37" t="str">
        <f t="shared" si="428"/>
        <v>_COI_1_</v>
      </c>
      <c r="FQ31" s="37" t="str">
        <f t="shared" si="428"/>
        <v>_SCA_1_</v>
      </c>
      <c r="FR31" s="37" t="str">
        <f t="shared" si="428"/>
        <v>_low_4_</v>
      </c>
      <c r="FU31" s="37">
        <v>1</v>
      </c>
      <c r="FV31" s="37">
        <v>20</v>
      </c>
      <c r="FW31" s="37">
        <v>1</v>
      </c>
      <c r="FX31" s="37">
        <v>10</v>
      </c>
      <c r="FY31" s="37">
        <v>20</v>
      </c>
      <c r="GB31" s="37" t="str">
        <f t="shared" ref="GB31:GF31" si="429">VLOOKUP(GB86,$B$114:$C$126,2,FALSE)</f>
        <v>_COI_1_</v>
      </c>
      <c r="GC31" s="37" t="str">
        <f t="shared" si="429"/>
        <v>_low_2_</v>
      </c>
      <c r="GD31" s="37" t="str">
        <f t="shared" si="429"/>
        <v>_COI_1_</v>
      </c>
      <c r="GE31" s="37" t="str">
        <f t="shared" si="429"/>
        <v>_SCA_1_</v>
      </c>
      <c r="GF31" s="37" t="str">
        <f t="shared" si="429"/>
        <v>_low_4_</v>
      </c>
      <c r="GI31" s="37">
        <v>1</v>
      </c>
      <c r="GJ31" s="37">
        <v>20</v>
      </c>
      <c r="GK31" s="37">
        <v>1</v>
      </c>
      <c r="GL31" s="37">
        <v>10</v>
      </c>
      <c r="GM31" s="37">
        <v>20</v>
      </c>
      <c r="GP31" s="37" t="str">
        <f t="shared" ref="GP31:GT31" si="430">VLOOKUP(GP86,$B$114:$C$126,2,FALSE)</f>
        <v>_COI_1_</v>
      </c>
      <c r="GQ31" s="37" t="str">
        <f t="shared" si="430"/>
        <v>_low_2_</v>
      </c>
      <c r="GR31" s="37" t="str">
        <f t="shared" si="430"/>
        <v>_COI_1_</v>
      </c>
      <c r="GS31" s="37" t="str">
        <f t="shared" si="430"/>
        <v>_SCA_1_</v>
      </c>
      <c r="GT31" s="37" t="str">
        <f t="shared" si="430"/>
        <v>_low_4_</v>
      </c>
      <c r="GW31" s="37">
        <v>1</v>
      </c>
      <c r="GX31" s="37">
        <v>20</v>
      </c>
      <c r="GY31" s="37">
        <v>1</v>
      </c>
      <c r="GZ31" s="37">
        <v>10</v>
      </c>
      <c r="HA31" s="37">
        <v>20</v>
      </c>
      <c r="HD31" s="37" t="str">
        <f t="shared" ref="HD31:HH31" si="431">VLOOKUP(HD86,$B$114:$C$126,2,FALSE)</f>
        <v>_COI_1_</v>
      </c>
      <c r="HE31" s="37" t="str">
        <f t="shared" si="431"/>
        <v>_low_2_</v>
      </c>
      <c r="HF31" s="37" t="str">
        <f t="shared" si="431"/>
        <v>_COI_1_</v>
      </c>
      <c r="HG31" s="37" t="str">
        <f t="shared" si="431"/>
        <v>_SCA_1_</v>
      </c>
      <c r="HH31" s="37" t="str">
        <f t="shared" si="431"/>
        <v>_low_4_</v>
      </c>
      <c r="HK31" s="37">
        <v>1</v>
      </c>
      <c r="HL31" s="37">
        <v>20</v>
      </c>
      <c r="HM31" s="37">
        <v>1</v>
      </c>
      <c r="HN31" s="37">
        <v>10</v>
      </c>
      <c r="HO31" s="37">
        <v>20</v>
      </c>
    </row>
    <row r="32" spans="1:223" x14ac:dyDescent="0.35">
      <c r="A32" s="37">
        <v>28</v>
      </c>
      <c r="B32" s="37" t="str">
        <f t="shared" ref="B32:F32" si="432">VLOOKUP(B87,$B$114:$C$126,2,FALSE)</f>
        <v>_COI_1_</v>
      </c>
      <c r="C32" s="37" t="str">
        <f t="shared" si="432"/>
        <v>_HIG_3_</v>
      </c>
      <c r="D32" s="37" t="str">
        <f t="shared" si="432"/>
        <v>_low_1_</v>
      </c>
      <c r="E32" s="37" t="str">
        <f t="shared" si="432"/>
        <v>_low_5_</v>
      </c>
      <c r="F32" s="37" t="str">
        <f t="shared" si="432"/>
        <v>_low_3_</v>
      </c>
      <c r="I32" s="60">
        <v>1</v>
      </c>
      <c r="J32" s="60">
        <v>1</v>
      </c>
      <c r="K32" s="60">
        <v>1</v>
      </c>
      <c r="L32" s="60">
        <v>10</v>
      </c>
      <c r="M32" s="60">
        <v>20</v>
      </c>
      <c r="P32" s="37" t="str">
        <f t="shared" ref="P32:T32" si="433">VLOOKUP(P87,$B$114:$C$126,2,FALSE)</f>
        <v>_COI_1_</v>
      </c>
      <c r="Q32" s="37" t="str">
        <f t="shared" si="433"/>
        <v>_HIG_3_</v>
      </c>
      <c r="R32" s="37" t="str">
        <f t="shared" si="433"/>
        <v>_low_1_</v>
      </c>
      <c r="S32" s="37" t="str">
        <f t="shared" si="433"/>
        <v>_low_5_</v>
      </c>
      <c r="T32" s="37" t="str">
        <f t="shared" si="433"/>
        <v>_low_3_</v>
      </c>
      <c r="W32" s="37">
        <v>1</v>
      </c>
      <c r="X32" s="37">
        <v>1</v>
      </c>
      <c r="Y32" s="37">
        <v>1</v>
      </c>
      <c r="Z32" s="37">
        <v>10</v>
      </c>
      <c r="AA32" s="37">
        <v>20</v>
      </c>
      <c r="AD32" s="37" t="str">
        <f t="shared" ref="AD32:AH32" si="434">VLOOKUP(AD87,$B$114:$C$126,2,FALSE)</f>
        <v>_COI_1_</v>
      </c>
      <c r="AE32" s="37" t="str">
        <f t="shared" si="434"/>
        <v>_HIG_3_</v>
      </c>
      <c r="AF32" s="37" t="str">
        <f t="shared" si="434"/>
        <v>_low_1_</v>
      </c>
      <c r="AG32" s="37" t="str">
        <f t="shared" si="434"/>
        <v>_low_5_</v>
      </c>
      <c r="AH32" s="37" t="str">
        <f t="shared" si="434"/>
        <v>_low_3_</v>
      </c>
      <c r="AK32" s="37">
        <v>1</v>
      </c>
      <c r="AL32" s="37">
        <v>1</v>
      </c>
      <c r="AM32" s="37">
        <v>1</v>
      </c>
      <c r="AN32" s="37">
        <v>10</v>
      </c>
      <c r="AO32" s="37">
        <v>20</v>
      </c>
      <c r="AR32" s="37" t="str">
        <f t="shared" ref="AR32:AV32" si="435">VLOOKUP(AR87,$B$114:$C$126,2,FALSE)</f>
        <v>_COI_1_</v>
      </c>
      <c r="AS32" s="37" t="str">
        <f t="shared" si="435"/>
        <v>_HIG_3_</v>
      </c>
      <c r="AT32" s="37" t="str">
        <f t="shared" si="435"/>
        <v>_low_1_</v>
      </c>
      <c r="AU32" s="37" t="str">
        <f t="shared" si="435"/>
        <v>_low_5_</v>
      </c>
      <c r="AV32" s="37" t="str">
        <f t="shared" si="435"/>
        <v>_low_3_</v>
      </c>
      <c r="AY32" s="37">
        <v>1</v>
      </c>
      <c r="AZ32" s="37">
        <v>1</v>
      </c>
      <c r="BA32" s="37">
        <v>1</v>
      </c>
      <c r="BB32" s="37">
        <v>10</v>
      </c>
      <c r="BC32" s="37">
        <v>20</v>
      </c>
      <c r="BF32" s="37" t="str">
        <f t="shared" ref="BF32:BJ32" si="436">VLOOKUP(BF87,$B$114:$C$126,2,FALSE)</f>
        <v>_COI_1_</v>
      </c>
      <c r="BG32" s="37" t="str">
        <f t="shared" si="436"/>
        <v>_HIG_3_</v>
      </c>
      <c r="BH32" s="37" t="str">
        <f t="shared" si="436"/>
        <v>_low_1_</v>
      </c>
      <c r="BI32" s="37" t="str">
        <f t="shared" si="436"/>
        <v>_low_5_</v>
      </c>
      <c r="BJ32" s="37" t="str">
        <f t="shared" si="436"/>
        <v>_low_3_</v>
      </c>
      <c r="BM32" s="37">
        <v>1</v>
      </c>
      <c r="BN32" s="37">
        <v>1</v>
      </c>
      <c r="BO32" s="37">
        <v>1</v>
      </c>
      <c r="BP32" s="37">
        <v>10</v>
      </c>
      <c r="BQ32" s="37">
        <v>20</v>
      </c>
      <c r="BT32" s="37" t="str">
        <f t="shared" ref="BT32:BX32" si="437">VLOOKUP(BT87,$B$114:$C$126,2,FALSE)</f>
        <v>_COI_1_</v>
      </c>
      <c r="BU32" s="37" t="str">
        <f t="shared" si="437"/>
        <v>_HIG_3_</v>
      </c>
      <c r="BV32" s="37" t="str">
        <f t="shared" si="437"/>
        <v>_low_1_</v>
      </c>
      <c r="BW32" s="37" t="str">
        <f t="shared" si="437"/>
        <v>_low_5_</v>
      </c>
      <c r="BX32" s="37" t="str">
        <f t="shared" si="437"/>
        <v>_low_3_</v>
      </c>
      <c r="CA32" s="37">
        <v>1</v>
      </c>
      <c r="CB32" s="37">
        <v>1</v>
      </c>
      <c r="CC32" s="37">
        <v>1</v>
      </c>
      <c r="CD32" s="37">
        <v>10</v>
      </c>
      <c r="CE32" s="37">
        <v>20</v>
      </c>
      <c r="CH32" s="37" t="str">
        <f t="shared" ref="CH32:CL32" si="438">VLOOKUP(CH87,$B$114:$C$126,2,FALSE)</f>
        <v>_COI_1_</v>
      </c>
      <c r="CI32" s="37" t="str">
        <f t="shared" si="438"/>
        <v>_HIG_3_</v>
      </c>
      <c r="CJ32" s="37" t="str">
        <f t="shared" si="438"/>
        <v>_low_1_</v>
      </c>
      <c r="CK32" s="37" t="str">
        <f t="shared" si="438"/>
        <v>_low_5_</v>
      </c>
      <c r="CL32" s="37" t="str">
        <f t="shared" si="438"/>
        <v>_low_3_</v>
      </c>
      <c r="CO32" s="37">
        <v>1</v>
      </c>
      <c r="CP32" s="37">
        <v>1</v>
      </c>
      <c r="CQ32" s="37">
        <v>1</v>
      </c>
      <c r="CR32" s="37">
        <v>10</v>
      </c>
      <c r="CS32" s="37">
        <v>20</v>
      </c>
      <c r="CV32" s="37" t="str">
        <f t="shared" ref="CV32:CZ32" si="439">VLOOKUP(CV87,$B$114:$C$126,2,FALSE)</f>
        <v>_COI_1_</v>
      </c>
      <c r="CW32" s="37" t="str">
        <f t="shared" si="439"/>
        <v>_HIG_3_</v>
      </c>
      <c r="CX32" s="37" t="str">
        <f t="shared" si="439"/>
        <v>_low_1_</v>
      </c>
      <c r="CY32" s="37" t="str">
        <f t="shared" si="439"/>
        <v>_low_5_</v>
      </c>
      <c r="CZ32" s="37" t="str">
        <f t="shared" si="439"/>
        <v>_low_3_</v>
      </c>
      <c r="DC32" s="37">
        <v>1</v>
      </c>
      <c r="DD32" s="37">
        <v>1</v>
      </c>
      <c r="DE32" s="37">
        <v>1</v>
      </c>
      <c r="DF32" s="37">
        <v>10</v>
      </c>
      <c r="DG32" s="37">
        <v>20</v>
      </c>
      <c r="DJ32" s="37" t="str">
        <f t="shared" ref="DJ32:DN32" si="440">VLOOKUP(DJ87,$B$114:$C$126,2,FALSE)</f>
        <v>_COI_1_</v>
      </c>
      <c r="DK32" s="37" t="str">
        <f t="shared" si="440"/>
        <v>_HIG_3_</v>
      </c>
      <c r="DL32" s="37" t="str">
        <f t="shared" si="440"/>
        <v>_low_1_</v>
      </c>
      <c r="DM32" s="37" t="str">
        <f t="shared" si="440"/>
        <v>_low_5_</v>
      </c>
      <c r="DN32" s="37" t="str">
        <f t="shared" si="440"/>
        <v>_low_3_</v>
      </c>
      <c r="DQ32" s="37">
        <v>1</v>
      </c>
      <c r="DR32" s="37">
        <v>1</v>
      </c>
      <c r="DS32" s="37">
        <v>1</v>
      </c>
      <c r="DT32" s="37">
        <v>10</v>
      </c>
      <c r="DU32" s="37">
        <v>20</v>
      </c>
      <c r="DX32" s="37" t="str">
        <f t="shared" ref="DX32:EB32" si="441">VLOOKUP(DX87,$B$114:$C$126,2,FALSE)</f>
        <v>_COI_1_</v>
      </c>
      <c r="DY32" s="37" t="str">
        <f t="shared" si="441"/>
        <v>_HIG_3_</v>
      </c>
      <c r="DZ32" s="37" t="str">
        <f t="shared" si="441"/>
        <v>_low_1_</v>
      </c>
      <c r="EA32" s="37" t="str">
        <f t="shared" si="441"/>
        <v>_low_5_</v>
      </c>
      <c r="EB32" s="37" t="str">
        <f t="shared" si="441"/>
        <v>_low_3_</v>
      </c>
      <c r="EE32" s="37">
        <v>1</v>
      </c>
      <c r="EF32" s="37">
        <v>1</v>
      </c>
      <c r="EG32" s="37">
        <v>1</v>
      </c>
      <c r="EH32" s="37">
        <v>10</v>
      </c>
      <c r="EI32" s="37">
        <v>20</v>
      </c>
      <c r="EL32" s="37" t="str">
        <f t="shared" ref="EL32:EP32" si="442">VLOOKUP(EL87,$B$114:$C$126,2,FALSE)</f>
        <v>_COI_1_</v>
      </c>
      <c r="EM32" s="37" t="str">
        <f t="shared" si="442"/>
        <v>_HIG_3_</v>
      </c>
      <c r="EN32" s="37" t="str">
        <f t="shared" si="442"/>
        <v>_low_1_</v>
      </c>
      <c r="EO32" s="37" t="str">
        <f t="shared" si="442"/>
        <v>_low_5_</v>
      </c>
      <c r="EP32" s="37" t="str">
        <f t="shared" si="442"/>
        <v>_low_3_</v>
      </c>
      <c r="ES32" s="37">
        <v>1</v>
      </c>
      <c r="ET32" s="37">
        <v>1</v>
      </c>
      <c r="EU32" s="37">
        <v>1</v>
      </c>
      <c r="EV32" s="37">
        <v>10</v>
      </c>
      <c r="EW32" s="37">
        <v>20</v>
      </c>
      <c r="EZ32" s="37" t="str">
        <f t="shared" ref="EZ32:FD32" si="443">VLOOKUP(EZ87,$B$114:$C$126,2,FALSE)</f>
        <v>_COI_1_</v>
      </c>
      <c r="FA32" s="37" t="str">
        <f t="shared" si="443"/>
        <v>_HIG_3_</v>
      </c>
      <c r="FB32" s="37" t="str">
        <f t="shared" si="443"/>
        <v>_low_1_</v>
      </c>
      <c r="FC32" s="37" t="str">
        <f t="shared" si="443"/>
        <v>_low_5_</v>
      </c>
      <c r="FD32" s="37" t="str">
        <f t="shared" si="443"/>
        <v>_low_3_</v>
      </c>
      <c r="FG32" s="37">
        <v>1</v>
      </c>
      <c r="FH32" s="37">
        <v>1</v>
      </c>
      <c r="FI32" s="37">
        <v>1</v>
      </c>
      <c r="FJ32" s="37">
        <v>10</v>
      </c>
      <c r="FK32" s="37">
        <v>20</v>
      </c>
      <c r="FN32" s="37" t="str">
        <f t="shared" ref="FN32:FR32" si="444">VLOOKUP(FN87,$B$114:$C$126,2,FALSE)</f>
        <v>_COI_1_</v>
      </c>
      <c r="FO32" s="37" t="str">
        <f t="shared" si="444"/>
        <v>_HIG_3_</v>
      </c>
      <c r="FP32" s="37" t="str">
        <f t="shared" si="444"/>
        <v>_low_1_</v>
      </c>
      <c r="FQ32" s="37" t="str">
        <f t="shared" si="444"/>
        <v>_low_5_</v>
      </c>
      <c r="FR32" s="37" t="str">
        <f t="shared" si="444"/>
        <v>_low_3_</v>
      </c>
      <c r="FU32" s="37">
        <v>4000</v>
      </c>
      <c r="FV32" s="37">
        <v>1</v>
      </c>
      <c r="FW32" s="37">
        <v>1</v>
      </c>
      <c r="FX32" s="37">
        <v>10</v>
      </c>
      <c r="FY32" s="37">
        <v>20</v>
      </c>
      <c r="GB32" s="37" t="str">
        <f t="shared" ref="GB32:GF32" si="445">VLOOKUP(GB87,$B$114:$C$126,2,FALSE)</f>
        <v>_COI_1_</v>
      </c>
      <c r="GC32" s="37" t="str">
        <f t="shared" si="445"/>
        <v>_HIG_3_</v>
      </c>
      <c r="GD32" s="37" t="str">
        <f t="shared" si="445"/>
        <v>_low_1_</v>
      </c>
      <c r="GE32" s="37" t="str">
        <f t="shared" si="445"/>
        <v>_low_5_</v>
      </c>
      <c r="GF32" s="37" t="str">
        <f t="shared" si="445"/>
        <v>_low_3_</v>
      </c>
      <c r="GI32" s="37">
        <v>4000</v>
      </c>
      <c r="GJ32" s="37">
        <v>1</v>
      </c>
      <c r="GK32" s="37">
        <v>1</v>
      </c>
      <c r="GL32" s="37">
        <v>10</v>
      </c>
      <c r="GM32" s="37">
        <v>20</v>
      </c>
      <c r="GP32" s="37" t="str">
        <f t="shared" ref="GP32:GT32" si="446">VLOOKUP(GP87,$B$114:$C$126,2,FALSE)</f>
        <v>_COI_1_</v>
      </c>
      <c r="GQ32" s="37" t="str">
        <f t="shared" si="446"/>
        <v>_HIG_3_</v>
      </c>
      <c r="GR32" s="37" t="str">
        <f t="shared" si="446"/>
        <v>_low_1_</v>
      </c>
      <c r="GS32" s="37" t="str">
        <f t="shared" si="446"/>
        <v>_low_5_</v>
      </c>
      <c r="GT32" s="37" t="str">
        <f t="shared" si="446"/>
        <v>_low_3_</v>
      </c>
      <c r="GW32" s="37">
        <v>1</v>
      </c>
      <c r="GX32" s="37">
        <v>1</v>
      </c>
      <c r="GY32" s="37">
        <v>1</v>
      </c>
      <c r="GZ32" s="37">
        <v>10</v>
      </c>
      <c r="HA32" s="37">
        <v>20</v>
      </c>
      <c r="HD32" s="37" t="str">
        <f t="shared" ref="HD32:HH32" si="447">VLOOKUP(HD87,$B$114:$C$126,2,FALSE)</f>
        <v>_COI_1_</v>
      </c>
      <c r="HE32" s="37" t="str">
        <f t="shared" si="447"/>
        <v>_HIG_3_</v>
      </c>
      <c r="HF32" s="37" t="str">
        <f t="shared" si="447"/>
        <v>_low_1_</v>
      </c>
      <c r="HG32" s="37" t="str">
        <f t="shared" si="447"/>
        <v>_low_5_</v>
      </c>
      <c r="HH32" s="37" t="str">
        <f t="shared" si="447"/>
        <v>_low_3_</v>
      </c>
      <c r="HK32" s="37">
        <v>100000000</v>
      </c>
      <c r="HL32" s="37">
        <v>1</v>
      </c>
      <c r="HM32" s="37">
        <v>1</v>
      </c>
      <c r="HN32" s="37">
        <v>10</v>
      </c>
      <c r="HO32" s="37">
        <v>20</v>
      </c>
    </row>
    <row r="33" spans="1:223" x14ac:dyDescent="0.35">
      <c r="A33" s="37">
        <v>29</v>
      </c>
      <c r="B33" s="37" t="str">
        <f t="shared" ref="B33:F33" si="448">VLOOKUP(B88,$B$114:$C$126,2,FALSE)</f>
        <v>_COI_1_</v>
      </c>
      <c r="C33" s="37" t="str">
        <f t="shared" si="448"/>
        <v>_COI_1_</v>
      </c>
      <c r="D33" s="37" t="str">
        <f t="shared" si="448"/>
        <v>_HIG_4_</v>
      </c>
      <c r="E33" s="37" t="str">
        <f t="shared" si="448"/>
        <v>_HIG_2_</v>
      </c>
      <c r="F33" s="37" t="str">
        <f t="shared" si="448"/>
        <v>_HIG_3_</v>
      </c>
      <c r="I33" s="60">
        <v>1</v>
      </c>
      <c r="J33" s="60">
        <v>1</v>
      </c>
      <c r="K33" s="60">
        <v>20</v>
      </c>
      <c r="L33" s="60">
        <v>1</v>
      </c>
      <c r="M33" s="60">
        <v>20</v>
      </c>
      <c r="P33" s="37" t="str">
        <f t="shared" ref="P33:T33" si="449">VLOOKUP(P88,$B$114:$C$126,2,FALSE)</f>
        <v>_COI_1_</v>
      </c>
      <c r="Q33" s="37" t="str">
        <f t="shared" si="449"/>
        <v>_COI_1_</v>
      </c>
      <c r="R33" s="37" t="str">
        <f t="shared" si="449"/>
        <v>_HIG_4_</v>
      </c>
      <c r="S33" s="37" t="str">
        <f t="shared" si="449"/>
        <v>_HIG_2_</v>
      </c>
      <c r="T33" s="37" t="str">
        <f t="shared" si="449"/>
        <v>_HIG_3_</v>
      </c>
      <c r="W33" s="37">
        <v>1</v>
      </c>
      <c r="X33" s="37">
        <v>1</v>
      </c>
      <c r="Y33" s="37">
        <v>20</v>
      </c>
      <c r="Z33" s="37">
        <v>1</v>
      </c>
      <c r="AA33" s="37">
        <v>20</v>
      </c>
      <c r="AD33" s="37" t="str">
        <f t="shared" ref="AD33:AH33" si="450">VLOOKUP(AD88,$B$114:$C$126,2,FALSE)</f>
        <v>_COI_1_</v>
      </c>
      <c r="AE33" s="37" t="str">
        <f t="shared" si="450"/>
        <v>_COI_1_</v>
      </c>
      <c r="AF33" s="37" t="str">
        <f t="shared" si="450"/>
        <v>_HIG_4_</v>
      </c>
      <c r="AG33" s="37" t="str">
        <f t="shared" si="450"/>
        <v>_HIG_2_</v>
      </c>
      <c r="AH33" s="37" t="str">
        <f t="shared" si="450"/>
        <v>_HIG_3_</v>
      </c>
      <c r="AK33" s="37">
        <v>1</v>
      </c>
      <c r="AL33" s="37">
        <v>1</v>
      </c>
      <c r="AM33" s="37">
        <v>20</v>
      </c>
      <c r="AN33" s="37">
        <v>2000</v>
      </c>
      <c r="AO33" s="37">
        <v>20</v>
      </c>
      <c r="AR33" s="37" t="str">
        <f t="shared" ref="AR33:AV33" si="451">VLOOKUP(AR88,$B$114:$C$126,2,FALSE)</f>
        <v>_COI_1_</v>
      </c>
      <c r="AS33" s="37" t="str">
        <f t="shared" si="451"/>
        <v>_COI_1_</v>
      </c>
      <c r="AT33" s="37" t="str">
        <f t="shared" si="451"/>
        <v>_HIG_4_</v>
      </c>
      <c r="AU33" s="37" t="str">
        <f t="shared" si="451"/>
        <v>_HIG_2_</v>
      </c>
      <c r="AV33" s="37" t="str">
        <f t="shared" si="451"/>
        <v>_HIG_3_</v>
      </c>
      <c r="AY33" s="37">
        <v>1</v>
      </c>
      <c r="AZ33" s="37">
        <v>1</v>
      </c>
      <c r="BA33" s="37">
        <v>20</v>
      </c>
      <c r="BB33" s="37">
        <v>1</v>
      </c>
      <c r="BC33" s="37">
        <v>20</v>
      </c>
      <c r="BF33" s="37" t="str">
        <f t="shared" ref="BF33:BJ33" si="452">VLOOKUP(BF88,$B$114:$C$126,2,FALSE)</f>
        <v>_COI_1_</v>
      </c>
      <c r="BG33" s="37" t="str">
        <f t="shared" si="452"/>
        <v>_COI_1_</v>
      </c>
      <c r="BH33" s="37" t="str">
        <f t="shared" si="452"/>
        <v>_HIG_4_</v>
      </c>
      <c r="BI33" s="37" t="str">
        <f t="shared" si="452"/>
        <v>_HIG_2_</v>
      </c>
      <c r="BJ33" s="37" t="str">
        <f t="shared" si="452"/>
        <v>_HIG_3_</v>
      </c>
      <c r="BM33" s="37">
        <v>1</v>
      </c>
      <c r="BN33" s="37">
        <v>1</v>
      </c>
      <c r="BO33" s="37">
        <v>20</v>
      </c>
      <c r="BP33" s="37">
        <v>1</v>
      </c>
      <c r="BQ33" s="37">
        <v>20</v>
      </c>
      <c r="BT33" s="37" t="str">
        <f t="shared" ref="BT33:BX33" si="453">VLOOKUP(BT88,$B$114:$C$126,2,FALSE)</f>
        <v>_COI_1_</v>
      </c>
      <c r="BU33" s="37" t="str">
        <f t="shared" si="453"/>
        <v>_COI_1_</v>
      </c>
      <c r="BV33" s="37" t="str">
        <f t="shared" si="453"/>
        <v>_HIG_4_</v>
      </c>
      <c r="BW33" s="37" t="str">
        <f t="shared" si="453"/>
        <v>_HIG_2_</v>
      </c>
      <c r="BX33" s="37" t="str">
        <f t="shared" si="453"/>
        <v>_HIG_3_</v>
      </c>
      <c r="CA33" s="37">
        <v>1</v>
      </c>
      <c r="CB33" s="37">
        <v>1</v>
      </c>
      <c r="CC33" s="37">
        <v>20</v>
      </c>
      <c r="CD33" s="37">
        <v>4000</v>
      </c>
      <c r="CE33" s="37">
        <v>20</v>
      </c>
      <c r="CH33" s="37" t="str">
        <f t="shared" ref="CH33:CL33" si="454">VLOOKUP(CH88,$B$114:$C$126,2,FALSE)</f>
        <v>_COI_1_</v>
      </c>
      <c r="CI33" s="37" t="str">
        <f t="shared" si="454"/>
        <v>_COI_1_</v>
      </c>
      <c r="CJ33" s="37" t="str">
        <f t="shared" si="454"/>
        <v>_HIG_4_</v>
      </c>
      <c r="CK33" s="37" t="str">
        <f t="shared" si="454"/>
        <v>_HIG_2_</v>
      </c>
      <c r="CL33" s="37" t="str">
        <f t="shared" si="454"/>
        <v>_HIG_3_</v>
      </c>
      <c r="CO33" s="37">
        <v>1</v>
      </c>
      <c r="CP33" s="37">
        <v>1</v>
      </c>
      <c r="CQ33" s="37">
        <v>20</v>
      </c>
      <c r="CR33" s="37">
        <v>1</v>
      </c>
      <c r="CS33" s="37">
        <v>20</v>
      </c>
      <c r="CV33" s="37" t="str">
        <f t="shared" ref="CV33:CZ33" si="455">VLOOKUP(CV88,$B$114:$C$126,2,FALSE)</f>
        <v>_COI_1_</v>
      </c>
      <c r="CW33" s="37" t="str">
        <f t="shared" si="455"/>
        <v>_COI_1_</v>
      </c>
      <c r="CX33" s="37" t="str">
        <f t="shared" si="455"/>
        <v>_HIG_4_</v>
      </c>
      <c r="CY33" s="37" t="str">
        <f t="shared" si="455"/>
        <v>_HIG_2_</v>
      </c>
      <c r="CZ33" s="37" t="str">
        <f t="shared" si="455"/>
        <v>_HIG_3_</v>
      </c>
      <c r="DC33" s="37">
        <v>1</v>
      </c>
      <c r="DD33" s="37">
        <v>1</v>
      </c>
      <c r="DE33" s="37">
        <v>20</v>
      </c>
      <c r="DF33" s="37">
        <v>1</v>
      </c>
      <c r="DG33" s="37">
        <v>20</v>
      </c>
      <c r="DJ33" s="37" t="str">
        <f t="shared" ref="DJ33:DN33" si="456">VLOOKUP(DJ88,$B$114:$C$126,2,FALSE)</f>
        <v>_COI_1_</v>
      </c>
      <c r="DK33" s="37" t="str">
        <f t="shared" si="456"/>
        <v>_COI_1_</v>
      </c>
      <c r="DL33" s="37" t="str">
        <f t="shared" si="456"/>
        <v>_HIG_4_</v>
      </c>
      <c r="DM33" s="37" t="str">
        <f t="shared" si="456"/>
        <v>_HIG_2_</v>
      </c>
      <c r="DN33" s="37" t="str">
        <f t="shared" si="456"/>
        <v>_HIG_3_</v>
      </c>
      <c r="DQ33" s="37">
        <v>1</v>
      </c>
      <c r="DR33" s="37">
        <v>4000</v>
      </c>
      <c r="DS33" s="37">
        <v>20</v>
      </c>
      <c r="DT33" s="37">
        <v>1</v>
      </c>
      <c r="DU33" s="37">
        <v>20</v>
      </c>
      <c r="DX33" s="37" t="str">
        <f t="shared" ref="DX33:EB33" si="457">VLOOKUP(DX88,$B$114:$C$126,2,FALSE)</f>
        <v>_COI_1_</v>
      </c>
      <c r="DY33" s="37" t="str">
        <f t="shared" si="457"/>
        <v>_COI_1_</v>
      </c>
      <c r="DZ33" s="37" t="str">
        <f t="shared" si="457"/>
        <v>_HIG_4_</v>
      </c>
      <c r="EA33" s="37" t="str">
        <f t="shared" si="457"/>
        <v>_HIG_2_</v>
      </c>
      <c r="EB33" s="37" t="str">
        <f t="shared" si="457"/>
        <v>_HIG_3_</v>
      </c>
      <c r="EE33" s="37">
        <v>1</v>
      </c>
      <c r="EF33" s="37">
        <v>1</v>
      </c>
      <c r="EG33" s="37">
        <v>20</v>
      </c>
      <c r="EH33" s="37">
        <v>1</v>
      </c>
      <c r="EI33" s="37">
        <v>20</v>
      </c>
      <c r="EL33" s="37" t="str">
        <f t="shared" ref="EL33:EP33" si="458">VLOOKUP(EL88,$B$114:$C$126,2,FALSE)</f>
        <v>_COI_1_</v>
      </c>
      <c r="EM33" s="37" t="str">
        <f t="shared" si="458"/>
        <v>_COI_1_</v>
      </c>
      <c r="EN33" s="37" t="str">
        <f t="shared" si="458"/>
        <v>_HIG_4_</v>
      </c>
      <c r="EO33" s="37" t="str">
        <f t="shared" si="458"/>
        <v>_HIG_2_</v>
      </c>
      <c r="EP33" s="37" t="str">
        <f t="shared" si="458"/>
        <v>_HIG_3_</v>
      </c>
      <c r="ES33" s="37">
        <v>1</v>
      </c>
      <c r="ET33" s="37">
        <v>1</v>
      </c>
      <c r="EU33" s="37">
        <v>20</v>
      </c>
      <c r="EV33" s="37">
        <v>1</v>
      </c>
      <c r="EW33" s="37">
        <v>20</v>
      </c>
      <c r="EZ33" s="37" t="str">
        <f t="shared" ref="EZ33:FD33" si="459">VLOOKUP(EZ88,$B$114:$C$126,2,FALSE)</f>
        <v>_COI_1_</v>
      </c>
      <c r="FA33" s="37" t="str">
        <f t="shared" si="459"/>
        <v>_COI_1_</v>
      </c>
      <c r="FB33" s="37" t="str">
        <f t="shared" si="459"/>
        <v>_HIG_4_</v>
      </c>
      <c r="FC33" s="37" t="str">
        <f t="shared" si="459"/>
        <v>_HIG_2_</v>
      </c>
      <c r="FD33" s="37" t="str">
        <f t="shared" si="459"/>
        <v>_HIG_3_</v>
      </c>
      <c r="FG33" s="37">
        <v>1</v>
      </c>
      <c r="FH33" s="37">
        <v>8000</v>
      </c>
      <c r="FI33" s="37">
        <v>20</v>
      </c>
      <c r="FJ33" s="37">
        <v>1</v>
      </c>
      <c r="FK33" s="37">
        <v>20</v>
      </c>
      <c r="FN33" s="37" t="str">
        <f t="shared" ref="FN33:FR33" si="460">VLOOKUP(FN88,$B$114:$C$126,2,FALSE)</f>
        <v>_COI_1_</v>
      </c>
      <c r="FO33" s="37" t="str">
        <f t="shared" si="460"/>
        <v>_COI_1_</v>
      </c>
      <c r="FP33" s="37" t="str">
        <f t="shared" si="460"/>
        <v>_HIG_4_</v>
      </c>
      <c r="FQ33" s="37" t="str">
        <f t="shared" si="460"/>
        <v>_HIG_2_</v>
      </c>
      <c r="FR33" s="37" t="str">
        <f t="shared" si="460"/>
        <v>_HIG_3_</v>
      </c>
      <c r="FU33" s="37">
        <v>1</v>
      </c>
      <c r="FV33" s="37">
        <v>1</v>
      </c>
      <c r="FW33" s="37">
        <v>20</v>
      </c>
      <c r="FX33" s="37">
        <v>1</v>
      </c>
      <c r="FY33" s="37">
        <v>20</v>
      </c>
      <c r="GB33" s="37" t="str">
        <f t="shared" ref="GB33:GF33" si="461">VLOOKUP(GB88,$B$114:$C$126,2,FALSE)</f>
        <v>_COI_1_</v>
      </c>
      <c r="GC33" s="37" t="str">
        <f t="shared" si="461"/>
        <v>_COI_1_</v>
      </c>
      <c r="GD33" s="37" t="str">
        <f t="shared" si="461"/>
        <v>_HIG_4_</v>
      </c>
      <c r="GE33" s="37" t="str">
        <f t="shared" si="461"/>
        <v>_HIG_2_</v>
      </c>
      <c r="GF33" s="37" t="str">
        <f t="shared" si="461"/>
        <v>_HIG_3_</v>
      </c>
      <c r="GI33" s="37">
        <v>1</v>
      </c>
      <c r="GJ33" s="37">
        <v>4000</v>
      </c>
      <c r="GK33" s="37">
        <v>20</v>
      </c>
      <c r="GL33" s="37">
        <v>1</v>
      </c>
      <c r="GM33" s="37">
        <v>20</v>
      </c>
      <c r="GP33" s="37" t="str">
        <f t="shared" ref="GP33:GT33" si="462">VLOOKUP(GP88,$B$114:$C$126,2,FALSE)</f>
        <v>_COI_1_</v>
      </c>
      <c r="GQ33" s="37" t="str">
        <f t="shared" si="462"/>
        <v>_COI_1_</v>
      </c>
      <c r="GR33" s="37" t="str">
        <f t="shared" si="462"/>
        <v>_HIG_4_</v>
      </c>
      <c r="GS33" s="37" t="str">
        <f t="shared" si="462"/>
        <v>_HIG_2_</v>
      </c>
      <c r="GT33" s="37" t="str">
        <f t="shared" si="462"/>
        <v>_HIG_3_</v>
      </c>
      <c r="GW33" s="37">
        <v>1</v>
      </c>
      <c r="GX33" s="37">
        <v>1</v>
      </c>
      <c r="GY33" s="37">
        <v>20</v>
      </c>
      <c r="GZ33" s="37">
        <v>1</v>
      </c>
      <c r="HA33" s="37">
        <v>20</v>
      </c>
      <c r="HD33" s="37" t="str">
        <f t="shared" ref="HD33:HH33" si="463">VLOOKUP(HD88,$B$114:$C$126,2,FALSE)</f>
        <v>_COI_1_</v>
      </c>
      <c r="HE33" s="37" t="str">
        <f t="shared" si="463"/>
        <v>_COI_1_</v>
      </c>
      <c r="HF33" s="37" t="str">
        <f t="shared" si="463"/>
        <v>_HIG_4_</v>
      </c>
      <c r="HG33" s="37" t="str">
        <f t="shared" si="463"/>
        <v>_HIG_2_</v>
      </c>
      <c r="HH33" s="37" t="str">
        <f t="shared" si="463"/>
        <v>_HIG_3_</v>
      </c>
      <c r="HK33" s="37">
        <v>1</v>
      </c>
      <c r="HL33" s="37">
        <v>1</v>
      </c>
      <c r="HM33" s="37">
        <v>20</v>
      </c>
      <c r="HN33" s="37">
        <v>1</v>
      </c>
      <c r="HO33" s="37">
        <v>20</v>
      </c>
    </row>
    <row r="34" spans="1:223" x14ac:dyDescent="0.35">
      <c r="A34" s="37">
        <v>30</v>
      </c>
      <c r="B34" s="37" t="str">
        <f t="shared" ref="B34:F34" si="464">VLOOKUP(B89,$B$114:$C$126,2,FALSE)</f>
        <v>_low_5_</v>
      </c>
      <c r="C34" s="37" t="str">
        <f t="shared" si="464"/>
        <v>_COI_1_</v>
      </c>
      <c r="D34" s="37" t="str">
        <f t="shared" si="464"/>
        <v>_HIG_3_</v>
      </c>
      <c r="E34" s="37" t="str">
        <f t="shared" si="464"/>
        <v>_COI_1_</v>
      </c>
      <c r="F34" s="37" t="str">
        <f t="shared" si="464"/>
        <v>_low_5_</v>
      </c>
      <c r="I34" s="60">
        <v>1</v>
      </c>
      <c r="J34" s="60">
        <v>1</v>
      </c>
      <c r="K34" s="60">
        <v>15</v>
      </c>
      <c r="L34" s="60">
        <v>1</v>
      </c>
      <c r="M34" s="60">
        <v>20</v>
      </c>
      <c r="P34" s="37" t="str">
        <f t="shared" ref="P34:T34" si="465">VLOOKUP(P89,$B$114:$C$126,2,FALSE)</f>
        <v>_low_5_</v>
      </c>
      <c r="Q34" s="37" t="str">
        <f t="shared" si="465"/>
        <v>_COI_1_</v>
      </c>
      <c r="R34" s="37" t="str">
        <f t="shared" si="465"/>
        <v>_HIG_3_</v>
      </c>
      <c r="S34" s="37" t="str">
        <f t="shared" si="465"/>
        <v>_COI_1_</v>
      </c>
      <c r="T34" s="37" t="str">
        <f t="shared" si="465"/>
        <v>_low_5_</v>
      </c>
      <c r="W34" s="37">
        <v>1</v>
      </c>
      <c r="X34" s="37">
        <v>1</v>
      </c>
      <c r="Y34" s="37">
        <v>15</v>
      </c>
      <c r="Z34" s="37">
        <v>1</v>
      </c>
      <c r="AA34" s="37">
        <v>20</v>
      </c>
      <c r="AD34" s="37" t="str">
        <f t="shared" ref="AD34:AH34" si="466">VLOOKUP(AD89,$B$114:$C$126,2,FALSE)</f>
        <v>_low_5_</v>
      </c>
      <c r="AE34" s="37" t="str">
        <f t="shared" si="466"/>
        <v>_COI_1_</v>
      </c>
      <c r="AF34" s="37" t="str">
        <f t="shared" si="466"/>
        <v>_HIG_3_</v>
      </c>
      <c r="AG34" s="37" t="str">
        <f t="shared" si="466"/>
        <v>_COI_1_</v>
      </c>
      <c r="AH34" s="37" t="str">
        <f t="shared" si="466"/>
        <v>_low_5_</v>
      </c>
      <c r="AK34" s="37">
        <v>1</v>
      </c>
      <c r="AL34" s="37">
        <v>1</v>
      </c>
      <c r="AM34" s="37">
        <v>15</v>
      </c>
      <c r="AN34" s="37">
        <v>2000</v>
      </c>
      <c r="AO34" s="37">
        <v>20</v>
      </c>
      <c r="AR34" s="37" t="str">
        <f t="shared" ref="AR34:AV34" si="467">VLOOKUP(AR89,$B$114:$C$126,2,FALSE)</f>
        <v>_low_5_</v>
      </c>
      <c r="AS34" s="37" t="str">
        <f t="shared" si="467"/>
        <v>_COI_1_</v>
      </c>
      <c r="AT34" s="37" t="str">
        <f t="shared" si="467"/>
        <v>_HIG_3_</v>
      </c>
      <c r="AU34" s="37" t="str">
        <f t="shared" si="467"/>
        <v>_COI_1_</v>
      </c>
      <c r="AV34" s="37" t="str">
        <f t="shared" si="467"/>
        <v>_low_5_</v>
      </c>
      <c r="AY34" s="37">
        <v>1</v>
      </c>
      <c r="AZ34" s="37">
        <v>1</v>
      </c>
      <c r="BA34" s="37">
        <v>15</v>
      </c>
      <c r="BB34" s="37">
        <v>1</v>
      </c>
      <c r="BC34" s="37">
        <v>20</v>
      </c>
      <c r="BF34" s="37" t="str">
        <f t="shared" ref="BF34:BJ34" si="468">VLOOKUP(BF89,$B$114:$C$126,2,FALSE)</f>
        <v>_low_5_</v>
      </c>
      <c r="BG34" s="37" t="str">
        <f t="shared" si="468"/>
        <v>_COI_1_</v>
      </c>
      <c r="BH34" s="37" t="str">
        <f t="shared" si="468"/>
        <v>_HIG_3_</v>
      </c>
      <c r="BI34" s="37" t="str">
        <f t="shared" si="468"/>
        <v>_COI_1_</v>
      </c>
      <c r="BJ34" s="37" t="str">
        <f t="shared" si="468"/>
        <v>_low_5_</v>
      </c>
      <c r="BM34" s="37">
        <v>1</v>
      </c>
      <c r="BN34" s="37">
        <v>1</v>
      </c>
      <c r="BO34" s="37">
        <v>15</v>
      </c>
      <c r="BP34" s="37">
        <v>1</v>
      </c>
      <c r="BQ34" s="37">
        <v>20</v>
      </c>
      <c r="BT34" s="37" t="str">
        <f t="shared" ref="BT34:BX34" si="469">VLOOKUP(BT89,$B$114:$C$126,2,FALSE)</f>
        <v>_low_5_</v>
      </c>
      <c r="BU34" s="37" t="str">
        <f t="shared" si="469"/>
        <v>_COI_1_</v>
      </c>
      <c r="BV34" s="37" t="str">
        <f t="shared" si="469"/>
        <v>_HIG_3_</v>
      </c>
      <c r="BW34" s="37" t="str">
        <f t="shared" si="469"/>
        <v>_COI_1_</v>
      </c>
      <c r="BX34" s="37" t="str">
        <f t="shared" si="469"/>
        <v>_low_5_</v>
      </c>
      <c r="CA34" s="37">
        <v>1</v>
      </c>
      <c r="CB34" s="37">
        <v>1</v>
      </c>
      <c r="CC34" s="37">
        <v>15</v>
      </c>
      <c r="CD34" s="37">
        <v>4000</v>
      </c>
      <c r="CE34" s="37">
        <v>20</v>
      </c>
      <c r="CH34" s="37" t="str">
        <f t="shared" ref="CH34:CL34" si="470">VLOOKUP(CH89,$B$114:$C$126,2,FALSE)</f>
        <v>_low_5_</v>
      </c>
      <c r="CI34" s="37" t="str">
        <f t="shared" si="470"/>
        <v>_COI_1_</v>
      </c>
      <c r="CJ34" s="37" t="str">
        <f t="shared" si="470"/>
        <v>_HIG_3_</v>
      </c>
      <c r="CK34" s="37" t="str">
        <f t="shared" si="470"/>
        <v>_COI_1_</v>
      </c>
      <c r="CL34" s="37" t="str">
        <f t="shared" si="470"/>
        <v>_low_5_</v>
      </c>
      <c r="CO34" s="37">
        <v>1</v>
      </c>
      <c r="CP34" s="37">
        <v>1</v>
      </c>
      <c r="CQ34" s="37">
        <v>15</v>
      </c>
      <c r="CR34" s="37">
        <v>1</v>
      </c>
      <c r="CS34" s="37">
        <v>20</v>
      </c>
      <c r="CV34" s="37" t="str">
        <f t="shared" ref="CV34:CZ34" si="471">VLOOKUP(CV89,$B$114:$C$126,2,FALSE)</f>
        <v>_low_5_</v>
      </c>
      <c r="CW34" s="37" t="str">
        <f t="shared" si="471"/>
        <v>_COI_1_</v>
      </c>
      <c r="CX34" s="37" t="str">
        <f t="shared" si="471"/>
        <v>_HIG_3_</v>
      </c>
      <c r="CY34" s="37" t="str">
        <f t="shared" si="471"/>
        <v>_COI_1_</v>
      </c>
      <c r="CZ34" s="37" t="str">
        <f t="shared" si="471"/>
        <v>_low_5_</v>
      </c>
      <c r="DC34" s="37">
        <v>1</v>
      </c>
      <c r="DD34" s="37">
        <v>1</v>
      </c>
      <c r="DE34" s="37">
        <v>15</v>
      </c>
      <c r="DF34" s="37">
        <v>1</v>
      </c>
      <c r="DG34" s="37">
        <v>20</v>
      </c>
      <c r="DJ34" s="37" t="str">
        <f t="shared" ref="DJ34:DN34" si="472">VLOOKUP(DJ89,$B$114:$C$126,2,FALSE)</f>
        <v>_low_5_</v>
      </c>
      <c r="DK34" s="37" t="str">
        <f t="shared" si="472"/>
        <v>_COI_1_</v>
      </c>
      <c r="DL34" s="37" t="str">
        <f t="shared" si="472"/>
        <v>_HIG_3_</v>
      </c>
      <c r="DM34" s="37" t="str">
        <f t="shared" si="472"/>
        <v>_COI_1_</v>
      </c>
      <c r="DN34" s="37" t="str">
        <f t="shared" si="472"/>
        <v>_low_5_</v>
      </c>
      <c r="DQ34" s="37">
        <v>1</v>
      </c>
      <c r="DR34" s="37">
        <v>4000</v>
      </c>
      <c r="DS34" s="37">
        <v>15</v>
      </c>
      <c r="DT34" s="37">
        <v>1</v>
      </c>
      <c r="DU34" s="37">
        <v>20</v>
      </c>
      <c r="DX34" s="37" t="str">
        <f t="shared" ref="DX34:EB34" si="473">VLOOKUP(DX89,$B$114:$C$126,2,FALSE)</f>
        <v>_low_5_</v>
      </c>
      <c r="DY34" s="37" t="str">
        <f t="shared" si="473"/>
        <v>_COI_1_</v>
      </c>
      <c r="DZ34" s="37" t="str">
        <f t="shared" si="473"/>
        <v>_HIG_3_</v>
      </c>
      <c r="EA34" s="37" t="str">
        <f t="shared" si="473"/>
        <v>_COI_1_</v>
      </c>
      <c r="EB34" s="37" t="str">
        <f t="shared" si="473"/>
        <v>_low_5_</v>
      </c>
      <c r="EE34" s="37">
        <v>1</v>
      </c>
      <c r="EF34" s="37">
        <v>1</v>
      </c>
      <c r="EG34" s="37">
        <v>15</v>
      </c>
      <c r="EH34" s="37">
        <v>1</v>
      </c>
      <c r="EI34" s="37">
        <v>20</v>
      </c>
      <c r="EL34" s="37" t="str">
        <f t="shared" ref="EL34:EP34" si="474">VLOOKUP(EL89,$B$114:$C$126,2,FALSE)</f>
        <v>_low_5_</v>
      </c>
      <c r="EM34" s="37" t="str">
        <f t="shared" si="474"/>
        <v>_COI_1_</v>
      </c>
      <c r="EN34" s="37" t="str">
        <f t="shared" si="474"/>
        <v>_HIG_3_</v>
      </c>
      <c r="EO34" s="37" t="str">
        <f t="shared" si="474"/>
        <v>_COI_1_</v>
      </c>
      <c r="EP34" s="37" t="str">
        <f t="shared" si="474"/>
        <v>_low_5_</v>
      </c>
      <c r="ES34" s="37">
        <v>1</v>
      </c>
      <c r="ET34" s="37">
        <v>1</v>
      </c>
      <c r="EU34" s="37">
        <v>15</v>
      </c>
      <c r="EV34" s="37">
        <v>1</v>
      </c>
      <c r="EW34" s="37">
        <v>20</v>
      </c>
      <c r="EZ34" s="37" t="str">
        <f t="shared" ref="EZ34:FD34" si="475">VLOOKUP(EZ89,$B$114:$C$126,2,FALSE)</f>
        <v>_low_5_</v>
      </c>
      <c r="FA34" s="37" t="str">
        <f t="shared" si="475"/>
        <v>_COI_1_</v>
      </c>
      <c r="FB34" s="37" t="str">
        <f t="shared" si="475"/>
        <v>_HIG_3_</v>
      </c>
      <c r="FC34" s="37" t="str">
        <f t="shared" si="475"/>
        <v>_COI_1_</v>
      </c>
      <c r="FD34" s="37" t="str">
        <f t="shared" si="475"/>
        <v>_low_5_</v>
      </c>
      <c r="FG34" s="37">
        <v>1</v>
      </c>
      <c r="FH34" s="37">
        <v>8000</v>
      </c>
      <c r="FI34" s="37">
        <v>15</v>
      </c>
      <c r="FJ34" s="37">
        <v>1</v>
      </c>
      <c r="FK34" s="37">
        <v>20</v>
      </c>
      <c r="FN34" s="37" t="str">
        <f t="shared" ref="FN34:FR34" si="476">VLOOKUP(FN89,$B$114:$C$126,2,FALSE)</f>
        <v>_low_5_</v>
      </c>
      <c r="FO34" s="37" t="str">
        <f t="shared" si="476"/>
        <v>_COI_1_</v>
      </c>
      <c r="FP34" s="37" t="str">
        <f t="shared" si="476"/>
        <v>_HIG_3_</v>
      </c>
      <c r="FQ34" s="37" t="str">
        <f t="shared" si="476"/>
        <v>_COI_1_</v>
      </c>
      <c r="FR34" s="37" t="str">
        <f t="shared" si="476"/>
        <v>_low_5_</v>
      </c>
      <c r="FU34" s="37">
        <v>1</v>
      </c>
      <c r="FV34" s="37">
        <v>1</v>
      </c>
      <c r="FW34" s="37">
        <v>15</v>
      </c>
      <c r="FX34" s="37">
        <v>1</v>
      </c>
      <c r="FY34" s="37">
        <v>20</v>
      </c>
      <c r="GB34" s="37" t="str">
        <f t="shared" ref="GB34:GF34" si="477">VLOOKUP(GB89,$B$114:$C$126,2,FALSE)</f>
        <v>_low_5_</v>
      </c>
      <c r="GC34" s="37" t="str">
        <f t="shared" si="477"/>
        <v>_COI_1_</v>
      </c>
      <c r="GD34" s="37" t="str">
        <f t="shared" si="477"/>
        <v>_HIG_3_</v>
      </c>
      <c r="GE34" s="37" t="str">
        <f t="shared" si="477"/>
        <v>_COI_1_</v>
      </c>
      <c r="GF34" s="37" t="str">
        <f t="shared" si="477"/>
        <v>_low_5_</v>
      </c>
      <c r="GI34" s="37">
        <v>1</v>
      </c>
      <c r="GJ34" s="37">
        <v>4000</v>
      </c>
      <c r="GK34" s="37">
        <v>15</v>
      </c>
      <c r="GL34" s="37">
        <v>1</v>
      </c>
      <c r="GM34" s="37">
        <v>20</v>
      </c>
      <c r="GP34" s="37" t="str">
        <f t="shared" ref="GP34:GT34" si="478">VLOOKUP(GP89,$B$114:$C$126,2,FALSE)</f>
        <v>_low_5_</v>
      </c>
      <c r="GQ34" s="37" t="str">
        <f t="shared" si="478"/>
        <v>_COI_1_</v>
      </c>
      <c r="GR34" s="37" t="str">
        <f t="shared" si="478"/>
        <v>_HIG_3_</v>
      </c>
      <c r="GS34" s="37" t="str">
        <f t="shared" si="478"/>
        <v>_COI_1_</v>
      </c>
      <c r="GT34" s="37" t="str">
        <f t="shared" si="478"/>
        <v>_low_5_</v>
      </c>
      <c r="GW34" s="37">
        <v>1</v>
      </c>
      <c r="GX34" s="37">
        <v>1</v>
      </c>
      <c r="GY34" s="37">
        <v>15</v>
      </c>
      <c r="GZ34" s="37">
        <v>1</v>
      </c>
      <c r="HA34" s="37">
        <v>20</v>
      </c>
      <c r="HD34" s="37" t="str">
        <f t="shared" ref="HD34:HH34" si="479">VLOOKUP(HD89,$B$114:$C$126,2,FALSE)</f>
        <v>_low_5_</v>
      </c>
      <c r="HE34" s="37" t="str">
        <f t="shared" si="479"/>
        <v>_COI_1_</v>
      </c>
      <c r="HF34" s="37" t="str">
        <f t="shared" si="479"/>
        <v>_HIG_3_</v>
      </c>
      <c r="HG34" s="37" t="str">
        <f t="shared" si="479"/>
        <v>_COI_1_</v>
      </c>
      <c r="HH34" s="37" t="str">
        <f t="shared" si="479"/>
        <v>_low_5_</v>
      </c>
      <c r="HK34" s="37">
        <v>1</v>
      </c>
      <c r="HL34" s="37">
        <v>1</v>
      </c>
      <c r="HM34" s="37">
        <v>15</v>
      </c>
      <c r="HN34" s="37">
        <v>1</v>
      </c>
      <c r="HO34" s="37">
        <v>20</v>
      </c>
    </row>
    <row r="35" spans="1:223" x14ac:dyDescent="0.35">
      <c r="A35" s="37">
        <v>31</v>
      </c>
      <c r="B35" s="37" t="str">
        <f t="shared" ref="B35:F35" si="480">VLOOKUP(B90,$B$114:$C$126,2,FALSE)</f>
        <v>_low_3_</v>
      </c>
      <c r="C35" s="37" t="str">
        <f t="shared" si="480"/>
        <v>_HIG_2_</v>
      </c>
      <c r="D35" s="37" t="str">
        <f t="shared" si="480"/>
        <v>_SCA_1_</v>
      </c>
      <c r="E35" s="37" t="str">
        <f t="shared" si="480"/>
        <v>_low_5_</v>
      </c>
      <c r="F35" s="37" t="str">
        <f t="shared" si="480"/>
        <v>_HIG_4_</v>
      </c>
      <c r="I35" s="60">
        <v>20</v>
      </c>
      <c r="J35" s="60">
        <v>1</v>
      </c>
      <c r="K35" s="60">
        <v>15</v>
      </c>
      <c r="L35" s="60">
        <v>1</v>
      </c>
      <c r="M35" s="60">
        <v>1</v>
      </c>
      <c r="P35" s="37" t="str">
        <f t="shared" ref="P35:T35" si="481">VLOOKUP(P90,$B$114:$C$126,2,FALSE)</f>
        <v>_low_3_</v>
      </c>
      <c r="Q35" s="37" t="str">
        <f t="shared" si="481"/>
        <v>_HIG_2_</v>
      </c>
      <c r="R35" s="37" t="str">
        <f t="shared" si="481"/>
        <v>_SCA_1_</v>
      </c>
      <c r="S35" s="37" t="str">
        <f t="shared" si="481"/>
        <v>_low_5_</v>
      </c>
      <c r="T35" s="37" t="str">
        <f t="shared" si="481"/>
        <v>_HIG_4_</v>
      </c>
      <c r="W35" s="37">
        <v>20</v>
      </c>
      <c r="X35" s="37">
        <v>1</v>
      </c>
      <c r="Y35" s="37">
        <v>15</v>
      </c>
      <c r="Z35" s="37">
        <v>1</v>
      </c>
      <c r="AA35" s="37">
        <v>1</v>
      </c>
      <c r="AD35" s="37" t="str">
        <f t="shared" ref="AD35:AH35" si="482">VLOOKUP(AD90,$B$114:$C$126,2,FALSE)</f>
        <v>_low_3_</v>
      </c>
      <c r="AE35" s="37" t="str">
        <f t="shared" si="482"/>
        <v>_HIG_2_</v>
      </c>
      <c r="AF35" s="37" t="str">
        <f t="shared" si="482"/>
        <v>_SCA_1_</v>
      </c>
      <c r="AG35" s="37" t="str">
        <f t="shared" si="482"/>
        <v>_low_5_</v>
      </c>
      <c r="AH35" s="37" t="str">
        <f t="shared" si="482"/>
        <v>_HIG_4_</v>
      </c>
      <c r="AK35" s="37">
        <v>20</v>
      </c>
      <c r="AL35" s="37">
        <v>1</v>
      </c>
      <c r="AM35" s="37">
        <v>15</v>
      </c>
      <c r="AN35" s="37">
        <v>2000</v>
      </c>
      <c r="AO35" s="37">
        <v>1</v>
      </c>
      <c r="AR35" s="37" t="str">
        <f t="shared" ref="AR35:AV35" si="483">VLOOKUP(AR90,$B$114:$C$126,2,FALSE)</f>
        <v>_low_3_</v>
      </c>
      <c r="AS35" s="37" t="str">
        <f t="shared" si="483"/>
        <v>_HIG_2_</v>
      </c>
      <c r="AT35" s="37" t="str">
        <f t="shared" si="483"/>
        <v>_SCA_1_</v>
      </c>
      <c r="AU35" s="37" t="str">
        <f t="shared" si="483"/>
        <v>_low_5_</v>
      </c>
      <c r="AV35" s="37" t="str">
        <f t="shared" si="483"/>
        <v>_HIG_4_</v>
      </c>
      <c r="AY35" s="37">
        <v>20</v>
      </c>
      <c r="AZ35" s="37">
        <v>1</v>
      </c>
      <c r="BA35" s="37">
        <v>15</v>
      </c>
      <c r="BB35" s="37">
        <v>1</v>
      </c>
      <c r="BC35" s="37">
        <v>1</v>
      </c>
      <c r="BF35" s="37" t="str">
        <f t="shared" ref="BF35:BJ35" si="484">VLOOKUP(BF90,$B$114:$C$126,2,FALSE)</f>
        <v>_low_3_</v>
      </c>
      <c r="BG35" s="37" t="str">
        <f t="shared" si="484"/>
        <v>_HIG_2_</v>
      </c>
      <c r="BH35" s="37" t="str">
        <f t="shared" si="484"/>
        <v>_SCA_1_</v>
      </c>
      <c r="BI35" s="37" t="str">
        <f t="shared" si="484"/>
        <v>_low_5_</v>
      </c>
      <c r="BJ35" s="37" t="str">
        <f t="shared" si="484"/>
        <v>_HIG_4_</v>
      </c>
      <c r="BM35" s="37">
        <v>20</v>
      </c>
      <c r="BN35" s="37">
        <v>1</v>
      </c>
      <c r="BO35" s="37">
        <v>15</v>
      </c>
      <c r="BP35" s="37">
        <v>1</v>
      </c>
      <c r="BQ35" s="37">
        <v>1</v>
      </c>
      <c r="BT35" s="37" t="str">
        <f t="shared" ref="BT35:BX35" si="485">VLOOKUP(BT90,$B$114:$C$126,2,FALSE)</f>
        <v>_low_3_</v>
      </c>
      <c r="BU35" s="37" t="str">
        <f t="shared" si="485"/>
        <v>_HIG_2_</v>
      </c>
      <c r="BV35" s="37" t="str">
        <f t="shared" si="485"/>
        <v>_SCA_1_</v>
      </c>
      <c r="BW35" s="37" t="str">
        <f t="shared" si="485"/>
        <v>_low_5_</v>
      </c>
      <c r="BX35" s="37" t="str">
        <f t="shared" si="485"/>
        <v>_HIG_4_</v>
      </c>
      <c r="CA35" s="37">
        <v>20</v>
      </c>
      <c r="CB35" s="37">
        <v>1</v>
      </c>
      <c r="CC35" s="37">
        <v>15</v>
      </c>
      <c r="CD35" s="37">
        <v>4000</v>
      </c>
      <c r="CE35" s="37">
        <v>1</v>
      </c>
      <c r="CH35" s="37" t="str">
        <f t="shared" ref="CH35:CL35" si="486">VLOOKUP(CH90,$B$114:$C$126,2,FALSE)</f>
        <v>_low_3_</v>
      </c>
      <c r="CI35" s="37" t="str">
        <f t="shared" si="486"/>
        <v>_HIG_2_</v>
      </c>
      <c r="CJ35" s="37" t="str">
        <f t="shared" si="486"/>
        <v>_SCA_1_</v>
      </c>
      <c r="CK35" s="37" t="str">
        <f t="shared" si="486"/>
        <v>_low_5_</v>
      </c>
      <c r="CL35" s="37" t="str">
        <f t="shared" si="486"/>
        <v>_HIG_4_</v>
      </c>
      <c r="CO35" s="37">
        <v>20</v>
      </c>
      <c r="CP35" s="37">
        <v>1</v>
      </c>
      <c r="CQ35" s="37">
        <v>15</v>
      </c>
      <c r="CR35" s="37">
        <v>1</v>
      </c>
      <c r="CS35" s="37">
        <v>1</v>
      </c>
      <c r="CV35" s="37" t="str">
        <f t="shared" ref="CV35:CZ35" si="487">VLOOKUP(CV90,$B$114:$C$126,2,FALSE)</f>
        <v>_low_3_</v>
      </c>
      <c r="CW35" s="37" t="str">
        <f t="shared" si="487"/>
        <v>_HIG_2_</v>
      </c>
      <c r="CX35" s="37" t="str">
        <f t="shared" si="487"/>
        <v>_SCA_1_</v>
      </c>
      <c r="CY35" s="37" t="str">
        <f t="shared" si="487"/>
        <v>_low_5_</v>
      </c>
      <c r="CZ35" s="37" t="str">
        <f t="shared" si="487"/>
        <v>_HIG_4_</v>
      </c>
      <c r="DC35" s="37">
        <v>20</v>
      </c>
      <c r="DD35" s="37">
        <v>1</v>
      </c>
      <c r="DE35" s="37">
        <v>15</v>
      </c>
      <c r="DF35" s="37">
        <v>1</v>
      </c>
      <c r="DG35" s="37">
        <v>1</v>
      </c>
      <c r="DJ35" s="37" t="str">
        <f t="shared" ref="DJ35:DN35" si="488">VLOOKUP(DJ90,$B$114:$C$126,2,FALSE)</f>
        <v>_low_3_</v>
      </c>
      <c r="DK35" s="37" t="str">
        <f t="shared" si="488"/>
        <v>_HIG_2_</v>
      </c>
      <c r="DL35" s="37" t="str">
        <f t="shared" si="488"/>
        <v>_SCA_1_</v>
      </c>
      <c r="DM35" s="37" t="str">
        <f t="shared" si="488"/>
        <v>_low_5_</v>
      </c>
      <c r="DN35" s="37" t="str">
        <f t="shared" si="488"/>
        <v>_HIG_4_</v>
      </c>
      <c r="DQ35" s="37">
        <v>20</v>
      </c>
      <c r="DR35" s="37">
        <v>1</v>
      </c>
      <c r="DS35" s="37">
        <v>15</v>
      </c>
      <c r="DT35" s="37">
        <v>1</v>
      </c>
      <c r="DU35" s="37">
        <v>1</v>
      </c>
      <c r="DX35" s="37" t="str">
        <f t="shared" ref="DX35:EB35" si="489">VLOOKUP(DX90,$B$114:$C$126,2,FALSE)</f>
        <v>_low_3_</v>
      </c>
      <c r="DY35" s="37" t="str">
        <f t="shared" si="489"/>
        <v>_HIG_2_</v>
      </c>
      <c r="DZ35" s="37" t="str">
        <f t="shared" si="489"/>
        <v>_SCA_1_</v>
      </c>
      <c r="EA35" s="37" t="str">
        <f t="shared" si="489"/>
        <v>_low_5_</v>
      </c>
      <c r="EB35" s="37" t="str">
        <f t="shared" si="489"/>
        <v>_HIG_4_</v>
      </c>
      <c r="EE35" s="37">
        <v>20</v>
      </c>
      <c r="EF35" s="37">
        <v>1</v>
      </c>
      <c r="EG35" s="37">
        <v>15</v>
      </c>
      <c r="EH35" s="37">
        <v>1</v>
      </c>
      <c r="EI35" s="37">
        <v>1</v>
      </c>
      <c r="EL35" s="37" t="str">
        <f t="shared" ref="EL35:EP35" si="490">VLOOKUP(EL90,$B$114:$C$126,2,FALSE)</f>
        <v>_low_3_</v>
      </c>
      <c r="EM35" s="37" t="str">
        <f t="shared" si="490"/>
        <v>_HIG_2_</v>
      </c>
      <c r="EN35" s="37" t="str">
        <f t="shared" si="490"/>
        <v>_SCA_1_</v>
      </c>
      <c r="EO35" s="37" t="str">
        <f t="shared" si="490"/>
        <v>_low_5_</v>
      </c>
      <c r="EP35" s="37" t="str">
        <f t="shared" si="490"/>
        <v>_HIG_4_</v>
      </c>
      <c r="ES35" s="37">
        <v>20</v>
      </c>
      <c r="ET35" s="37">
        <v>1</v>
      </c>
      <c r="EU35" s="37">
        <v>15</v>
      </c>
      <c r="EV35" s="37">
        <v>1</v>
      </c>
      <c r="EW35" s="37">
        <v>1</v>
      </c>
      <c r="EZ35" s="37" t="str">
        <f t="shared" ref="EZ35:FD35" si="491">VLOOKUP(EZ90,$B$114:$C$126,2,FALSE)</f>
        <v>_low_3_</v>
      </c>
      <c r="FA35" s="37" t="str">
        <f t="shared" si="491"/>
        <v>_HIG_2_</v>
      </c>
      <c r="FB35" s="37" t="str">
        <f t="shared" si="491"/>
        <v>_SCA_1_</v>
      </c>
      <c r="FC35" s="37" t="str">
        <f t="shared" si="491"/>
        <v>_low_5_</v>
      </c>
      <c r="FD35" s="37" t="str">
        <f t="shared" si="491"/>
        <v>_HIG_4_</v>
      </c>
      <c r="FG35" s="37">
        <v>20</v>
      </c>
      <c r="FH35" s="37">
        <v>1</v>
      </c>
      <c r="FI35" s="37">
        <v>15</v>
      </c>
      <c r="FJ35" s="37">
        <v>1</v>
      </c>
      <c r="FK35" s="37">
        <v>1</v>
      </c>
      <c r="FN35" s="37" t="str">
        <f t="shared" ref="FN35:FR35" si="492">VLOOKUP(FN90,$B$114:$C$126,2,FALSE)</f>
        <v>_low_3_</v>
      </c>
      <c r="FO35" s="37" t="str">
        <f t="shared" si="492"/>
        <v>_HIG_2_</v>
      </c>
      <c r="FP35" s="37" t="str">
        <f t="shared" si="492"/>
        <v>_SCA_1_</v>
      </c>
      <c r="FQ35" s="37" t="str">
        <f t="shared" si="492"/>
        <v>_low_5_</v>
      </c>
      <c r="FR35" s="37" t="str">
        <f t="shared" si="492"/>
        <v>_HIG_4_</v>
      </c>
      <c r="FU35" s="37">
        <v>20</v>
      </c>
      <c r="FV35" s="37">
        <v>1</v>
      </c>
      <c r="FW35" s="37">
        <v>15</v>
      </c>
      <c r="FX35" s="37">
        <v>1</v>
      </c>
      <c r="FY35" s="37">
        <v>1</v>
      </c>
      <c r="GB35" s="37" t="str">
        <f t="shared" ref="GB35:GF35" si="493">VLOOKUP(GB90,$B$114:$C$126,2,FALSE)</f>
        <v>_low_3_</v>
      </c>
      <c r="GC35" s="37" t="str">
        <f t="shared" si="493"/>
        <v>_HIG_2_</v>
      </c>
      <c r="GD35" s="37" t="str">
        <f t="shared" si="493"/>
        <v>_SCA_1_</v>
      </c>
      <c r="GE35" s="37" t="str">
        <f t="shared" si="493"/>
        <v>_low_5_</v>
      </c>
      <c r="GF35" s="37" t="str">
        <f t="shared" si="493"/>
        <v>_HIG_4_</v>
      </c>
      <c r="GI35" s="37">
        <v>20</v>
      </c>
      <c r="GJ35" s="37">
        <v>1</v>
      </c>
      <c r="GK35" s="37">
        <v>15</v>
      </c>
      <c r="GL35" s="37">
        <v>1</v>
      </c>
      <c r="GM35" s="37">
        <v>1</v>
      </c>
      <c r="GP35" s="37" t="str">
        <f t="shared" ref="GP35:GT35" si="494">VLOOKUP(GP90,$B$114:$C$126,2,FALSE)</f>
        <v>_low_3_</v>
      </c>
      <c r="GQ35" s="37" t="str">
        <f t="shared" si="494"/>
        <v>_HIG_2_</v>
      </c>
      <c r="GR35" s="37" t="str">
        <f t="shared" si="494"/>
        <v>_SCA_1_</v>
      </c>
      <c r="GS35" s="37" t="str">
        <f t="shared" si="494"/>
        <v>_low_5_</v>
      </c>
      <c r="GT35" s="37" t="str">
        <f t="shared" si="494"/>
        <v>_HIG_4_</v>
      </c>
      <c r="GW35" s="37">
        <v>20</v>
      </c>
      <c r="GX35" s="37">
        <v>1</v>
      </c>
      <c r="GY35" s="37">
        <v>15</v>
      </c>
      <c r="GZ35" s="37">
        <v>1</v>
      </c>
      <c r="HA35" s="37">
        <v>1</v>
      </c>
      <c r="HD35" s="37" t="str">
        <f t="shared" ref="HD35:HH35" si="495">VLOOKUP(HD90,$B$114:$C$126,2,FALSE)</f>
        <v>_low_3_</v>
      </c>
      <c r="HE35" s="37" t="str">
        <f t="shared" si="495"/>
        <v>_HIG_2_</v>
      </c>
      <c r="HF35" s="37" t="str">
        <f t="shared" si="495"/>
        <v>_SCA_1_</v>
      </c>
      <c r="HG35" s="37" t="str">
        <f t="shared" si="495"/>
        <v>_low_5_</v>
      </c>
      <c r="HH35" s="37" t="str">
        <f t="shared" si="495"/>
        <v>_HIG_4_</v>
      </c>
      <c r="HK35" s="37">
        <v>20</v>
      </c>
      <c r="HL35" s="37">
        <v>1</v>
      </c>
      <c r="HM35" s="37">
        <v>15</v>
      </c>
      <c r="HN35" s="37">
        <v>1</v>
      </c>
      <c r="HO35" s="37">
        <v>1</v>
      </c>
    </row>
    <row r="36" spans="1:223" x14ac:dyDescent="0.35">
      <c r="A36" s="37">
        <v>32</v>
      </c>
      <c r="B36" s="37" t="str">
        <f t="shared" ref="B36:F36" si="496">VLOOKUP(B91,$B$114:$C$126,2,FALSE)</f>
        <v>_low_3_</v>
      </c>
      <c r="C36" s="37" t="str">
        <f t="shared" si="496"/>
        <v>_low_4_</v>
      </c>
      <c r="D36" s="37" t="str">
        <f t="shared" si="496"/>
        <v>_HIG_4_</v>
      </c>
      <c r="E36" s="37" t="str">
        <f t="shared" si="496"/>
        <v>_low_5_</v>
      </c>
      <c r="F36" s="37" t="str">
        <f t="shared" si="496"/>
        <v>_COI_1_</v>
      </c>
      <c r="I36" s="60">
        <v>20</v>
      </c>
      <c r="J36" s="60">
        <v>15</v>
      </c>
      <c r="K36" s="60">
        <v>15</v>
      </c>
      <c r="L36" s="60">
        <v>20</v>
      </c>
      <c r="M36" s="60">
        <v>1</v>
      </c>
      <c r="P36" s="37" t="str">
        <f t="shared" ref="P36:T36" si="497">VLOOKUP(P91,$B$114:$C$126,2,FALSE)</f>
        <v>_low_3_</v>
      </c>
      <c r="Q36" s="37" t="str">
        <f t="shared" si="497"/>
        <v>_low_4_</v>
      </c>
      <c r="R36" s="37" t="str">
        <f t="shared" si="497"/>
        <v>_HIG_4_</v>
      </c>
      <c r="S36" s="37" t="str">
        <f t="shared" si="497"/>
        <v>_low_5_</v>
      </c>
      <c r="T36" s="37" t="str">
        <f t="shared" si="497"/>
        <v>_COI_1_</v>
      </c>
      <c r="W36" s="37">
        <v>20</v>
      </c>
      <c r="X36" s="37">
        <v>15</v>
      </c>
      <c r="Y36" s="37">
        <v>15</v>
      </c>
      <c r="Z36" s="37">
        <v>15</v>
      </c>
      <c r="AA36" s="37">
        <v>1</v>
      </c>
      <c r="AD36" s="37" t="str">
        <f t="shared" ref="AD36:AH36" si="498">VLOOKUP(AD91,$B$114:$C$126,2,FALSE)</f>
        <v>_low_3_</v>
      </c>
      <c r="AE36" s="37" t="str">
        <f t="shared" si="498"/>
        <v>_low_4_</v>
      </c>
      <c r="AF36" s="37" t="str">
        <f t="shared" si="498"/>
        <v>_HIG_4_</v>
      </c>
      <c r="AG36" s="37" t="str">
        <f t="shared" si="498"/>
        <v>_low_5_</v>
      </c>
      <c r="AH36" s="37" t="str">
        <f t="shared" si="498"/>
        <v>_COI_1_</v>
      </c>
      <c r="AK36" s="37">
        <v>20</v>
      </c>
      <c r="AL36" s="37">
        <v>15</v>
      </c>
      <c r="AM36" s="37">
        <v>15</v>
      </c>
      <c r="AN36" s="37">
        <v>15</v>
      </c>
      <c r="AO36" s="37">
        <v>1</v>
      </c>
      <c r="AR36" s="37" t="str">
        <f t="shared" ref="AR36:AV36" si="499">VLOOKUP(AR91,$B$114:$C$126,2,FALSE)</f>
        <v>_low_3_</v>
      </c>
      <c r="AS36" s="37" t="str">
        <f t="shared" si="499"/>
        <v>_low_4_</v>
      </c>
      <c r="AT36" s="37" t="str">
        <f t="shared" si="499"/>
        <v>_HIG_4_</v>
      </c>
      <c r="AU36" s="37" t="str">
        <f t="shared" si="499"/>
        <v>_low_5_</v>
      </c>
      <c r="AV36" s="37" t="str">
        <f t="shared" si="499"/>
        <v>_COI_1_</v>
      </c>
      <c r="AY36" s="37">
        <v>20</v>
      </c>
      <c r="AZ36" s="37">
        <v>15</v>
      </c>
      <c r="BA36" s="37">
        <v>15</v>
      </c>
      <c r="BB36" s="37">
        <v>15</v>
      </c>
      <c r="BC36" s="37">
        <v>1</v>
      </c>
      <c r="BF36" s="37" t="str">
        <f t="shared" ref="BF36:BJ36" si="500">VLOOKUP(BF91,$B$114:$C$126,2,FALSE)</f>
        <v>_low_3_</v>
      </c>
      <c r="BG36" s="37" t="str">
        <f t="shared" si="500"/>
        <v>_low_4_</v>
      </c>
      <c r="BH36" s="37" t="str">
        <f t="shared" si="500"/>
        <v>_HIG_4_</v>
      </c>
      <c r="BI36" s="37" t="str">
        <f t="shared" si="500"/>
        <v>_low_5_</v>
      </c>
      <c r="BJ36" s="37" t="str">
        <f t="shared" si="500"/>
        <v>_COI_1_</v>
      </c>
      <c r="BM36" s="37">
        <v>20</v>
      </c>
      <c r="BN36" s="37">
        <v>15</v>
      </c>
      <c r="BO36" s="37">
        <v>5000</v>
      </c>
      <c r="BP36" s="37">
        <v>15</v>
      </c>
      <c r="BQ36" s="37">
        <v>1</v>
      </c>
      <c r="BT36" s="37" t="str">
        <f t="shared" ref="BT36:BX36" si="501">VLOOKUP(BT91,$B$114:$C$126,2,FALSE)</f>
        <v>_low_3_</v>
      </c>
      <c r="BU36" s="37" t="str">
        <f t="shared" si="501"/>
        <v>_low_4_</v>
      </c>
      <c r="BV36" s="37" t="str">
        <f t="shared" si="501"/>
        <v>_HIG_4_</v>
      </c>
      <c r="BW36" s="37" t="str">
        <f t="shared" si="501"/>
        <v>_low_5_</v>
      </c>
      <c r="BX36" s="37" t="str">
        <f t="shared" si="501"/>
        <v>_COI_1_</v>
      </c>
      <c r="CA36" s="37">
        <v>1</v>
      </c>
      <c r="CB36" s="37">
        <v>15</v>
      </c>
      <c r="CC36" s="37">
        <v>15</v>
      </c>
      <c r="CD36" s="37">
        <v>15</v>
      </c>
      <c r="CE36" s="37">
        <v>1</v>
      </c>
      <c r="CH36" s="37" t="str">
        <f t="shared" ref="CH36:CL36" si="502">VLOOKUP(CH91,$B$114:$C$126,2,FALSE)</f>
        <v>_low_3_</v>
      </c>
      <c r="CI36" s="37" t="str">
        <f t="shared" si="502"/>
        <v>_low_4_</v>
      </c>
      <c r="CJ36" s="37" t="str">
        <f t="shared" si="502"/>
        <v>_HIG_4_</v>
      </c>
      <c r="CK36" s="37" t="str">
        <f t="shared" si="502"/>
        <v>_low_5_</v>
      </c>
      <c r="CL36" s="37" t="str">
        <f t="shared" si="502"/>
        <v>_COI_1_</v>
      </c>
      <c r="CO36" s="37">
        <v>20</v>
      </c>
      <c r="CP36" s="37">
        <v>15</v>
      </c>
      <c r="CQ36" s="37">
        <v>15</v>
      </c>
      <c r="CR36" s="37">
        <v>15</v>
      </c>
      <c r="CS36" s="37">
        <v>1</v>
      </c>
      <c r="CV36" s="37" t="str">
        <f t="shared" ref="CV36:CZ36" si="503">VLOOKUP(CV91,$B$114:$C$126,2,FALSE)</f>
        <v>_low_3_</v>
      </c>
      <c r="CW36" s="37" t="str">
        <f t="shared" si="503"/>
        <v>_low_4_</v>
      </c>
      <c r="CX36" s="37" t="str">
        <f t="shared" si="503"/>
        <v>_HIG_4_</v>
      </c>
      <c r="CY36" s="37" t="str">
        <f t="shared" si="503"/>
        <v>_low_5_</v>
      </c>
      <c r="CZ36" s="37" t="str">
        <f t="shared" si="503"/>
        <v>_COI_1_</v>
      </c>
      <c r="DC36" s="37">
        <v>20</v>
      </c>
      <c r="DD36" s="37">
        <v>15</v>
      </c>
      <c r="DE36" s="37">
        <v>15</v>
      </c>
      <c r="DF36" s="37">
        <v>15</v>
      </c>
      <c r="DG36" s="37">
        <v>1</v>
      </c>
      <c r="DJ36" s="37" t="str">
        <f t="shared" ref="DJ36:DN36" si="504">VLOOKUP(DJ91,$B$114:$C$126,2,FALSE)</f>
        <v>_low_3_</v>
      </c>
      <c r="DK36" s="37" t="str">
        <f t="shared" si="504"/>
        <v>_low_4_</v>
      </c>
      <c r="DL36" s="37" t="str">
        <f t="shared" si="504"/>
        <v>_HIG_4_</v>
      </c>
      <c r="DM36" s="37" t="str">
        <f t="shared" si="504"/>
        <v>_low_5_</v>
      </c>
      <c r="DN36" s="37" t="str">
        <f t="shared" si="504"/>
        <v>_COI_1_</v>
      </c>
      <c r="DQ36" s="37">
        <v>20</v>
      </c>
      <c r="DR36" s="37">
        <v>15</v>
      </c>
      <c r="DS36" s="37">
        <v>4000</v>
      </c>
      <c r="DT36" s="37">
        <v>15</v>
      </c>
      <c r="DU36" s="37">
        <v>1</v>
      </c>
      <c r="DX36" s="37" t="str">
        <f t="shared" ref="DX36:EB36" si="505">VLOOKUP(DX91,$B$114:$C$126,2,FALSE)</f>
        <v>_low_3_</v>
      </c>
      <c r="DY36" s="37" t="str">
        <f t="shared" si="505"/>
        <v>_low_4_</v>
      </c>
      <c r="DZ36" s="37" t="str">
        <f t="shared" si="505"/>
        <v>_HIG_4_</v>
      </c>
      <c r="EA36" s="37" t="str">
        <f t="shared" si="505"/>
        <v>_low_5_</v>
      </c>
      <c r="EB36" s="37" t="str">
        <f t="shared" si="505"/>
        <v>_COI_1_</v>
      </c>
      <c r="EE36" s="37">
        <v>20</v>
      </c>
      <c r="EF36" s="37">
        <v>15</v>
      </c>
      <c r="EG36" s="37">
        <v>15</v>
      </c>
      <c r="EH36" s="37">
        <v>15</v>
      </c>
      <c r="EI36" s="37">
        <v>1</v>
      </c>
      <c r="EL36" s="37" t="str">
        <f t="shared" ref="EL36:EP36" si="506">VLOOKUP(EL91,$B$114:$C$126,2,FALSE)</f>
        <v>_low_3_</v>
      </c>
      <c r="EM36" s="37" t="str">
        <f t="shared" si="506"/>
        <v>_low_4_</v>
      </c>
      <c r="EN36" s="37" t="str">
        <f t="shared" si="506"/>
        <v>_HIG_4_</v>
      </c>
      <c r="EO36" s="37" t="str">
        <f t="shared" si="506"/>
        <v>_low_5_</v>
      </c>
      <c r="EP36" s="37" t="str">
        <f t="shared" si="506"/>
        <v>_COI_1_</v>
      </c>
      <c r="ES36" s="37">
        <v>20</v>
      </c>
      <c r="ET36" s="37">
        <v>15</v>
      </c>
      <c r="EU36" s="37">
        <v>15</v>
      </c>
      <c r="EV36" s="37">
        <v>15</v>
      </c>
      <c r="EW36" s="37">
        <v>1</v>
      </c>
      <c r="EZ36" s="37" t="str">
        <f t="shared" ref="EZ36:FD36" si="507">VLOOKUP(EZ91,$B$114:$C$126,2,FALSE)</f>
        <v>_low_3_</v>
      </c>
      <c r="FA36" s="37" t="str">
        <f t="shared" si="507"/>
        <v>_low_4_</v>
      </c>
      <c r="FB36" s="37" t="str">
        <f t="shared" si="507"/>
        <v>_HIG_4_</v>
      </c>
      <c r="FC36" s="37" t="str">
        <f t="shared" si="507"/>
        <v>_low_5_</v>
      </c>
      <c r="FD36" s="37" t="str">
        <f t="shared" si="507"/>
        <v>_COI_1_</v>
      </c>
      <c r="FG36" s="37">
        <v>20</v>
      </c>
      <c r="FH36" s="37">
        <v>15</v>
      </c>
      <c r="FI36" s="37">
        <v>15</v>
      </c>
      <c r="FJ36" s="37">
        <v>15</v>
      </c>
      <c r="FK36" s="37">
        <v>1</v>
      </c>
      <c r="FN36" s="37" t="str">
        <f t="shared" ref="FN36:FR36" si="508">VLOOKUP(FN91,$B$114:$C$126,2,FALSE)</f>
        <v>_low_3_</v>
      </c>
      <c r="FO36" s="37" t="str">
        <f t="shared" si="508"/>
        <v>_low_4_</v>
      </c>
      <c r="FP36" s="37" t="str">
        <f t="shared" si="508"/>
        <v>_HIG_4_</v>
      </c>
      <c r="FQ36" s="37" t="str">
        <f t="shared" si="508"/>
        <v>_low_5_</v>
      </c>
      <c r="FR36" s="37" t="str">
        <f t="shared" si="508"/>
        <v>_COI_1_</v>
      </c>
      <c r="FU36" s="37">
        <v>20</v>
      </c>
      <c r="FV36" s="37">
        <v>15</v>
      </c>
      <c r="FW36" s="37">
        <v>15</v>
      </c>
      <c r="FX36" s="37">
        <v>15</v>
      </c>
      <c r="FY36" s="37">
        <v>1</v>
      </c>
      <c r="GB36" s="37" t="str">
        <f t="shared" ref="GB36:GF36" si="509">VLOOKUP(GB91,$B$114:$C$126,2,FALSE)</f>
        <v>_low_3_</v>
      </c>
      <c r="GC36" s="37" t="str">
        <f t="shared" si="509"/>
        <v>_low_4_</v>
      </c>
      <c r="GD36" s="37" t="str">
        <f t="shared" si="509"/>
        <v>_HIG_4_</v>
      </c>
      <c r="GE36" s="37" t="str">
        <f t="shared" si="509"/>
        <v>_low_5_</v>
      </c>
      <c r="GF36" s="37" t="str">
        <f t="shared" si="509"/>
        <v>_COI_1_</v>
      </c>
      <c r="GI36" s="37">
        <v>20</v>
      </c>
      <c r="GJ36" s="37">
        <v>15</v>
      </c>
      <c r="GK36" s="37">
        <v>15</v>
      </c>
      <c r="GL36" s="37">
        <v>15</v>
      </c>
      <c r="GM36" s="37">
        <v>1</v>
      </c>
      <c r="GP36" s="37" t="str">
        <f t="shared" ref="GP36:GT36" si="510">VLOOKUP(GP91,$B$114:$C$126,2,FALSE)</f>
        <v>_low_3_</v>
      </c>
      <c r="GQ36" s="37" t="str">
        <f t="shared" si="510"/>
        <v>_low_4_</v>
      </c>
      <c r="GR36" s="37" t="str">
        <f t="shared" si="510"/>
        <v>_HIG_4_</v>
      </c>
      <c r="GS36" s="37" t="str">
        <f t="shared" si="510"/>
        <v>_low_5_</v>
      </c>
      <c r="GT36" s="37" t="str">
        <f t="shared" si="510"/>
        <v>_COI_1_</v>
      </c>
      <c r="GW36" s="37">
        <v>20</v>
      </c>
      <c r="GX36" s="37">
        <v>15</v>
      </c>
      <c r="GY36" s="37">
        <v>15</v>
      </c>
      <c r="GZ36" s="37">
        <v>15</v>
      </c>
      <c r="HA36" s="37">
        <v>1</v>
      </c>
      <c r="HD36" s="37" t="str">
        <f t="shared" ref="HD36:HH36" si="511">VLOOKUP(HD91,$B$114:$C$126,2,FALSE)</f>
        <v>_low_3_</v>
      </c>
      <c r="HE36" s="37" t="str">
        <f t="shared" si="511"/>
        <v>_low_4_</v>
      </c>
      <c r="HF36" s="37" t="str">
        <f t="shared" si="511"/>
        <v>_HIG_4_</v>
      </c>
      <c r="HG36" s="37" t="str">
        <f t="shared" si="511"/>
        <v>_low_5_</v>
      </c>
      <c r="HH36" s="37" t="str">
        <f t="shared" si="511"/>
        <v>_COI_1_</v>
      </c>
      <c r="HK36" s="37">
        <v>20</v>
      </c>
      <c r="HL36" s="37">
        <v>15</v>
      </c>
      <c r="HM36" s="37">
        <v>15</v>
      </c>
      <c r="HN36" s="37">
        <v>15</v>
      </c>
      <c r="HO36" s="37">
        <v>1</v>
      </c>
    </row>
    <row r="37" spans="1:223" x14ac:dyDescent="0.35">
      <c r="A37" s="37">
        <v>33</v>
      </c>
      <c r="B37" s="37" t="str">
        <f t="shared" ref="B37:F37" si="512">VLOOKUP(B92,$B$114:$C$126,2,FALSE)</f>
        <v>_HIG_4_</v>
      </c>
      <c r="C37" s="37" t="str">
        <f t="shared" si="512"/>
        <v>_SCA_1_</v>
      </c>
      <c r="D37" s="37" t="str">
        <f t="shared" si="512"/>
        <v>_COI_1_</v>
      </c>
      <c r="E37" s="37" t="str">
        <f t="shared" si="512"/>
        <v>_JOK_1_</v>
      </c>
      <c r="F37" s="37" t="str">
        <f t="shared" si="512"/>
        <v>_COI_1_</v>
      </c>
      <c r="I37" s="60">
        <v>1</v>
      </c>
      <c r="J37" s="60">
        <v>15</v>
      </c>
      <c r="K37" s="60">
        <v>1</v>
      </c>
      <c r="L37" s="60">
        <v>15</v>
      </c>
      <c r="M37" s="60">
        <v>1</v>
      </c>
      <c r="P37" s="37" t="str">
        <f t="shared" ref="P37:T37" si="513">VLOOKUP(P92,$B$114:$C$126,2,FALSE)</f>
        <v>_HIG_4_</v>
      </c>
      <c r="Q37" s="37" t="str">
        <f t="shared" si="513"/>
        <v>_SCA_1_</v>
      </c>
      <c r="R37" s="37" t="str">
        <f t="shared" si="513"/>
        <v>_COI_1_</v>
      </c>
      <c r="S37" s="37" t="str">
        <f t="shared" si="513"/>
        <v>_JOK_1_</v>
      </c>
      <c r="T37" s="37" t="str">
        <f t="shared" si="513"/>
        <v>_COI_1_</v>
      </c>
      <c r="W37" s="37">
        <v>1</v>
      </c>
      <c r="X37" s="37">
        <v>15</v>
      </c>
      <c r="Y37" s="37">
        <v>1</v>
      </c>
      <c r="Z37" s="37">
        <v>15</v>
      </c>
      <c r="AA37" s="37">
        <v>1</v>
      </c>
      <c r="AD37" s="37" t="str">
        <f t="shared" ref="AD37:AH37" si="514">VLOOKUP(AD92,$B$114:$C$126,2,FALSE)</f>
        <v>_HIG_4_</v>
      </c>
      <c r="AE37" s="37" t="str">
        <f t="shared" si="514"/>
        <v>_SCA_1_</v>
      </c>
      <c r="AF37" s="37" t="str">
        <f t="shared" si="514"/>
        <v>_COI_1_</v>
      </c>
      <c r="AG37" s="37" t="str">
        <f t="shared" si="514"/>
        <v>_JOK_1_</v>
      </c>
      <c r="AH37" s="37" t="str">
        <f t="shared" si="514"/>
        <v>_COI_1_</v>
      </c>
      <c r="AK37" s="37">
        <v>1</v>
      </c>
      <c r="AL37" s="37">
        <v>15</v>
      </c>
      <c r="AM37" s="37">
        <v>1</v>
      </c>
      <c r="AN37" s="37">
        <v>15</v>
      </c>
      <c r="AO37" s="37">
        <v>1</v>
      </c>
      <c r="AR37" s="37" t="str">
        <f t="shared" ref="AR37:AV37" si="515">VLOOKUP(AR92,$B$114:$C$126,2,FALSE)</f>
        <v>_HIG_4_</v>
      </c>
      <c r="AS37" s="37" t="str">
        <f t="shared" si="515"/>
        <v>_SCA_1_</v>
      </c>
      <c r="AT37" s="37" t="str">
        <f t="shared" si="515"/>
        <v>_COI_1_</v>
      </c>
      <c r="AU37" s="37" t="str">
        <f t="shared" si="515"/>
        <v>_JOK_1_</v>
      </c>
      <c r="AV37" s="37" t="str">
        <f t="shared" si="515"/>
        <v>_COI_1_</v>
      </c>
      <c r="AY37" s="37">
        <v>1</v>
      </c>
      <c r="AZ37" s="37">
        <v>15</v>
      </c>
      <c r="BA37" s="37">
        <v>1</v>
      </c>
      <c r="BB37" s="37">
        <v>15</v>
      </c>
      <c r="BC37" s="37">
        <v>1</v>
      </c>
      <c r="BF37" s="37" t="str">
        <f t="shared" ref="BF37:BJ37" si="516">VLOOKUP(BF92,$B$114:$C$126,2,FALSE)</f>
        <v>_HIG_4_</v>
      </c>
      <c r="BG37" s="37" t="str">
        <f t="shared" si="516"/>
        <v>_SCA_1_</v>
      </c>
      <c r="BH37" s="37" t="str">
        <f t="shared" si="516"/>
        <v>_COI_1_</v>
      </c>
      <c r="BI37" s="37" t="str">
        <f t="shared" si="516"/>
        <v>_JOK_1_</v>
      </c>
      <c r="BJ37" s="37" t="str">
        <f t="shared" si="516"/>
        <v>_COI_1_</v>
      </c>
      <c r="BM37" s="37">
        <v>1</v>
      </c>
      <c r="BN37" s="37">
        <v>15</v>
      </c>
      <c r="BO37" s="37">
        <v>5000</v>
      </c>
      <c r="BP37" s="37">
        <v>15</v>
      </c>
      <c r="BQ37" s="37">
        <v>1</v>
      </c>
      <c r="BT37" s="37" t="str">
        <f t="shared" ref="BT37:BX37" si="517">VLOOKUP(BT92,$B$114:$C$126,2,FALSE)</f>
        <v>_HIG_4_</v>
      </c>
      <c r="BU37" s="37" t="str">
        <f t="shared" si="517"/>
        <v>_SCA_1_</v>
      </c>
      <c r="BV37" s="37" t="str">
        <f t="shared" si="517"/>
        <v>_COI_1_</v>
      </c>
      <c r="BW37" s="37" t="str">
        <f t="shared" si="517"/>
        <v>_JOK_1_</v>
      </c>
      <c r="BX37" s="37" t="str">
        <f t="shared" si="517"/>
        <v>_COI_1_</v>
      </c>
      <c r="CA37" s="37">
        <v>1</v>
      </c>
      <c r="CB37" s="37">
        <v>15</v>
      </c>
      <c r="CC37" s="37">
        <v>1</v>
      </c>
      <c r="CD37" s="37">
        <v>15</v>
      </c>
      <c r="CE37" s="37">
        <v>1</v>
      </c>
      <c r="CH37" s="37" t="str">
        <f t="shared" ref="CH37:CL37" si="518">VLOOKUP(CH92,$B$114:$C$126,2,FALSE)</f>
        <v>_HIG_4_</v>
      </c>
      <c r="CI37" s="37" t="str">
        <f t="shared" si="518"/>
        <v>_SCA_1_</v>
      </c>
      <c r="CJ37" s="37" t="str">
        <f t="shared" si="518"/>
        <v>_COI_1_</v>
      </c>
      <c r="CK37" s="37" t="str">
        <f t="shared" si="518"/>
        <v>_JOK_1_</v>
      </c>
      <c r="CL37" s="37" t="str">
        <f t="shared" si="518"/>
        <v>_COI_1_</v>
      </c>
      <c r="CO37" s="37">
        <v>1</v>
      </c>
      <c r="CP37" s="37">
        <v>15</v>
      </c>
      <c r="CQ37" s="37">
        <v>1</v>
      </c>
      <c r="CR37" s="37">
        <v>15</v>
      </c>
      <c r="CS37" s="37">
        <v>1</v>
      </c>
      <c r="CV37" s="37" t="str">
        <f t="shared" ref="CV37:CZ37" si="519">VLOOKUP(CV92,$B$114:$C$126,2,FALSE)</f>
        <v>_HIG_4_</v>
      </c>
      <c r="CW37" s="37" t="str">
        <f t="shared" si="519"/>
        <v>_SCA_1_</v>
      </c>
      <c r="CX37" s="37" t="str">
        <f t="shared" si="519"/>
        <v>_COI_1_</v>
      </c>
      <c r="CY37" s="37" t="str">
        <f t="shared" si="519"/>
        <v>_JOK_1_</v>
      </c>
      <c r="CZ37" s="37" t="str">
        <f t="shared" si="519"/>
        <v>_COI_1_</v>
      </c>
      <c r="DC37" s="37">
        <v>1</v>
      </c>
      <c r="DD37" s="37">
        <v>15</v>
      </c>
      <c r="DE37" s="37">
        <v>1</v>
      </c>
      <c r="DF37" s="37">
        <v>15</v>
      </c>
      <c r="DG37" s="37">
        <v>1</v>
      </c>
      <c r="DJ37" s="37" t="str">
        <f t="shared" ref="DJ37:DN37" si="520">VLOOKUP(DJ92,$B$114:$C$126,2,FALSE)</f>
        <v>_HIG_4_</v>
      </c>
      <c r="DK37" s="37" t="str">
        <f t="shared" si="520"/>
        <v>_SCA_1_</v>
      </c>
      <c r="DL37" s="37" t="str">
        <f t="shared" si="520"/>
        <v>_COI_1_</v>
      </c>
      <c r="DM37" s="37" t="str">
        <f t="shared" si="520"/>
        <v>_JOK_1_</v>
      </c>
      <c r="DN37" s="37" t="str">
        <f t="shared" si="520"/>
        <v>_COI_1_</v>
      </c>
      <c r="DQ37" s="37">
        <v>1</v>
      </c>
      <c r="DR37" s="37">
        <v>15</v>
      </c>
      <c r="DS37" s="37">
        <v>4000</v>
      </c>
      <c r="DT37" s="37">
        <v>15</v>
      </c>
      <c r="DU37" s="37">
        <v>1</v>
      </c>
      <c r="DX37" s="37" t="str">
        <f t="shared" ref="DX37:EB37" si="521">VLOOKUP(DX92,$B$114:$C$126,2,FALSE)</f>
        <v>_HIG_4_</v>
      </c>
      <c r="DY37" s="37" t="str">
        <f t="shared" si="521"/>
        <v>_SCA_1_</v>
      </c>
      <c r="DZ37" s="37" t="str">
        <f t="shared" si="521"/>
        <v>_COI_1_</v>
      </c>
      <c r="EA37" s="37" t="str">
        <f t="shared" si="521"/>
        <v>_JOK_1_</v>
      </c>
      <c r="EB37" s="37" t="str">
        <f t="shared" si="521"/>
        <v>_COI_1_</v>
      </c>
      <c r="EE37" s="37">
        <v>1</v>
      </c>
      <c r="EF37" s="37">
        <v>15</v>
      </c>
      <c r="EG37" s="37">
        <v>1</v>
      </c>
      <c r="EH37" s="37">
        <v>15</v>
      </c>
      <c r="EI37" s="37">
        <v>1</v>
      </c>
      <c r="EL37" s="37" t="str">
        <f t="shared" ref="EL37:EP37" si="522">VLOOKUP(EL92,$B$114:$C$126,2,FALSE)</f>
        <v>_HIG_4_</v>
      </c>
      <c r="EM37" s="37" t="str">
        <f t="shared" si="522"/>
        <v>_SCA_1_</v>
      </c>
      <c r="EN37" s="37" t="str">
        <f t="shared" si="522"/>
        <v>_COI_1_</v>
      </c>
      <c r="EO37" s="37" t="str">
        <f t="shared" si="522"/>
        <v>_JOK_1_</v>
      </c>
      <c r="EP37" s="37" t="str">
        <f t="shared" si="522"/>
        <v>_COI_1_</v>
      </c>
      <c r="ES37" s="37">
        <v>1</v>
      </c>
      <c r="ET37" s="37">
        <v>15</v>
      </c>
      <c r="EU37" s="37">
        <v>1</v>
      </c>
      <c r="EV37" s="37">
        <v>15</v>
      </c>
      <c r="EW37" s="37">
        <v>1</v>
      </c>
      <c r="EZ37" s="37" t="str">
        <f t="shared" ref="EZ37:FD37" si="523">VLOOKUP(EZ92,$B$114:$C$126,2,FALSE)</f>
        <v>_HIG_4_</v>
      </c>
      <c r="FA37" s="37" t="str">
        <f t="shared" si="523"/>
        <v>_SCA_1_</v>
      </c>
      <c r="FB37" s="37" t="str">
        <f t="shared" si="523"/>
        <v>_COI_1_</v>
      </c>
      <c r="FC37" s="37" t="str">
        <f t="shared" si="523"/>
        <v>_JOK_1_</v>
      </c>
      <c r="FD37" s="37" t="str">
        <f t="shared" si="523"/>
        <v>_COI_1_</v>
      </c>
      <c r="FG37" s="37">
        <v>1</v>
      </c>
      <c r="FH37" s="37">
        <v>15</v>
      </c>
      <c r="FI37" s="37">
        <v>1</v>
      </c>
      <c r="FJ37" s="37">
        <v>15</v>
      </c>
      <c r="FK37" s="37">
        <v>1</v>
      </c>
      <c r="FN37" s="37" t="str">
        <f t="shared" ref="FN37:FR37" si="524">VLOOKUP(FN92,$B$114:$C$126,2,FALSE)</f>
        <v>_HIG_4_</v>
      </c>
      <c r="FO37" s="37" t="str">
        <f t="shared" si="524"/>
        <v>_SCA_1_</v>
      </c>
      <c r="FP37" s="37" t="str">
        <f t="shared" si="524"/>
        <v>_COI_1_</v>
      </c>
      <c r="FQ37" s="37" t="str">
        <f t="shared" si="524"/>
        <v>_JOK_1_</v>
      </c>
      <c r="FR37" s="37" t="str">
        <f t="shared" si="524"/>
        <v>_COI_1_</v>
      </c>
      <c r="FU37" s="37">
        <v>1</v>
      </c>
      <c r="FV37" s="37">
        <v>15</v>
      </c>
      <c r="FW37" s="37">
        <v>1</v>
      </c>
      <c r="FX37" s="37">
        <v>15</v>
      </c>
      <c r="FY37" s="37">
        <v>1</v>
      </c>
      <c r="GB37" s="37" t="str">
        <f t="shared" ref="GB37:GF37" si="525">VLOOKUP(GB92,$B$114:$C$126,2,FALSE)</f>
        <v>_HIG_4_</v>
      </c>
      <c r="GC37" s="37" t="str">
        <f t="shared" si="525"/>
        <v>_SCA_1_</v>
      </c>
      <c r="GD37" s="37" t="str">
        <f t="shared" si="525"/>
        <v>_COI_1_</v>
      </c>
      <c r="GE37" s="37" t="str">
        <f t="shared" si="525"/>
        <v>_JOK_1_</v>
      </c>
      <c r="GF37" s="37" t="str">
        <f t="shared" si="525"/>
        <v>_COI_1_</v>
      </c>
      <c r="GI37" s="37">
        <v>1</v>
      </c>
      <c r="GJ37" s="37">
        <v>15</v>
      </c>
      <c r="GK37" s="37">
        <v>1</v>
      </c>
      <c r="GL37" s="37">
        <v>15</v>
      </c>
      <c r="GM37" s="37">
        <v>1</v>
      </c>
      <c r="GP37" s="37" t="str">
        <f t="shared" ref="GP37:GT37" si="526">VLOOKUP(GP92,$B$114:$C$126,2,FALSE)</f>
        <v>_HIG_4_</v>
      </c>
      <c r="GQ37" s="37" t="str">
        <f t="shared" si="526"/>
        <v>_SCA_1_</v>
      </c>
      <c r="GR37" s="37" t="str">
        <f t="shared" si="526"/>
        <v>_COI_1_</v>
      </c>
      <c r="GS37" s="37" t="str">
        <f t="shared" si="526"/>
        <v>_JOK_1_</v>
      </c>
      <c r="GT37" s="37" t="str">
        <f t="shared" si="526"/>
        <v>_COI_1_</v>
      </c>
      <c r="GW37" s="37">
        <v>1</v>
      </c>
      <c r="GX37" s="37">
        <v>15</v>
      </c>
      <c r="GY37" s="37">
        <v>1</v>
      </c>
      <c r="GZ37" s="37">
        <v>15</v>
      </c>
      <c r="HA37" s="37">
        <v>1</v>
      </c>
      <c r="HD37" s="37" t="str">
        <f t="shared" ref="HD37:HH37" si="527">VLOOKUP(HD92,$B$114:$C$126,2,FALSE)</f>
        <v>_HIG_4_</v>
      </c>
      <c r="HE37" s="37" t="str">
        <f t="shared" si="527"/>
        <v>_SCA_1_</v>
      </c>
      <c r="HF37" s="37" t="str">
        <f t="shared" si="527"/>
        <v>_COI_1_</v>
      </c>
      <c r="HG37" s="37" t="str">
        <f t="shared" si="527"/>
        <v>_JOK_1_</v>
      </c>
      <c r="HH37" s="37" t="str">
        <f t="shared" si="527"/>
        <v>_COI_1_</v>
      </c>
      <c r="HK37" s="37">
        <v>1</v>
      </c>
      <c r="HL37" s="37">
        <v>15</v>
      </c>
      <c r="HM37" s="37">
        <v>1</v>
      </c>
      <c r="HN37" s="37">
        <v>15</v>
      </c>
      <c r="HO37" s="37">
        <v>1</v>
      </c>
    </row>
    <row r="38" spans="1:223" x14ac:dyDescent="0.35">
      <c r="A38" s="37">
        <v>34</v>
      </c>
      <c r="B38" s="37" t="str">
        <f t="shared" ref="B38:F38" si="528">VLOOKUP(B93,$B$114:$C$126,2,FALSE)</f>
        <v>_COI_1_</v>
      </c>
      <c r="C38" s="37" t="str">
        <f t="shared" si="528"/>
        <v>_low_2_</v>
      </c>
      <c r="D38" s="37" t="str">
        <f t="shared" si="528"/>
        <v>_low_3_</v>
      </c>
      <c r="E38" s="37" t="str">
        <f t="shared" si="528"/>
        <v>_JOK_1_</v>
      </c>
      <c r="F38" s="37" t="str">
        <f t="shared" si="528"/>
        <v>_HIG_2_</v>
      </c>
      <c r="I38" s="60">
        <v>1</v>
      </c>
      <c r="J38" s="60">
        <v>15</v>
      </c>
      <c r="K38" s="60">
        <v>1</v>
      </c>
      <c r="L38" s="60">
        <v>15</v>
      </c>
      <c r="M38" s="60">
        <v>1</v>
      </c>
      <c r="P38" s="37" t="str">
        <f t="shared" ref="P38:T38" si="529">VLOOKUP(P93,$B$114:$C$126,2,FALSE)</f>
        <v>_COI_1_</v>
      </c>
      <c r="Q38" s="37" t="str">
        <f t="shared" si="529"/>
        <v>_low_2_</v>
      </c>
      <c r="R38" s="37" t="str">
        <f t="shared" si="529"/>
        <v>_low_3_</v>
      </c>
      <c r="S38" s="37" t="str">
        <f t="shared" si="529"/>
        <v>_JOK_1_</v>
      </c>
      <c r="T38" s="37" t="str">
        <f t="shared" si="529"/>
        <v>_HIG_2_</v>
      </c>
      <c r="W38" s="37">
        <v>1</v>
      </c>
      <c r="X38" s="37">
        <v>15</v>
      </c>
      <c r="Y38" s="37">
        <v>1</v>
      </c>
      <c r="Z38" s="37">
        <v>15</v>
      </c>
      <c r="AA38" s="37">
        <v>1</v>
      </c>
      <c r="AD38" s="37" t="str">
        <f t="shared" ref="AD38:AH38" si="530">VLOOKUP(AD93,$B$114:$C$126,2,FALSE)</f>
        <v>_COI_1_</v>
      </c>
      <c r="AE38" s="37" t="str">
        <f t="shared" si="530"/>
        <v>_low_2_</v>
      </c>
      <c r="AF38" s="37" t="str">
        <f t="shared" si="530"/>
        <v>_low_3_</v>
      </c>
      <c r="AG38" s="37" t="str">
        <f t="shared" si="530"/>
        <v>_JOK_1_</v>
      </c>
      <c r="AH38" s="37" t="str">
        <f t="shared" si="530"/>
        <v>_HIG_2_</v>
      </c>
      <c r="AK38" s="37">
        <v>1</v>
      </c>
      <c r="AL38" s="37">
        <v>15</v>
      </c>
      <c r="AM38" s="37">
        <v>1</v>
      </c>
      <c r="AN38" s="37">
        <v>15</v>
      </c>
      <c r="AO38" s="37">
        <v>1</v>
      </c>
      <c r="AR38" s="37" t="str">
        <f t="shared" ref="AR38:AV38" si="531">VLOOKUP(AR93,$B$114:$C$126,2,FALSE)</f>
        <v>_COI_1_</v>
      </c>
      <c r="AS38" s="37" t="str">
        <f t="shared" si="531"/>
        <v>_low_2_</v>
      </c>
      <c r="AT38" s="37" t="str">
        <f t="shared" si="531"/>
        <v>_low_3_</v>
      </c>
      <c r="AU38" s="37" t="str">
        <f t="shared" si="531"/>
        <v>_JOK_1_</v>
      </c>
      <c r="AV38" s="37" t="str">
        <f t="shared" si="531"/>
        <v>_HIG_2_</v>
      </c>
      <c r="AY38" s="37">
        <v>1</v>
      </c>
      <c r="AZ38" s="37">
        <v>15</v>
      </c>
      <c r="BA38" s="37">
        <v>1</v>
      </c>
      <c r="BB38" s="37">
        <v>15</v>
      </c>
      <c r="BC38" s="37">
        <v>1</v>
      </c>
      <c r="BF38" s="37" t="str">
        <f t="shared" ref="BF38:BJ38" si="532">VLOOKUP(BF93,$B$114:$C$126,2,FALSE)</f>
        <v>_COI_1_</v>
      </c>
      <c r="BG38" s="37" t="str">
        <f t="shared" si="532"/>
        <v>_low_2_</v>
      </c>
      <c r="BH38" s="37" t="str">
        <f t="shared" si="532"/>
        <v>_low_3_</v>
      </c>
      <c r="BI38" s="37" t="str">
        <f t="shared" si="532"/>
        <v>_JOK_1_</v>
      </c>
      <c r="BJ38" s="37" t="str">
        <f t="shared" si="532"/>
        <v>_HIG_2_</v>
      </c>
      <c r="BM38" s="37">
        <v>1</v>
      </c>
      <c r="BN38" s="37">
        <v>15</v>
      </c>
      <c r="BO38" s="37">
        <v>5000</v>
      </c>
      <c r="BP38" s="37">
        <v>15</v>
      </c>
      <c r="BQ38" s="37">
        <v>1</v>
      </c>
      <c r="BT38" s="37" t="str">
        <f t="shared" ref="BT38:BX38" si="533">VLOOKUP(BT93,$B$114:$C$126,2,FALSE)</f>
        <v>_COI_1_</v>
      </c>
      <c r="BU38" s="37" t="str">
        <f t="shared" si="533"/>
        <v>_low_2_</v>
      </c>
      <c r="BV38" s="37" t="str">
        <f t="shared" si="533"/>
        <v>_low_3_</v>
      </c>
      <c r="BW38" s="37" t="str">
        <f t="shared" si="533"/>
        <v>_JOK_1_</v>
      </c>
      <c r="BX38" s="37" t="str">
        <f t="shared" si="533"/>
        <v>_HIG_2_</v>
      </c>
      <c r="CA38" s="37">
        <v>1</v>
      </c>
      <c r="CB38" s="37">
        <v>15</v>
      </c>
      <c r="CC38" s="37">
        <v>1</v>
      </c>
      <c r="CD38" s="37">
        <v>15</v>
      </c>
      <c r="CE38" s="37">
        <v>1</v>
      </c>
      <c r="CH38" s="37" t="str">
        <f t="shared" ref="CH38:CL38" si="534">VLOOKUP(CH93,$B$114:$C$126,2,FALSE)</f>
        <v>_COI_1_</v>
      </c>
      <c r="CI38" s="37" t="str">
        <f t="shared" si="534"/>
        <v>_low_2_</v>
      </c>
      <c r="CJ38" s="37" t="str">
        <f t="shared" si="534"/>
        <v>_low_3_</v>
      </c>
      <c r="CK38" s="37" t="str">
        <f t="shared" si="534"/>
        <v>_JOK_1_</v>
      </c>
      <c r="CL38" s="37" t="str">
        <f t="shared" si="534"/>
        <v>_HIG_2_</v>
      </c>
      <c r="CO38" s="37">
        <v>1</v>
      </c>
      <c r="CP38" s="37">
        <v>15</v>
      </c>
      <c r="CQ38" s="37">
        <v>1</v>
      </c>
      <c r="CR38" s="37">
        <v>15</v>
      </c>
      <c r="CS38" s="37">
        <v>1</v>
      </c>
      <c r="CV38" s="37" t="str">
        <f t="shared" ref="CV38:CZ38" si="535">VLOOKUP(CV93,$B$114:$C$126,2,FALSE)</f>
        <v>_COI_1_</v>
      </c>
      <c r="CW38" s="37" t="str">
        <f t="shared" si="535"/>
        <v>_low_2_</v>
      </c>
      <c r="CX38" s="37" t="str">
        <f t="shared" si="535"/>
        <v>_low_3_</v>
      </c>
      <c r="CY38" s="37" t="str">
        <f t="shared" si="535"/>
        <v>_JOK_1_</v>
      </c>
      <c r="CZ38" s="37" t="str">
        <f t="shared" si="535"/>
        <v>_HIG_2_</v>
      </c>
      <c r="DC38" s="37">
        <v>1</v>
      </c>
      <c r="DD38" s="37">
        <v>15</v>
      </c>
      <c r="DE38" s="37">
        <v>1</v>
      </c>
      <c r="DF38" s="37">
        <v>15</v>
      </c>
      <c r="DG38" s="37">
        <v>1</v>
      </c>
      <c r="DJ38" s="37" t="str">
        <f t="shared" ref="DJ38:DN38" si="536">VLOOKUP(DJ93,$B$114:$C$126,2,FALSE)</f>
        <v>_COI_1_</v>
      </c>
      <c r="DK38" s="37" t="str">
        <f t="shared" si="536"/>
        <v>_low_2_</v>
      </c>
      <c r="DL38" s="37" t="str">
        <f t="shared" si="536"/>
        <v>_low_3_</v>
      </c>
      <c r="DM38" s="37" t="str">
        <f t="shared" si="536"/>
        <v>_JOK_1_</v>
      </c>
      <c r="DN38" s="37" t="str">
        <f t="shared" si="536"/>
        <v>_HIG_2_</v>
      </c>
      <c r="DQ38" s="37">
        <v>1</v>
      </c>
      <c r="DR38" s="37">
        <v>15</v>
      </c>
      <c r="DS38" s="37">
        <v>4000</v>
      </c>
      <c r="DT38" s="37">
        <v>15</v>
      </c>
      <c r="DU38" s="37">
        <v>1</v>
      </c>
      <c r="DX38" s="37" t="str">
        <f t="shared" ref="DX38:EB38" si="537">VLOOKUP(DX93,$B$114:$C$126,2,FALSE)</f>
        <v>_COI_1_</v>
      </c>
      <c r="DY38" s="37" t="str">
        <f t="shared" si="537"/>
        <v>_low_2_</v>
      </c>
      <c r="DZ38" s="37" t="str">
        <f t="shared" si="537"/>
        <v>_low_3_</v>
      </c>
      <c r="EA38" s="37" t="str">
        <f t="shared" si="537"/>
        <v>_JOK_1_</v>
      </c>
      <c r="EB38" s="37" t="str">
        <f t="shared" si="537"/>
        <v>_HIG_2_</v>
      </c>
      <c r="EE38" s="37">
        <v>1</v>
      </c>
      <c r="EF38" s="37">
        <v>15</v>
      </c>
      <c r="EG38" s="37">
        <v>1</v>
      </c>
      <c r="EH38" s="37">
        <v>15</v>
      </c>
      <c r="EI38" s="37">
        <v>1</v>
      </c>
      <c r="EL38" s="37" t="str">
        <f t="shared" ref="EL38:EP38" si="538">VLOOKUP(EL93,$B$114:$C$126,2,FALSE)</f>
        <v>_COI_1_</v>
      </c>
      <c r="EM38" s="37" t="str">
        <f t="shared" si="538"/>
        <v>_low_2_</v>
      </c>
      <c r="EN38" s="37" t="str">
        <f t="shared" si="538"/>
        <v>_low_3_</v>
      </c>
      <c r="EO38" s="37" t="str">
        <f t="shared" si="538"/>
        <v>_JOK_1_</v>
      </c>
      <c r="EP38" s="37" t="str">
        <f t="shared" si="538"/>
        <v>_HIG_2_</v>
      </c>
      <c r="ES38" s="37">
        <v>1</v>
      </c>
      <c r="ET38" s="37">
        <v>15</v>
      </c>
      <c r="EU38" s="37">
        <v>1</v>
      </c>
      <c r="EV38" s="37">
        <v>15</v>
      </c>
      <c r="EW38" s="37">
        <v>1</v>
      </c>
      <c r="EZ38" s="37" t="str">
        <f t="shared" ref="EZ38:FD38" si="539">VLOOKUP(EZ93,$B$114:$C$126,2,FALSE)</f>
        <v>_COI_1_</v>
      </c>
      <c r="FA38" s="37" t="str">
        <f t="shared" si="539"/>
        <v>_low_2_</v>
      </c>
      <c r="FB38" s="37" t="str">
        <f t="shared" si="539"/>
        <v>_low_3_</v>
      </c>
      <c r="FC38" s="37" t="str">
        <f t="shared" si="539"/>
        <v>_JOK_1_</v>
      </c>
      <c r="FD38" s="37" t="str">
        <f t="shared" si="539"/>
        <v>_HIG_2_</v>
      </c>
      <c r="FG38" s="37">
        <v>1</v>
      </c>
      <c r="FH38" s="37">
        <v>15</v>
      </c>
      <c r="FI38" s="37">
        <v>1</v>
      </c>
      <c r="FJ38" s="37">
        <v>15</v>
      </c>
      <c r="FK38" s="37">
        <v>1</v>
      </c>
      <c r="FN38" s="37" t="str">
        <f t="shared" ref="FN38:FR38" si="540">VLOOKUP(FN93,$B$114:$C$126,2,FALSE)</f>
        <v>_COI_1_</v>
      </c>
      <c r="FO38" s="37" t="str">
        <f t="shared" si="540"/>
        <v>_low_2_</v>
      </c>
      <c r="FP38" s="37" t="str">
        <f t="shared" si="540"/>
        <v>_low_3_</v>
      </c>
      <c r="FQ38" s="37" t="str">
        <f t="shared" si="540"/>
        <v>_JOK_1_</v>
      </c>
      <c r="FR38" s="37" t="str">
        <f t="shared" si="540"/>
        <v>_HIG_2_</v>
      </c>
      <c r="FU38" s="37">
        <v>1</v>
      </c>
      <c r="FV38" s="37">
        <v>15</v>
      </c>
      <c r="FW38" s="37">
        <v>1</v>
      </c>
      <c r="FX38" s="37">
        <v>15</v>
      </c>
      <c r="FY38" s="37">
        <v>1</v>
      </c>
      <c r="GB38" s="37" t="str">
        <f t="shared" ref="GB38:GF38" si="541">VLOOKUP(GB93,$B$114:$C$126,2,FALSE)</f>
        <v>_COI_1_</v>
      </c>
      <c r="GC38" s="37" t="str">
        <f t="shared" si="541"/>
        <v>_low_2_</v>
      </c>
      <c r="GD38" s="37" t="str">
        <f t="shared" si="541"/>
        <v>_low_3_</v>
      </c>
      <c r="GE38" s="37" t="str">
        <f t="shared" si="541"/>
        <v>_JOK_1_</v>
      </c>
      <c r="GF38" s="37" t="str">
        <f t="shared" si="541"/>
        <v>_HIG_2_</v>
      </c>
      <c r="GI38" s="37">
        <v>1</v>
      </c>
      <c r="GJ38" s="37">
        <v>15</v>
      </c>
      <c r="GK38" s="37">
        <v>1</v>
      </c>
      <c r="GL38" s="37">
        <v>15</v>
      </c>
      <c r="GM38" s="37">
        <v>1</v>
      </c>
      <c r="GP38" s="37" t="str">
        <f t="shared" ref="GP38:GT38" si="542">VLOOKUP(GP93,$B$114:$C$126,2,FALSE)</f>
        <v>_COI_1_</v>
      </c>
      <c r="GQ38" s="37" t="str">
        <f t="shared" si="542"/>
        <v>_low_2_</v>
      </c>
      <c r="GR38" s="37" t="str">
        <f t="shared" si="542"/>
        <v>_low_3_</v>
      </c>
      <c r="GS38" s="37" t="str">
        <f t="shared" si="542"/>
        <v>_JOK_1_</v>
      </c>
      <c r="GT38" s="37" t="str">
        <f t="shared" si="542"/>
        <v>_HIG_2_</v>
      </c>
      <c r="GW38" s="37">
        <v>1</v>
      </c>
      <c r="GX38" s="37">
        <v>15</v>
      </c>
      <c r="GY38" s="37">
        <v>1</v>
      </c>
      <c r="GZ38" s="37">
        <v>15</v>
      </c>
      <c r="HA38" s="37">
        <v>1</v>
      </c>
      <c r="HD38" s="37" t="str">
        <f t="shared" ref="HD38:HH38" si="543">VLOOKUP(HD93,$B$114:$C$126,2,FALSE)</f>
        <v>_COI_1_</v>
      </c>
      <c r="HE38" s="37" t="str">
        <f t="shared" si="543"/>
        <v>_low_2_</v>
      </c>
      <c r="HF38" s="37" t="str">
        <f t="shared" si="543"/>
        <v>_low_3_</v>
      </c>
      <c r="HG38" s="37" t="str">
        <f t="shared" si="543"/>
        <v>_JOK_1_</v>
      </c>
      <c r="HH38" s="37" t="str">
        <f t="shared" si="543"/>
        <v>_HIG_2_</v>
      </c>
      <c r="HK38" s="37">
        <v>1</v>
      </c>
      <c r="HL38" s="37">
        <v>15</v>
      </c>
      <c r="HM38" s="37">
        <v>1</v>
      </c>
      <c r="HN38" s="37">
        <v>15</v>
      </c>
      <c r="HO38" s="37">
        <v>1</v>
      </c>
    </row>
    <row r="39" spans="1:223" x14ac:dyDescent="0.35">
      <c r="A39" s="37">
        <v>35</v>
      </c>
      <c r="B39" s="37" t="str">
        <f t="shared" ref="B39:F39" si="544">VLOOKUP(B94,$B$114:$C$126,2,FALSE)</f>
        <v>_COI_1_</v>
      </c>
      <c r="C39" s="37" t="str">
        <f t="shared" si="544"/>
        <v>_HIG_1_</v>
      </c>
      <c r="D39" s="37" t="str">
        <f t="shared" si="544"/>
        <v>_low_4_</v>
      </c>
      <c r="E39" s="37" t="str">
        <f t="shared" si="544"/>
        <v>_JOK_1_</v>
      </c>
      <c r="F39" s="37" t="str">
        <f t="shared" si="544"/>
        <v>_low_3_</v>
      </c>
      <c r="I39" s="60">
        <v>1</v>
      </c>
      <c r="J39" s="60">
        <v>20</v>
      </c>
      <c r="K39" s="60">
        <v>20</v>
      </c>
      <c r="L39" s="60">
        <v>20</v>
      </c>
      <c r="M39" s="60">
        <v>20</v>
      </c>
      <c r="P39" s="37" t="str">
        <f t="shared" ref="P39:T39" si="545">VLOOKUP(P94,$B$114:$C$126,2,FALSE)</f>
        <v>_COI_1_</v>
      </c>
      <c r="Q39" s="37" t="str">
        <f t="shared" si="545"/>
        <v>_HIG_1_</v>
      </c>
      <c r="R39" s="37" t="str">
        <f t="shared" si="545"/>
        <v>_low_4_</v>
      </c>
      <c r="S39" s="37" t="str">
        <f t="shared" si="545"/>
        <v>_JOK_1_</v>
      </c>
      <c r="T39" s="37" t="str">
        <f t="shared" si="545"/>
        <v>_low_3_</v>
      </c>
      <c r="W39" s="37">
        <v>1</v>
      </c>
      <c r="X39" s="37">
        <v>20</v>
      </c>
      <c r="Y39" s="37">
        <v>20</v>
      </c>
      <c r="Z39" s="37">
        <v>20</v>
      </c>
      <c r="AA39" s="37">
        <v>20</v>
      </c>
      <c r="AD39" s="37" t="str">
        <f t="shared" ref="AD39:AH39" si="546">VLOOKUP(AD94,$B$114:$C$126,2,FALSE)</f>
        <v>_COI_1_</v>
      </c>
      <c r="AE39" s="37" t="str">
        <f t="shared" si="546"/>
        <v>_HIG_1_</v>
      </c>
      <c r="AF39" s="37" t="str">
        <f t="shared" si="546"/>
        <v>_low_4_</v>
      </c>
      <c r="AG39" s="37" t="str">
        <f t="shared" si="546"/>
        <v>_JOK_1_</v>
      </c>
      <c r="AH39" s="37" t="str">
        <f t="shared" si="546"/>
        <v>_low_3_</v>
      </c>
      <c r="AK39" s="37">
        <v>1</v>
      </c>
      <c r="AL39" s="37">
        <v>20</v>
      </c>
      <c r="AM39" s="37">
        <v>20</v>
      </c>
      <c r="AN39" s="37">
        <v>20</v>
      </c>
      <c r="AO39" s="37">
        <v>20</v>
      </c>
      <c r="AR39" s="37" t="str">
        <f t="shared" ref="AR39:AV39" si="547">VLOOKUP(AR94,$B$114:$C$126,2,FALSE)</f>
        <v>_COI_1_</v>
      </c>
      <c r="AS39" s="37" t="str">
        <f t="shared" si="547"/>
        <v>_HIG_1_</v>
      </c>
      <c r="AT39" s="37" t="str">
        <f t="shared" si="547"/>
        <v>_low_4_</v>
      </c>
      <c r="AU39" s="37" t="str">
        <f t="shared" si="547"/>
        <v>_JOK_1_</v>
      </c>
      <c r="AV39" s="37" t="str">
        <f t="shared" si="547"/>
        <v>_low_3_</v>
      </c>
      <c r="AY39" s="37">
        <v>1</v>
      </c>
      <c r="AZ39" s="37">
        <v>20</v>
      </c>
      <c r="BA39" s="37">
        <v>20</v>
      </c>
      <c r="BB39" s="37">
        <v>20</v>
      </c>
      <c r="BC39" s="37">
        <v>20</v>
      </c>
      <c r="BF39" s="37" t="str">
        <f t="shared" ref="BF39:BJ39" si="548">VLOOKUP(BF94,$B$114:$C$126,2,FALSE)</f>
        <v>_COI_1_</v>
      </c>
      <c r="BG39" s="37" t="str">
        <f t="shared" si="548"/>
        <v>_HIG_1_</v>
      </c>
      <c r="BH39" s="37" t="str">
        <f t="shared" si="548"/>
        <v>_low_4_</v>
      </c>
      <c r="BI39" s="37" t="str">
        <f t="shared" si="548"/>
        <v>_JOK_1_</v>
      </c>
      <c r="BJ39" s="37" t="str">
        <f t="shared" si="548"/>
        <v>_low_3_</v>
      </c>
      <c r="BM39" s="37">
        <v>1</v>
      </c>
      <c r="BN39" s="37">
        <v>20</v>
      </c>
      <c r="BO39" s="37">
        <v>20</v>
      </c>
      <c r="BP39" s="37">
        <v>20</v>
      </c>
      <c r="BQ39" s="37">
        <v>20</v>
      </c>
      <c r="BT39" s="37" t="str">
        <f t="shared" ref="BT39:BX39" si="549">VLOOKUP(BT94,$B$114:$C$126,2,FALSE)</f>
        <v>_COI_1_</v>
      </c>
      <c r="BU39" s="37" t="str">
        <f t="shared" si="549"/>
        <v>_HIG_1_</v>
      </c>
      <c r="BV39" s="37" t="str">
        <f t="shared" si="549"/>
        <v>_low_4_</v>
      </c>
      <c r="BW39" s="37" t="str">
        <f t="shared" si="549"/>
        <v>_JOK_1_</v>
      </c>
      <c r="BX39" s="37" t="str">
        <f t="shared" si="549"/>
        <v>_low_3_</v>
      </c>
      <c r="CA39" s="37">
        <v>1</v>
      </c>
      <c r="CB39" s="37">
        <v>20</v>
      </c>
      <c r="CC39" s="37">
        <v>20</v>
      </c>
      <c r="CD39" s="37">
        <v>20</v>
      </c>
      <c r="CE39" s="37">
        <v>20</v>
      </c>
      <c r="CH39" s="37" t="str">
        <f t="shared" ref="CH39:CL39" si="550">VLOOKUP(CH94,$B$114:$C$126,2,FALSE)</f>
        <v>_COI_1_</v>
      </c>
      <c r="CI39" s="37" t="str">
        <f t="shared" si="550"/>
        <v>_HIG_1_</v>
      </c>
      <c r="CJ39" s="37" t="str">
        <f t="shared" si="550"/>
        <v>_low_4_</v>
      </c>
      <c r="CK39" s="37" t="str">
        <f t="shared" si="550"/>
        <v>_JOK_1_</v>
      </c>
      <c r="CL39" s="37" t="str">
        <f t="shared" si="550"/>
        <v>_low_3_</v>
      </c>
      <c r="CO39" s="37">
        <v>1</v>
      </c>
      <c r="CP39" s="37">
        <v>20</v>
      </c>
      <c r="CQ39" s="37">
        <v>20</v>
      </c>
      <c r="CR39" s="37">
        <v>20</v>
      </c>
      <c r="CS39" s="37">
        <v>20</v>
      </c>
      <c r="CV39" s="37" t="str">
        <f t="shared" ref="CV39:CZ39" si="551">VLOOKUP(CV94,$B$114:$C$126,2,FALSE)</f>
        <v>_COI_1_</v>
      </c>
      <c r="CW39" s="37" t="str">
        <f t="shared" si="551"/>
        <v>_HIG_1_</v>
      </c>
      <c r="CX39" s="37" t="str">
        <f t="shared" si="551"/>
        <v>_low_4_</v>
      </c>
      <c r="CY39" s="37" t="str">
        <f t="shared" si="551"/>
        <v>_JOK_1_</v>
      </c>
      <c r="CZ39" s="37" t="str">
        <f t="shared" si="551"/>
        <v>_low_3_</v>
      </c>
      <c r="DC39" s="37">
        <v>1</v>
      </c>
      <c r="DD39" s="37">
        <v>20</v>
      </c>
      <c r="DE39" s="37">
        <v>20</v>
      </c>
      <c r="DF39" s="37">
        <v>20</v>
      </c>
      <c r="DG39" s="37">
        <v>20</v>
      </c>
      <c r="DJ39" s="37" t="str">
        <f t="shared" ref="DJ39:DN39" si="552">VLOOKUP(DJ94,$B$114:$C$126,2,FALSE)</f>
        <v>_COI_1_</v>
      </c>
      <c r="DK39" s="37" t="str">
        <f t="shared" si="552"/>
        <v>_HIG_1_</v>
      </c>
      <c r="DL39" s="37" t="str">
        <f t="shared" si="552"/>
        <v>_low_4_</v>
      </c>
      <c r="DM39" s="37" t="str">
        <f t="shared" si="552"/>
        <v>_JOK_1_</v>
      </c>
      <c r="DN39" s="37" t="str">
        <f t="shared" si="552"/>
        <v>_low_3_</v>
      </c>
      <c r="DQ39" s="37">
        <v>1</v>
      </c>
      <c r="DR39" s="37">
        <v>20</v>
      </c>
      <c r="DS39" s="37">
        <v>20</v>
      </c>
      <c r="DT39" s="37">
        <v>20</v>
      </c>
      <c r="DU39" s="37">
        <v>20</v>
      </c>
      <c r="DX39" s="37" t="str">
        <f t="shared" ref="DX39:EB39" si="553">VLOOKUP(DX94,$B$114:$C$126,2,FALSE)</f>
        <v>_COI_1_</v>
      </c>
      <c r="DY39" s="37" t="str">
        <f t="shared" si="553"/>
        <v>_HIG_1_</v>
      </c>
      <c r="DZ39" s="37" t="str">
        <f t="shared" si="553"/>
        <v>_low_4_</v>
      </c>
      <c r="EA39" s="37" t="str">
        <f t="shared" si="553"/>
        <v>_JOK_1_</v>
      </c>
      <c r="EB39" s="37" t="str">
        <f t="shared" si="553"/>
        <v>_low_3_</v>
      </c>
      <c r="EE39" s="37">
        <v>1</v>
      </c>
      <c r="EF39" s="37">
        <v>20</v>
      </c>
      <c r="EG39" s="37">
        <v>20</v>
      </c>
      <c r="EH39" s="37">
        <v>20</v>
      </c>
      <c r="EI39" s="37">
        <v>20</v>
      </c>
      <c r="EL39" s="37" t="str">
        <f t="shared" ref="EL39:EP39" si="554">VLOOKUP(EL94,$B$114:$C$126,2,FALSE)</f>
        <v>_COI_1_</v>
      </c>
      <c r="EM39" s="37" t="str">
        <f t="shared" si="554"/>
        <v>_HIG_1_</v>
      </c>
      <c r="EN39" s="37" t="str">
        <f t="shared" si="554"/>
        <v>_low_4_</v>
      </c>
      <c r="EO39" s="37" t="str">
        <f t="shared" si="554"/>
        <v>_JOK_1_</v>
      </c>
      <c r="EP39" s="37" t="str">
        <f t="shared" si="554"/>
        <v>_low_3_</v>
      </c>
      <c r="ES39" s="37">
        <v>1</v>
      </c>
      <c r="ET39" s="37">
        <v>20</v>
      </c>
      <c r="EU39" s="37">
        <v>20</v>
      </c>
      <c r="EV39" s="37">
        <v>20</v>
      </c>
      <c r="EW39" s="37">
        <v>20</v>
      </c>
      <c r="EZ39" s="37" t="str">
        <f t="shared" ref="EZ39:FD39" si="555">VLOOKUP(EZ94,$B$114:$C$126,2,FALSE)</f>
        <v>_COI_1_</v>
      </c>
      <c r="FA39" s="37" t="str">
        <f t="shared" si="555"/>
        <v>_HIG_1_</v>
      </c>
      <c r="FB39" s="37" t="str">
        <f t="shared" si="555"/>
        <v>_low_4_</v>
      </c>
      <c r="FC39" s="37" t="str">
        <f t="shared" si="555"/>
        <v>_JOK_1_</v>
      </c>
      <c r="FD39" s="37" t="str">
        <f t="shared" si="555"/>
        <v>_low_3_</v>
      </c>
      <c r="FG39" s="37">
        <v>1</v>
      </c>
      <c r="FH39" s="37">
        <v>20</v>
      </c>
      <c r="FI39" s="37">
        <v>20</v>
      </c>
      <c r="FJ39" s="37">
        <v>20</v>
      </c>
      <c r="FK39" s="37">
        <v>20</v>
      </c>
      <c r="FN39" s="37" t="str">
        <f t="shared" ref="FN39:FR39" si="556">VLOOKUP(FN94,$B$114:$C$126,2,FALSE)</f>
        <v>_COI_1_</v>
      </c>
      <c r="FO39" s="37" t="str">
        <f t="shared" si="556"/>
        <v>_HIG_1_</v>
      </c>
      <c r="FP39" s="37" t="str">
        <f t="shared" si="556"/>
        <v>_low_4_</v>
      </c>
      <c r="FQ39" s="37" t="str">
        <f t="shared" si="556"/>
        <v>_JOK_1_</v>
      </c>
      <c r="FR39" s="37" t="str">
        <f t="shared" si="556"/>
        <v>_low_3_</v>
      </c>
      <c r="FU39" s="37">
        <v>4000</v>
      </c>
      <c r="FV39" s="37">
        <v>20</v>
      </c>
      <c r="FW39" s="37">
        <v>20</v>
      </c>
      <c r="FX39" s="37">
        <v>20</v>
      </c>
      <c r="FY39" s="37">
        <v>20</v>
      </c>
      <c r="GB39" s="37" t="str">
        <f t="shared" ref="GB39:GF39" si="557">VLOOKUP(GB94,$B$114:$C$126,2,FALSE)</f>
        <v>_COI_1_</v>
      </c>
      <c r="GC39" s="37" t="str">
        <f t="shared" si="557"/>
        <v>_HIG_1_</v>
      </c>
      <c r="GD39" s="37" t="str">
        <f t="shared" si="557"/>
        <v>_low_4_</v>
      </c>
      <c r="GE39" s="37" t="str">
        <f t="shared" si="557"/>
        <v>_JOK_1_</v>
      </c>
      <c r="GF39" s="37" t="str">
        <f t="shared" si="557"/>
        <v>_low_3_</v>
      </c>
      <c r="GI39" s="37">
        <v>4000</v>
      </c>
      <c r="GJ39" s="37">
        <v>20</v>
      </c>
      <c r="GK39" s="37">
        <v>20</v>
      </c>
      <c r="GL39" s="37">
        <v>20</v>
      </c>
      <c r="GM39" s="37">
        <v>20</v>
      </c>
      <c r="GP39" s="37" t="str">
        <f t="shared" ref="GP39:GT39" si="558">VLOOKUP(GP94,$B$114:$C$126,2,FALSE)</f>
        <v>_COI_1_</v>
      </c>
      <c r="GQ39" s="37" t="str">
        <f t="shared" si="558"/>
        <v>_HIG_1_</v>
      </c>
      <c r="GR39" s="37" t="str">
        <f t="shared" si="558"/>
        <v>_low_4_</v>
      </c>
      <c r="GS39" s="37" t="str">
        <f t="shared" si="558"/>
        <v>_JOK_1_</v>
      </c>
      <c r="GT39" s="37" t="str">
        <f t="shared" si="558"/>
        <v>_low_3_</v>
      </c>
      <c r="GW39" s="37">
        <v>1</v>
      </c>
      <c r="GX39" s="37">
        <v>20</v>
      </c>
      <c r="GY39" s="37">
        <v>20</v>
      </c>
      <c r="GZ39" s="37">
        <v>20</v>
      </c>
      <c r="HA39" s="37">
        <v>20</v>
      </c>
      <c r="HD39" s="37" t="str">
        <f t="shared" ref="HD39:HH39" si="559">VLOOKUP(HD94,$B$114:$C$126,2,FALSE)</f>
        <v>_COI_1_</v>
      </c>
      <c r="HE39" s="37" t="str">
        <f t="shared" si="559"/>
        <v>_HIG_1_</v>
      </c>
      <c r="HF39" s="37" t="str">
        <f t="shared" si="559"/>
        <v>_low_4_</v>
      </c>
      <c r="HG39" s="37" t="str">
        <f t="shared" si="559"/>
        <v>_JOK_1_</v>
      </c>
      <c r="HH39" s="37" t="str">
        <f t="shared" si="559"/>
        <v>_low_3_</v>
      </c>
      <c r="HK39" s="37">
        <v>100000000</v>
      </c>
      <c r="HL39" s="37">
        <v>20</v>
      </c>
      <c r="HM39" s="37">
        <v>20</v>
      </c>
      <c r="HN39" s="37">
        <v>20</v>
      </c>
      <c r="HO39" s="37">
        <v>20</v>
      </c>
    </row>
    <row r="40" spans="1:223" x14ac:dyDescent="0.35">
      <c r="A40" s="37">
        <v>36</v>
      </c>
      <c r="B40" s="37" t="str">
        <f t="shared" ref="B40:F40" si="560">VLOOKUP(B95,$B$114:$C$126,2,FALSE)</f>
        <v>_COI_1_</v>
      </c>
      <c r="C40" s="37" t="str">
        <f t="shared" si="560"/>
        <v>_low_5_</v>
      </c>
      <c r="D40" s="37" t="str">
        <f t="shared" si="560"/>
        <v>_HIG_1_</v>
      </c>
      <c r="E40" s="37" t="str">
        <f t="shared" si="560"/>
        <v>_low_5_</v>
      </c>
      <c r="F40" s="37" t="str">
        <f t="shared" si="560"/>
        <v>_HIG_3_</v>
      </c>
      <c r="I40" s="60">
        <v>1</v>
      </c>
      <c r="J40" s="60">
        <v>20</v>
      </c>
      <c r="K40" s="60">
        <v>1</v>
      </c>
      <c r="L40" s="60">
        <v>1</v>
      </c>
      <c r="M40" s="60">
        <v>20</v>
      </c>
      <c r="P40" s="37" t="str">
        <f t="shared" ref="P40:T40" si="561">VLOOKUP(P95,$B$114:$C$126,2,FALSE)</f>
        <v>_COI_1_</v>
      </c>
      <c r="Q40" s="37" t="str">
        <f t="shared" si="561"/>
        <v>_low_5_</v>
      </c>
      <c r="R40" s="37" t="str">
        <f t="shared" si="561"/>
        <v>_HIG_1_</v>
      </c>
      <c r="S40" s="37" t="str">
        <f t="shared" si="561"/>
        <v>_low_5_</v>
      </c>
      <c r="T40" s="37" t="str">
        <f t="shared" si="561"/>
        <v>_HIG_3_</v>
      </c>
      <c r="W40" s="37">
        <v>1</v>
      </c>
      <c r="X40" s="37">
        <v>20</v>
      </c>
      <c r="Y40" s="37">
        <v>1</v>
      </c>
      <c r="Z40" s="37">
        <v>1</v>
      </c>
      <c r="AA40" s="37">
        <v>20</v>
      </c>
      <c r="AD40" s="37" t="str">
        <f t="shared" ref="AD40:AH40" si="562">VLOOKUP(AD95,$B$114:$C$126,2,FALSE)</f>
        <v>_COI_1_</v>
      </c>
      <c r="AE40" s="37" t="str">
        <f t="shared" si="562"/>
        <v>_low_5_</v>
      </c>
      <c r="AF40" s="37" t="str">
        <f t="shared" si="562"/>
        <v>_HIG_1_</v>
      </c>
      <c r="AG40" s="37" t="str">
        <f t="shared" si="562"/>
        <v>_low_5_</v>
      </c>
      <c r="AH40" s="37" t="str">
        <f t="shared" si="562"/>
        <v>_HIG_3_</v>
      </c>
      <c r="AK40" s="37">
        <v>1</v>
      </c>
      <c r="AL40" s="37">
        <v>20</v>
      </c>
      <c r="AM40" s="37">
        <v>1</v>
      </c>
      <c r="AN40" s="37">
        <v>1</v>
      </c>
      <c r="AO40" s="37">
        <v>20</v>
      </c>
      <c r="AR40" s="37" t="str">
        <f t="shared" ref="AR40:AV40" si="563">VLOOKUP(AR95,$B$114:$C$126,2,FALSE)</f>
        <v>_COI_1_</v>
      </c>
      <c r="AS40" s="37" t="str">
        <f t="shared" si="563"/>
        <v>_low_5_</v>
      </c>
      <c r="AT40" s="37" t="str">
        <f t="shared" si="563"/>
        <v>_HIG_1_</v>
      </c>
      <c r="AU40" s="37" t="str">
        <f t="shared" si="563"/>
        <v>_low_5_</v>
      </c>
      <c r="AV40" s="37" t="str">
        <f t="shared" si="563"/>
        <v>_HIG_3_</v>
      </c>
      <c r="AY40" s="37">
        <v>1</v>
      </c>
      <c r="AZ40" s="37">
        <v>20</v>
      </c>
      <c r="BA40" s="37">
        <v>1</v>
      </c>
      <c r="BB40" s="37">
        <v>1</v>
      </c>
      <c r="BC40" s="37">
        <v>20</v>
      </c>
      <c r="BF40" s="37" t="str">
        <f t="shared" ref="BF40:BJ40" si="564">VLOOKUP(BF95,$B$114:$C$126,2,FALSE)</f>
        <v>_COI_1_</v>
      </c>
      <c r="BG40" s="37" t="str">
        <f t="shared" si="564"/>
        <v>_low_5_</v>
      </c>
      <c r="BH40" s="37" t="str">
        <f t="shared" si="564"/>
        <v>_HIG_1_</v>
      </c>
      <c r="BI40" s="37" t="str">
        <f t="shared" si="564"/>
        <v>_low_5_</v>
      </c>
      <c r="BJ40" s="37" t="str">
        <f t="shared" si="564"/>
        <v>_HIG_3_</v>
      </c>
      <c r="BM40" s="37">
        <v>1</v>
      </c>
      <c r="BN40" s="37">
        <v>20</v>
      </c>
      <c r="BO40" s="37">
        <v>1</v>
      </c>
      <c r="BP40" s="37">
        <v>1</v>
      </c>
      <c r="BQ40" s="37">
        <v>20</v>
      </c>
      <c r="BT40" s="37" t="str">
        <f t="shared" ref="BT40:BX40" si="565">VLOOKUP(BT95,$B$114:$C$126,2,FALSE)</f>
        <v>_COI_1_</v>
      </c>
      <c r="BU40" s="37" t="str">
        <f t="shared" si="565"/>
        <v>_low_5_</v>
      </c>
      <c r="BV40" s="37" t="str">
        <f t="shared" si="565"/>
        <v>_HIG_1_</v>
      </c>
      <c r="BW40" s="37" t="str">
        <f t="shared" si="565"/>
        <v>_low_5_</v>
      </c>
      <c r="BX40" s="37" t="str">
        <f t="shared" si="565"/>
        <v>_HIG_3_</v>
      </c>
      <c r="CA40" s="37">
        <v>1</v>
      </c>
      <c r="CB40" s="37">
        <v>20</v>
      </c>
      <c r="CC40" s="37">
        <v>1</v>
      </c>
      <c r="CD40" s="37">
        <v>1</v>
      </c>
      <c r="CE40" s="37">
        <v>20</v>
      </c>
      <c r="CH40" s="37" t="str">
        <f t="shared" ref="CH40:CL40" si="566">VLOOKUP(CH95,$B$114:$C$126,2,FALSE)</f>
        <v>_COI_1_</v>
      </c>
      <c r="CI40" s="37" t="str">
        <f t="shared" si="566"/>
        <v>_low_5_</v>
      </c>
      <c r="CJ40" s="37" t="str">
        <f t="shared" si="566"/>
        <v>_HIG_1_</v>
      </c>
      <c r="CK40" s="37" t="str">
        <f t="shared" si="566"/>
        <v>_low_5_</v>
      </c>
      <c r="CL40" s="37" t="str">
        <f t="shared" si="566"/>
        <v>_HIG_3_</v>
      </c>
      <c r="CO40" s="37">
        <v>1</v>
      </c>
      <c r="CP40" s="37">
        <v>20</v>
      </c>
      <c r="CQ40" s="37">
        <v>1</v>
      </c>
      <c r="CR40" s="37">
        <v>1</v>
      </c>
      <c r="CS40" s="37">
        <v>20</v>
      </c>
      <c r="CV40" s="37" t="str">
        <f t="shared" ref="CV40:CZ40" si="567">VLOOKUP(CV95,$B$114:$C$126,2,FALSE)</f>
        <v>_COI_1_</v>
      </c>
      <c r="CW40" s="37" t="str">
        <f t="shared" si="567"/>
        <v>_low_5_</v>
      </c>
      <c r="CX40" s="37" t="str">
        <f t="shared" si="567"/>
        <v>_HIG_1_</v>
      </c>
      <c r="CY40" s="37" t="str">
        <f t="shared" si="567"/>
        <v>_low_5_</v>
      </c>
      <c r="CZ40" s="37" t="str">
        <f t="shared" si="567"/>
        <v>_HIG_3_</v>
      </c>
      <c r="DC40" s="37">
        <v>1</v>
      </c>
      <c r="DD40" s="37">
        <v>20</v>
      </c>
      <c r="DE40" s="37">
        <v>1</v>
      </c>
      <c r="DF40" s="37">
        <v>1</v>
      </c>
      <c r="DG40" s="37">
        <v>20</v>
      </c>
      <c r="DJ40" s="37" t="str">
        <f t="shared" ref="DJ40:DN40" si="568">VLOOKUP(DJ95,$B$114:$C$126,2,FALSE)</f>
        <v>_COI_1_</v>
      </c>
      <c r="DK40" s="37" t="str">
        <f t="shared" si="568"/>
        <v>_low_5_</v>
      </c>
      <c r="DL40" s="37" t="str">
        <f t="shared" si="568"/>
        <v>_HIG_1_</v>
      </c>
      <c r="DM40" s="37" t="str">
        <f t="shared" si="568"/>
        <v>_low_5_</v>
      </c>
      <c r="DN40" s="37" t="str">
        <f t="shared" si="568"/>
        <v>_HIG_3_</v>
      </c>
      <c r="DQ40" s="37">
        <v>1</v>
      </c>
      <c r="DR40" s="37">
        <v>20</v>
      </c>
      <c r="DS40" s="37">
        <v>1</v>
      </c>
      <c r="DT40" s="37">
        <v>1</v>
      </c>
      <c r="DU40" s="37">
        <v>20</v>
      </c>
      <c r="DX40" s="37" t="str">
        <f t="shared" ref="DX40:EB40" si="569">VLOOKUP(DX95,$B$114:$C$126,2,FALSE)</f>
        <v>_COI_1_</v>
      </c>
      <c r="DY40" s="37" t="str">
        <f t="shared" si="569"/>
        <v>_low_5_</v>
      </c>
      <c r="DZ40" s="37" t="str">
        <f t="shared" si="569"/>
        <v>_HIG_1_</v>
      </c>
      <c r="EA40" s="37" t="str">
        <f t="shared" si="569"/>
        <v>_low_5_</v>
      </c>
      <c r="EB40" s="37" t="str">
        <f t="shared" si="569"/>
        <v>_HIG_3_</v>
      </c>
      <c r="EE40" s="37">
        <v>1</v>
      </c>
      <c r="EF40" s="37">
        <v>20</v>
      </c>
      <c r="EG40" s="37">
        <v>1</v>
      </c>
      <c r="EH40" s="37">
        <v>1</v>
      </c>
      <c r="EI40" s="37">
        <v>20</v>
      </c>
      <c r="EL40" s="37" t="str">
        <f t="shared" ref="EL40:EP40" si="570">VLOOKUP(EL95,$B$114:$C$126,2,FALSE)</f>
        <v>_COI_1_</v>
      </c>
      <c r="EM40" s="37" t="str">
        <f t="shared" si="570"/>
        <v>_low_5_</v>
      </c>
      <c r="EN40" s="37" t="str">
        <f t="shared" si="570"/>
        <v>_HIG_1_</v>
      </c>
      <c r="EO40" s="37" t="str">
        <f t="shared" si="570"/>
        <v>_low_5_</v>
      </c>
      <c r="EP40" s="37" t="str">
        <f t="shared" si="570"/>
        <v>_HIG_3_</v>
      </c>
      <c r="ES40" s="37">
        <v>1</v>
      </c>
      <c r="ET40" s="37">
        <v>20</v>
      </c>
      <c r="EU40" s="37">
        <v>1</v>
      </c>
      <c r="EV40" s="37">
        <v>1</v>
      </c>
      <c r="EW40" s="37">
        <v>20</v>
      </c>
      <c r="EZ40" s="37" t="str">
        <f t="shared" ref="EZ40:FD40" si="571">VLOOKUP(EZ95,$B$114:$C$126,2,FALSE)</f>
        <v>_COI_1_</v>
      </c>
      <c r="FA40" s="37" t="str">
        <f t="shared" si="571"/>
        <v>_low_5_</v>
      </c>
      <c r="FB40" s="37" t="str">
        <f t="shared" si="571"/>
        <v>_HIG_1_</v>
      </c>
      <c r="FC40" s="37" t="str">
        <f t="shared" si="571"/>
        <v>_low_5_</v>
      </c>
      <c r="FD40" s="37" t="str">
        <f t="shared" si="571"/>
        <v>_HIG_3_</v>
      </c>
      <c r="FG40" s="37">
        <v>1</v>
      </c>
      <c r="FH40" s="37">
        <v>20</v>
      </c>
      <c r="FI40" s="37">
        <v>1</v>
      </c>
      <c r="FJ40" s="37">
        <v>1</v>
      </c>
      <c r="FK40" s="37">
        <v>20</v>
      </c>
      <c r="FN40" s="37" t="str">
        <f t="shared" ref="FN40:FR40" si="572">VLOOKUP(FN95,$B$114:$C$126,2,FALSE)</f>
        <v>_COI_1_</v>
      </c>
      <c r="FO40" s="37" t="str">
        <f t="shared" si="572"/>
        <v>_low_5_</v>
      </c>
      <c r="FP40" s="37" t="str">
        <f t="shared" si="572"/>
        <v>_HIG_1_</v>
      </c>
      <c r="FQ40" s="37" t="str">
        <f t="shared" si="572"/>
        <v>_low_5_</v>
      </c>
      <c r="FR40" s="37" t="str">
        <f t="shared" si="572"/>
        <v>_HIG_3_</v>
      </c>
      <c r="FU40" s="37">
        <v>1</v>
      </c>
      <c r="FV40" s="37">
        <v>20</v>
      </c>
      <c r="FW40" s="37">
        <v>1</v>
      </c>
      <c r="FX40" s="37">
        <v>1</v>
      </c>
      <c r="FY40" s="37">
        <v>20</v>
      </c>
      <c r="GB40" s="37" t="str">
        <f t="shared" ref="GB40:GF40" si="573">VLOOKUP(GB95,$B$114:$C$126,2,FALSE)</f>
        <v>_COI_1_</v>
      </c>
      <c r="GC40" s="37" t="str">
        <f t="shared" si="573"/>
        <v>_low_5_</v>
      </c>
      <c r="GD40" s="37" t="str">
        <f t="shared" si="573"/>
        <v>_HIG_1_</v>
      </c>
      <c r="GE40" s="37" t="str">
        <f t="shared" si="573"/>
        <v>_low_5_</v>
      </c>
      <c r="GF40" s="37" t="str">
        <f t="shared" si="573"/>
        <v>_HIG_3_</v>
      </c>
      <c r="GI40" s="37">
        <v>1</v>
      </c>
      <c r="GJ40" s="37">
        <v>20</v>
      </c>
      <c r="GK40" s="37">
        <v>1</v>
      </c>
      <c r="GL40" s="37">
        <v>1</v>
      </c>
      <c r="GM40" s="37">
        <v>20</v>
      </c>
      <c r="GP40" s="37" t="str">
        <f t="shared" ref="GP40:GT40" si="574">VLOOKUP(GP95,$B$114:$C$126,2,FALSE)</f>
        <v>_COI_1_</v>
      </c>
      <c r="GQ40" s="37" t="str">
        <f t="shared" si="574"/>
        <v>_low_5_</v>
      </c>
      <c r="GR40" s="37" t="str">
        <f t="shared" si="574"/>
        <v>_HIG_1_</v>
      </c>
      <c r="GS40" s="37" t="str">
        <f t="shared" si="574"/>
        <v>_low_5_</v>
      </c>
      <c r="GT40" s="37" t="str">
        <f t="shared" si="574"/>
        <v>_HIG_3_</v>
      </c>
      <c r="GW40" s="37">
        <v>1</v>
      </c>
      <c r="GX40" s="37">
        <v>20</v>
      </c>
      <c r="GY40" s="37">
        <v>1</v>
      </c>
      <c r="GZ40" s="37">
        <v>1</v>
      </c>
      <c r="HA40" s="37">
        <v>20</v>
      </c>
      <c r="HD40" s="37" t="str">
        <f t="shared" ref="HD40:HH40" si="575">VLOOKUP(HD95,$B$114:$C$126,2,FALSE)</f>
        <v>_COI_1_</v>
      </c>
      <c r="HE40" s="37" t="str">
        <f t="shared" si="575"/>
        <v>_low_5_</v>
      </c>
      <c r="HF40" s="37" t="str">
        <f t="shared" si="575"/>
        <v>_HIG_1_</v>
      </c>
      <c r="HG40" s="37" t="str">
        <f t="shared" si="575"/>
        <v>_low_5_</v>
      </c>
      <c r="HH40" s="37" t="str">
        <f t="shared" si="575"/>
        <v>_HIG_3_</v>
      </c>
      <c r="HK40" s="37">
        <v>1</v>
      </c>
      <c r="HL40" s="37">
        <v>20</v>
      </c>
      <c r="HM40" s="37">
        <v>1</v>
      </c>
      <c r="HN40" s="37">
        <v>20</v>
      </c>
      <c r="HO40" s="37">
        <v>20</v>
      </c>
    </row>
    <row r="41" spans="1:223" x14ac:dyDescent="0.35">
      <c r="A41" s="37">
        <v>37</v>
      </c>
      <c r="B41" s="37" t="str">
        <f t="shared" ref="B41:F41" si="576">VLOOKUP(B96,$B$114:$C$126,2,FALSE)</f>
        <v>_low_4_</v>
      </c>
      <c r="C41" s="37" t="str">
        <f t="shared" si="576"/>
        <v>_HIG_3_</v>
      </c>
      <c r="D41" s="37" t="str">
        <f t="shared" si="576"/>
        <v>_COI_1_</v>
      </c>
      <c r="E41" s="37" t="str">
        <f t="shared" si="576"/>
        <v>_COI_1_</v>
      </c>
      <c r="F41" s="37" t="str">
        <f t="shared" si="576"/>
        <v>_low_5_</v>
      </c>
      <c r="I41" s="60">
        <v>1</v>
      </c>
      <c r="J41" s="60">
        <v>20</v>
      </c>
      <c r="K41" s="60">
        <v>1</v>
      </c>
      <c r="L41" s="60">
        <v>1</v>
      </c>
      <c r="M41" s="60">
        <v>20</v>
      </c>
      <c r="P41" s="37" t="str">
        <f t="shared" ref="P41:T41" si="577">VLOOKUP(P96,$B$114:$C$126,2,FALSE)</f>
        <v>_low_4_</v>
      </c>
      <c r="Q41" s="37" t="str">
        <f t="shared" si="577"/>
        <v>_HIG_3_</v>
      </c>
      <c r="R41" s="37" t="str">
        <f t="shared" si="577"/>
        <v>_COI_1_</v>
      </c>
      <c r="S41" s="37" t="str">
        <f t="shared" si="577"/>
        <v>_COI_1_</v>
      </c>
      <c r="T41" s="37" t="str">
        <f t="shared" si="577"/>
        <v>_low_5_</v>
      </c>
      <c r="W41" s="37">
        <v>1</v>
      </c>
      <c r="X41" s="37">
        <v>20</v>
      </c>
      <c r="Y41" s="37">
        <v>1</v>
      </c>
      <c r="Z41" s="37">
        <v>1</v>
      </c>
      <c r="AA41" s="37">
        <v>20</v>
      </c>
      <c r="AD41" s="37" t="str">
        <f t="shared" ref="AD41:AH41" si="578">VLOOKUP(AD96,$B$114:$C$126,2,FALSE)</f>
        <v>_low_4_</v>
      </c>
      <c r="AE41" s="37" t="str">
        <f t="shared" si="578"/>
        <v>_HIG_3_</v>
      </c>
      <c r="AF41" s="37" t="str">
        <f t="shared" si="578"/>
        <v>_COI_1_</v>
      </c>
      <c r="AG41" s="37" t="str">
        <f t="shared" si="578"/>
        <v>_COI_1_</v>
      </c>
      <c r="AH41" s="37" t="str">
        <f t="shared" si="578"/>
        <v>_low_5_</v>
      </c>
      <c r="AK41" s="37">
        <v>1</v>
      </c>
      <c r="AL41" s="37">
        <v>20</v>
      </c>
      <c r="AM41" s="37">
        <v>1</v>
      </c>
      <c r="AN41" s="37">
        <v>1</v>
      </c>
      <c r="AO41" s="37">
        <v>20</v>
      </c>
      <c r="AR41" s="37" t="str">
        <f t="shared" ref="AR41:AV41" si="579">VLOOKUP(AR96,$B$114:$C$126,2,FALSE)</f>
        <v>_low_4_</v>
      </c>
      <c r="AS41" s="37" t="str">
        <f t="shared" si="579"/>
        <v>_HIG_3_</v>
      </c>
      <c r="AT41" s="37" t="str">
        <f t="shared" si="579"/>
        <v>_COI_1_</v>
      </c>
      <c r="AU41" s="37" t="str">
        <f t="shared" si="579"/>
        <v>_COI_1_</v>
      </c>
      <c r="AV41" s="37" t="str">
        <f t="shared" si="579"/>
        <v>_low_5_</v>
      </c>
      <c r="AY41" s="37">
        <v>1</v>
      </c>
      <c r="AZ41" s="37">
        <v>20</v>
      </c>
      <c r="BA41" s="37">
        <v>1</v>
      </c>
      <c r="BB41" s="37">
        <v>4000</v>
      </c>
      <c r="BC41" s="37">
        <v>20</v>
      </c>
      <c r="BF41" s="37" t="str">
        <f t="shared" ref="BF41:BJ41" si="580">VLOOKUP(BF96,$B$114:$C$126,2,FALSE)</f>
        <v>_low_4_</v>
      </c>
      <c r="BG41" s="37" t="str">
        <f t="shared" si="580"/>
        <v>_HIG_3_</v>
      </c>
      <c r="BH41" s="37" t="str">
        <f t="shared" si="580"/>
        <v>_COI_1_</v>
      </c>
      <c r="BI41" s="37" t="str">
        <f t="shared" si="580"/>
        <v>_COI_1_</v>
      </c>
      <c r="BJ41" s="37" t="str">
        <f t="shared" si="580"/>
        <v>_low_5_</v>
      </c>
      <c r="BM41" s="37">
        <v>1</v>
      </c>
      <c r="BN41" s="37">
        <v>20</v>
      </c>
      <c r="BO41" s="37">
        <v>1</v>
      </c>
      <c r="BP41" s="37">
        <v>1</v>
      </c>
      <c r="BQ41" s="37">
        <v>20</v>
      </c>
      <c r="BT41" s="37" t="str">
        <f t="shared" ref="BT41:BX41" si="581">VLOOKUP(BT96,$B$114:$C$126,2,FALSE)</f>
        <v>_low_4_</v>
      </c>
      <c r="BU41" s="37" t="str">
        <f t="shared" si="581"/>
        <v>_HIG_3_</v>
      </c>
      <c r="BV41" s="37" t="str">
        <f t="shared" si="581"/>
        <v>_COI_1_</v>
      </c>
      <c r="BW41" s="37" t="str">
        <f t="shared" si="581"/>
        <v>_COI_1_</v>
      </c>
      <c r="BX41" s="37" t="str">
        <f t="shared" si="581"/>
        <v>_low_5_</v>
      </c>
      <c r="CA41" s="37">
        <v>1</v>
      </c>
      <c r="CB41" s="37">
        <v>20</v>
      </c>
      <c r="CC41" s="37">
        <v>1</v>
      </c>
      <c r="CD41" s="37">
        <v>1</v>
      </c>
      <c r="CE41" s="37">
        <v>20</v>
      </c>
      <c r="CH41" s="37" t="str">
        <f t="shared" ref="CH41:CL41" si="582">VLOOKUP(CH96,$B$114:$C$126,2,FALSE)</f>
        <v>_low_4_</v>
      </c>
      <c r="CI41" s="37" t="str">
        <f t="shared" si="582"/>
        <v>_HIG_3_</v>
      </c>
      <c r="CJ41" s="37" t="str">
        <f t="shared" si="582"/>
        <v>_COI_1_</v>
      </c>
      <c r="CK41" s="37" t="str">
        <f t="shared" si="582"/>
        <v>_COI_1_</v>
      </c>
      <c r="CL41" s="37" t="str">
        <f t="shared" si="582"/>
        <v>_low_5_</v>
      </c>
      <c r="CO41" s="37">
        <v>1</v>
      </c>
      <c r="CP41" s="37">
        <v>20</v>
      </c>
      <c r="CQ41" s="37">
        <v>1</v>
      </c>
      <c r="CR41" s="37">
        <v>1</v>
      </c>
      <c r="CS41" s="37">
        <v>20</v>
      </c>
      <c r="CV41" s="37" t="str">
        <f t="shared" ref="CV41:CZ41" si="583">VLOOKUP(CV96,$B$114:$C$126,2,FALSE)</f>
        <v>_low_4_</v>
      </c>
      <c r="CW41" s="37" t="str">
        <f t="shared" si="583"/>
        <v>_HIG_3_</v>
      </c>
      <c r="CX41" s="37" t="str">
        <f t="shared" si="583"/>
        <v>_COI_1_</v>
      </c>
      <c r="CY41" s="37" t="str">
        <f t="shared" si="583"/>
        <v>_COI_1_</v>
      </c>
      <c r="CZ41" s="37" t="str">
        <f t="shared" si="583"/>
        <v>_low_5_</v>
      </c>
      <c r="DC41" s="37">
        <v>1</v>
      </c>
      <c r="DD41" s="37">
        <v>20</v>
      </c>
      <c r="DE41" s="37">
        <v>1</v>
      </c>
      <c r="DF41" s="37">
        <v>1</v>
      </c>
      <c r="DG41" s="37">
        <v>20</v>
      </c>
      <c r="DJ41" s="37" t="str">
        <f t="shared" ref="DJ41:DN41" si="584">VLOOKUP(DJ96,$B$114:$C$126,2,FALSE)</f>
        <v>_low_4_</v>
      </c>
      <c r="DK41" s="37" t="str">
        <f t="shared" si="584"/>
        <v>_HIG_3_</v>
      </c>
      <c r="DL41" s="37" t="str">
        <f t="shared" si="584"/>
        <v>_COI_1_</v>
      </c>
      <c r="DM41" s="37" t="str">
        <f t="shared" si="584"/>
        <v>_COI_1_</v>
      </c>
      <c r="DN41" s="37" t="str">
        <f t="shared" si="584"/>
        <v>_low_5_</v>
      </c>
      <c r="DQ41" s="37">
        <v>1</v>
      </c>
      <c r="DR41" s="37">
        <v>20</v>
      </c>
      <c r="DS41" s="37">
        <v>1</v>
      </c>
      <c r="DT41" s="37">
        <v>1</v>
      </c>
      <c r="DU41" s="37">
        <v>20</v>
      </c>
      <c r="DX41" s="37" t="str">
        <f t="shared" ref="DX41:EB41" si="585">VLOOKUP(DX96,$B$114:$C$126,2,FALSE)</f>
        <v>_low_4_</v>
      </c>
      <c r="DY41" s="37" t="str">
        <f t="shared" si="585"/>
        <v>_HIG_3_</v>
      </c>
      <c r="DZ41" s="37" t="str">
        <f t="shared" si="585"/>
        <v>_COI_1_</v>
      </c>
      <c r="EA41" s="37" t="str">
        <f t="shared" si="585"/>
        <v>_COI_1_</v>
      </c>
      <c r="EB41" s="37" t="str">
        <f t="shared" si="585"/>
        <v>_low_5_</v>
      </c>
      <c r="EE41" s="37">
        <v>1</v>
      </c>
      <c r="EF41" s="37">
        <v>20</v>
      </c>
      <c r="EG41" s="37">
        <v>1</v>
      </c>
      <c r="EH41" s="37">
        <v>1</v>
      </c>
      <c r="EI41" s="37">
        <v>20</v>
      </c>
      <c r="EL41" s="37" t="str">
        <f t="shared" ref="EL41:EP41" si="586">VLOOKUP(EL96,$B$114:$C$126,2,FALSE)</f>
        <v>_low_4_</v>
      </c>
      <c r="EM41" s="37" t="str">
        <f t="shared" si="586"/>
        <v>_HIG_3_</v>
      </c>
      <c r="EN41" s="37" t="str">
        <f t="shared" si="586"/>
        <v>_COI_1_</v>
      </c>
      <c r="EO41" s="37" t="str">
        <f t="shared" si="586"/>
        <v>_COI_1_</v>
      </c>
      <c r="EP41" s="37" t="str">
        <f t="shared" si="586"/>
        <v>_low_5_</v>
      </c>
      <c r="ES41" s="37">
        <v>1</v>
      </c>
      <c r="ET41" s="37">
        <v>20</v>
      </c>
      <c r="EU41" s="37">
        <v>1</v>
      </c>
      <c r="EV41" s="37">
        <v>1</v>
      </c>
      <c r="EW41" s="37">
        <v>20</v>
      </c>
      <c r="EZ41" s="37" t="str">
        <f t="shared" ref="EZ41:FD41" si="587">VLOOKUP(EZ96,$B$114:$C$126,2,FALSE)</f>
        <v>_low_4_</v>
      </c>
      <c r="FA41" s="37" t="str">
        <f t="shared" si="587"/>
        <v>_HIG_3_</v>
      </c>
      <c r="FB41" s="37" t="str">
        <f t="shared" si="587"/>
        <v>_COI_1_</v>
      </c>
      <c r="FC41" s="37" t="str">
        <f t="shared" si="587"/>
        <v>_COI_1_</v>
      </c>
      <c r="FD41" s="37" t="str">
        <f t="shared" si="587"/>
        <v>_low_5_</v>
      </c>
      <c r="FG41" s="37">
        <v>1</v>
      </c>
      <c r="FH41" s="37">
        <v>20</v>
      </c>
      <c r="FI41" s="37">
        <v>1</v>
      </c>
      <c r="FJ41" s="37">
        <v>1</v>
      </c>
      <c r="FK41" s="37">
        <v>20</v>
      </c>
      <c r="FN41" s="37" t="str">
        <f t="shared" ref="FN41:FR41" si="588">VLOOKUP(FN96,$B$114:$C$126,2,FALSE)</f>
        <v>_low_4_</v>
      </c>
      <c r="FO41" s="37" t="str">
        <f t="shared" si="588"/>
        <v>_HIG_3_</v>
      </c>
      <c r="FP41" s="37" t="str">
        <f t="shared" si="588"/>
        <v>_COI_1_</v>
      </c>
      <c r="FQ41" s="37" t="str">
        <f t="shared" si="588"/>
        <v>_COI_1_</v>
      </c>
      <c r="FR41" s="37" t="str">
        <f t="shared" si="588"/>
        <v>_low_5_</v>
      </c>
      <c r="FU41" s="37">
        <v>1</v>
      </c>
      <c r="FV41" s="37">
        <v>20</v>
      </c>
      <c r="FW41" s="37">
        <v>1</v>
      </c>
      <c r="FX41" s="37">
        <v>1</v>
      </c>
      <c r="FY41" s="37">
        <v>20</v>
      </c>
      <c r="GB41" s="37" t="str">
        <f t="shared" ref="GB41:GF41" si="589">VLOOKUP(GB96,$B$114:$C$126,2,FALSE)</f>
        <v>_low_4_</v>
      </c>
      <c r="GC41" s="37" t="str">
        <f t="shared" si="589"/>
        <v>_HIG_3_</v>
      </c>
      <c r="GD41" s="37" t="str">
        <f t="shared" si="589"/>
        <v>_COI_1_</v>
      </c>
      <c r="GE41" s="37" t="str">
        <f t="shared" si="589"/>
        <v>_COI_1_</v>
      </c>
      <c r="GF41" s="37" t="str">
        <f t="shared" si="589"/>
        <v>_low_5_</v>
      </c>
      <c r="GI41" s="37">
        <v>1</v>
      </c>
      <c r="GJ41" s="37">
        <v>20</v>
      </c>
      <c r="GK41" s="37">
        <v>1</v>
      </c>
      <c r="GL41" s="37">
        <v>4000</v>
      </c>
      <c r="GM41" s="37">
        <v>20</v>
      </c>
      <c r="GP41" s="37" t="str">
        <f t="shared" ref="GP41:GT41" si="590">VLOOKUP(GP96,$B$114:$C$126,2,FALSE)</f>
        <v>_low_4_</v>
      </c>
      <c r="GQ41" s="37" t="str">
        <f t="shared" si="590"/>
        <v>_HIG_3_</v>
      </c>
      <c r="GR41" s="37" t="str">
        <f t="shared" si="590"/>
        <v>_COI_1_</v>
      </c>
      <c r="GS41" s="37" t="str">
        <f t="shared" si="590"/>
        <v>_COI_1_</v>
      </c>
      <c r="GT41" s="37" t="str">
        <f t="shared" si="590"/>
        <v>_low_5_</v>
      </c>
      <c r="GW41" s="37">
        <v>1</v>
      </c>
      <c r="GX41" s="37">
        <v>20</v>
      </c>
      <c r="GY41" s="37">
        <v>1</v>
      </c>
      <c r="GZ41" s="37">
        <v>1</v>
      </c>
      <c r="HA41" s="37">
        <v>20</v>
      </c>
      <c r="HD41" s="37" t="str">
        <f t="shared" ref="HD41:HH41" si="591">VLOOKUP(HD96,$B$114:$C$126,2,FALSE)</f>
        <v>_low_4_</v>
      </c>
      <c r="HE41" s="37" t="str">
        <f t="shared" si="591"/>
        <v>_HIG_3_</v>
      </c>
      <c r="HF41" s="37" t="str">
        <f t="shared" si="591"/>
        <v>_COI_1_</v>
      </c>
      <c r="HG41" s="37" t="str">
        <f t="shared" si="591"/>
        <v>_COI_1_</v>
      </c>
      <c r="HH41" s="37" t="str">
        <f t="shared" si="591"/>
        <v>_low_5_</v>
      </c>
      <c r="HK41" s="37">
        <v>1</v>
      </c>
      <c r="HL41" s="37">
        <v>20</v>
      </c>
      <c r="HM41" s="37">
        <v>1</v>
      </c>
      <c r="HN41" s="37">
        <v>1</v>
      </c>
      <c r="HO41" s="37">
        <v>20</v>
      </c>
    </row>
    <row r="42" spans="1:223" x14ac:dyDescent="0.35">
      <c r="A42" s="37">
        <v>38</v>
      </c>
      <c r="B42" s="37" t="str">
        <f t="shared" ref="B42:F42" si="592">VLOOKUP(B97,$B$114:$C$126,2,FALSE)</f>
        <v>_low_4_</v>
      </c>
      <c r="C42" s="37" t="str">
        <f t="shared" si="592"/>
        <v>_low_4_</v>
      </c>
      <c r="D42" s="37" t="str">
        <f t="shared" si="592"/>
        <v>_COI_1_</v>
      </c>
      <c r="E42" s="37" t="str">
        <f t="shared" si="592"/>
        <v>_COI_1_</v>
      </c>
      <c r="F42" s="37" t="str">
        <f t="shared" si="592"/>
        <v>_low_1_</v>
      </c>
      <c r="I42" s="60">
        <v>20</v>
      </c>
      <c r="J42" s="60">
        <v>1</v>
      </c>
      <c r="K42" s="60">
        <v>1</v>
      </c>
      <c r="L42" s="60">
        <v>1</v>
      </c>
      <c r="M42" s="60">
        <v>20</v>
      </c>
      <c r="P42" s="37" t="str">
        <f t="shared" ref="P42:T42" si="593">VLOOKUP(P97,$B$114:$C$126,2,FALSE)</f>
        <v>_low_4_</v>
      </c>
      <c r="Q42" s="37" t="str">
        <f t="shared" si="593"/>
        <v>_low_4_</v>
      </c>
      <c r="R42" s="37" t="str">
        <f t="shared" si="593"/>
        <v>_COI_1_</v>
      </c>
      <c r="S42" s="37" t="str">
        <f t="shared" si="593"/>
        <v>_COI_1_</v>
      </c>
      <c r="T42" s="37" t="str">
        <f t="shared" si="593"/>
        <v>_low_1_</v>
      </c>
      <c r="W42" s="37">
        <v>20</v>
      </c>
      <c r="X42" s="37">
        <v>1</v>
      </c>
      <c r="Y42" s="37">
        <v>1</v>
      </c>
      <c r="Z42" s="37">
        <v>1</v>
      </c>
      <c r="AA42" s="37">
        <v>20</v>
      </c>
      <c r="AD42" s="37" t="str">
        <f t="shared" ref="AD42:AH42" si="594">VLOOKUP(AD97,$B$114:$C$126,2,FALSE)</f>
        <v>_low_4_</v>
      </c>
      <c r="AE42" s="37" t="str">
        <f t="shared" si="594"/>
        <v>_low_4_</v>
      </c>
      <c r="AF42" s="37" t="str">
        <f t="shared" si="594"/>
        <v>_COI_1_</v>
      </c>
      <c r="AG42" s="37" t="str">
        <f t="shared" si="594"/>
        <v>_COI_1_</v>
      </c>
      <c r="AH42" s="37" t="str">
        <f t="shared" si="594"/>
        <v>_low_1_</v>
      </c>
      <c r="AK42" s="37">
        <v>20</v>
      </c>
      <c r="AL42" s="37">
        <v>1</v>
      </c>
      <c r="AM42" s="37">
        <v>1</v>
      </c>
      <c r="AN42" s="37">
        <v>1</v>
      </c>
      <c r="AO42" s="37">
        <v>20</v>
      </c>
      <c r="AR42" s="37" t="str">
        <f t="shared" ref="AR42:AV42" si="595">VLOOKUP(AR97,$B$114:$C$126,2,FALSE)</f>
        <v>_low_4_</v>
      </c>
      <c r="AS42" s="37" t="str">
        <f t="shared" si="595"/>
        <v>_low_4_</v>
      </c>
      <c r="AT42" s="37" t="str">
        <f t="shared" si="595"/>
        <v>_COI_1_</v>
      </c>
      <c r="AU42" s="37" t="str">
        <f t="shared" si="595"/>
        <v>_COI_1_</v>
      </c>
      <c r="AV42" s="37" t="str">
        <f t="shared" si="595"/>
        <v>_low_1_</v>
      </c>
      <c r="AY42" s="37">
        <v>20</v>
      </c>
      <c r="AZ42" s="37">
        <v>1</v>
      </c>
      <c r="BA42" s="37">
        <v>1</v>
      </c>
      <c r="BB42" s="37">
        <v>4000</v>
      </c>
      <c r="BC42" s="37">
        <v>20</v>
      </c>
      <c r="BF42" s="37" t="str">
        <f t="shared" ref="BF42:BJ42" si="596">VLOOKUP(BF97,$B$114:$C$126,2,FALSE)</f>
        <v>_low_4_</v>
      </c>
      <c r="BG42" s="37" t="str">
        <f t="shared" si="596"/>
        <v>_low_4_</v>
      </c>
      <c r="BH42" s="37" t="str">
        <f t="shared" si="596"/>
        <v>_COI_1_</v>
      </c>
      <c r="BI42" s="37" t="str">
        <f t="shared" si="596"/>
        <v>_COI_1_</v>
      </c>
      <c r="BJ42" s="37" t="str">
        <f t="shared" si="596"/>
        <v>_low_1_</v>
      </c>
      <c r="BM42" s="37">
        <v>20</v>
      </c>
      <c r="BN42" s="37">
        <v>1</v>
      </c>
      <c r="BO42" s="37">
        <v>1</v>
      </c>
      <c r="BP42" s="37">
        <v>1</v>
      </c>
      <c r="BQ42" s="37">
        <v>20</v>
      </c>
      <c r="BT42" s="37" t="str">
        <f t="shared" ref="BT42:BX42" si="597">VLOOKUP(BT97,$B$114:$C$126,2,FALSE)</f>
        <v>_low_4_</v>
      </c>
      <c r="BU42" s="37" t="str">
        <f t="shared" si="597"/>
        <v>_low_4_</v>
      </c>
      <c r="BV42" s="37" t="str">
        <f t="shared" si="597"/>
        <v>_COI_1_</v>
      </c>
      <c r="BW42" s="37" t="str">
        <f t="shared" si="597"/>
        <v>_COI_1_</v>
      </c>
      <c r="BX42" s="37" t="str">
        <f t="shared" si="597"/>
        <v>_low_1_</v>
      </c>
      <c r="CA42" s="37">
        <v>20</v>
      </c>
      <c r="CB42" s="37">
        <v>1</v>
      </c>
      <c r="CC42" s="37">
        <v>1</v>
      </c>
      <c r="CD42" s="37">
        <v>1</v>
      </c>
      <c r="CE42" s="37">
        <v>20</v>
      </c>
      <c r="CH42" s="37" t="str">
        <f t="shared" ref="CH42:CL42" si="598">VLOOKUP(CH97,$B$114:$C$126,2,FALSE)</f>
        <v>_low_4_</v>
      </c>
      <c r="CI42" s="37" t="str">
        <f t="shared" si="598"/>
        <v>_low_4_</v>
      </c>
      <c r="CJ42" s="37" t="str">
        <f t="shared" si="598"/>
        <v>_COI_1_</v>
      </c>
      <c r="CK42" s="37" t="str">
        <f t="shared" si="598"/>
        <v>_COI_1_</v>
      </c>
      <c r="CL42" s="37" t="str">
        <f t="shared" si="598"/>
        <v>_low_1_</v>
      </c>
      <c r="CO42" s="37">
        <v>20</v>
      </c>
      <c r="CP42" s="37">
        <v>1</v>
      </c>
      <c r="CQ42" s="37">
        <v>1</v>
      </c>
      <c r="CR42" s="37">
        <v>1</v>
      </c>
      <c r="CS42" s="37">
        <v>20</v>
      </c>
      <c r="CV42" s="37" t="str">
        <f t="shared" ref="CV42:CZ42" si="599">VLOOKUP(CV97,$B$114:$C$126,2,FALSE)</f>
        <v>_low_4_</v>
      </c>
      <c r="CW42" s="37" t="str">
        <f t="shared" si="599"/>
        <v>_low_4_</v>
      </c>
      <c r="CX42" s="37" t="str">
        <f t="shared" si="599"/>
        <v>_COI_1_</v>
      </c>
      <c r="CY42" s="37" t="str">
        <f t="shared" si="599"/>
        <v>_COI_1_</v>
      </c>
      <c r="CZ42" s="37" t="str">
        <f t="shared" si="599"/>
        <v>_low_1_</v>
      </c>
      <c r="DC42" s="37">
        <v>20</v>
      </c>
      <c r="DD42" s="37">
        <v>1</v>
      </c>
      <c r="DE42" s="37">
        <v>4000</v>
      </c>
      <c r="DF42" s="37">
        <v>1</v>
      </c>
      <c r="DG42" s="37">
        <v>20</v>
      </c>
      <c r="DJ42" s="37" t="str">
        <f t="shared" ref="DJ42:DN42" si="600">VLOOKUP(DJ97,$B$114:$C$126,2,FALSE)</f>
        <v>_low_4_</v>
      </c>
      <c r="DK42" s="37" t="str">
        <f t="shared" si="600"/>
        <v>_low_4_</v>
      </c>
      <c r="DL42" s="37" t="str">
        <f t="shared" si="600"/>
        <v>_COI_1_</v>
      </c>
      <c r="DM42" s="37" t="str">
        <f t="shared" si="600"/>
        <v>_COI_1_</v>
      </c>
      <c r="DN42" s="37" t="str">
        <f t="shared" si="600"/>
        <v>_low_1_</v>
      </c>
      <c r="DQ42" s="37">
        <v>20</v>
      </c>
      <c r="DR42" s="37">
        <v>1</v>
      </c>
      <c r="DS42" s="37">
        <v>1</v>
      </c>
      <c r="DT42" s="37">
        <v>1</v>
      </c>
      <c r="DU42" s="37">
        <v>20</v>
      </c>
      <c r="DX42" s="37" t="str">
        <f t="shared" ref="DX42:EB42" si="601">VLOOKUP(DX97,$B$114:$C$126,2,FALSE)</f>
        <v>_low_4_</v>
      </c>
      <c r="DY42" s="37" t="str">
        <f t="shared" si="601"/>
        <v>_low_4_</v>
      </c>
      <c r="DZ42" s="37" t="str">
        <f t="shared" si="601"/>
        <v>_COI_1_</v>
      </c>
      <c r="EA42" s="37" t="str">
        <f t="shared" si="601"/>
        <v>_COI_1_</v>
      </c>
      <c r="EB42" s="37" t="str">
        <f t="shared" si="601"/>
        <v>_low_1_</v>
      </c>
      <c r="EE42" s="37">
        <v>20</v>
      </c>
      <c r="EF42" s="37">
        <v>1</v>
      </c>
      <c r="EG42" s="37">
        <v>1</v>
      </c>
      <c r="EH42" s="37">
        <v>1</v>
      </c>
      <c r="EI42" s="37">
        <v>20</v>
      </c>
      <c r="EL42" s="37" t="str">
        <f t="shared" ref="EL42:EP42" si="602">VLOOKUP(EL97,$B$114:$C$126,2,FALSE)</f>
        <v>_low_4_</v>
      </c>
      <c r="EM42" s="37" t="str">
        <f t="shared" si="602"/>
        <v>_low_4_</v>
      </c>
      <c r="EN42" s="37" t="str">
        <f t="shared" si="602"/>
        <v>_COI_1_</v>
      </c>
      <c r="EO42" s="37" t="str">
        <f t="shared" si="602"/>
        <v>_COI_1_</v>
      </c>
      <c r="EP42" s="37" t="str">
        <f t="shared" si="602"/>
        <v>_low_1_</v>
      </c>
      <c r="ES42" s="37">
        <v>20</v>
      </c>
      <c r="ET42" s="37">
        <v>1</v>
      </c>
      <c r="EU42" s="37">
        <v>1</v>
      </c>
      <c r="EV42" s="37">
        <v>1</v>
      </c>
      <c r="EW42" s="37">
        <v>20</v>
      </c>
      <c r="EZ42" s="37" t="str">
        <f t="shared" ref="EZ42:FD42" si="603">VLOOKUP(EZ97,$B$114:$C$126,2,FALSE)</f>
        <v>_low_4_</v>
      </c>
      <c r="FA42" s="37" t="str">
        <f t="shared" si="603"/>
        <v>_low_4_</v>
      </c>
      <c r="FB42" s="37" t="str">
        <f t="shared" si="603"/>
        <v>_COI_1_</v>
      </c>
      <c r="FC42" s="37" t="str">
        <f t="shared" si="603"/>
        <v>_COI_1_</v>
      </c>
      <c r="FD42" s="37" t="str">
        <f t="shared" si="603"/>
        <v>_low_1_</v>
      </c>
      <c r="FG42" s="37">
        <v>20</v>
      </c>
      <c r="FH42" s="37">
        <v>1</v>
      </c>
      <c r="FI42" s="37">
        <v>1</v>
      </c>
      <c r="FJ42" s="37">
        <v>1</v>
      </c>
      <c r="FK42" s="37">
        <v>20</v>
      </c>
      <c r="FN42" s="37" t="str">
        <f t="shared" ref="FN42:FR42" si="604">VLOOKUP(FN97,$B$114:$C$126,2,FALSE)</f>
        <v>_low_4_</v>
      </c>
      <c r="FO42" s="37" t="str">
        <f t="shared" si="604"/>
        <v>_low_4_</v>
      </c>
      <c r="FP42" s="37" t="str">
        <f t="shared" si="604"/>
        <v>_COI_1_</v>
      </c>
      <c r="FQ42" s="37" t="str">
        <f t="shared" si="604"/>
        <v>_COI_1_</v>
      </c>
      <c r="FR42" s="37" t="str">
        <f t="shared" si="604"/>
        <v>_low_1_</v>
      </c>
      <c r="FU42" s="37">
        <v>20</v>
      </c>
      <c r="FV42" s="37">
        <v>1</v>
      </c>
      <c r="FW42" s="37">
        <v>1</v>
      </c>
      <c r="FX42" s="37">
        <v>1</v>
      </c>
      <c r="FY42" s="37">
        <v>20</v>
      </c>
      <c r="GB42" s="37" t="str">
        <f t="shared" ref="GB42:GF42" si="605">VLOOKUP(GB97,$B$114:$C$126,2,FALSE)</f>
        <v>_low_4_</v>
      </c>
      <c r="GC42" s="37" t="str">
        <f t="shared" si="605"/>
        <v>_low_4_</v>
      </c>
      <c r="GD42" s="37" t="str">
        <f t="shared" si="605"/>
        <v>_COI_1_</v>
      </c>
      <c r="GE42" s="37" t="str">
        <f t="shared" si="605"/>
        <v>_COI_1_</v>
      </c>
      <c r="GF42" s="37" t="str">
        <f t="shared" si="605"/>
        <v>_low_1_</v>
      </c>
      <c r="GI42" s="37">
        <v>20</v>
      </c>
      <c r="GJ42" s="37">
        <v>1</v>
      </c>
      <c r="GK42" s="37">
        <v>4000</v>
      </c>
      <c r="GL42" s="37">
        <v>4000</v>
      </c>
      <c r="GM42" s="37">
        <v>20</v>
      </c>
      <c r="GP42" s="37" t="str">
        <f t="shared" ref="GP42:GT42" si="606">VLOOKUP(GP97,$B$114:$C$126,2,FALSE)</f>
        <v>_low_4_</v>
      </c>
      <c r="GQ42" s="37" t="str">
        <f t="shared" si="606"/>
        <v>_low_4_</v>
      </c>
      <c r="GR42" s="37" t="str">
        <f t="shared" si="606"/>
        <v>_COI_1_</v>
      </c>
      <c r="GS42" s="37" t="str">
        <f t="shared" si="606"/>
        <v>_COI_1_</v>
      </c>
      <c r="GT42" s="37" t="str">
        <f t="shared" si="606"/>
        <v>_low_1_</v>
      </c>
      <c r="GW42" s="37">
        <v>20</v>
      </c>
      <c r="GX42" s="37">
        <v>1</v>
      </c>
      <c r="GY42" s="37">
        <v>10000</v>
      </c>
      <c r="GZ42" s="37">
        <v>1</v>
      </c>
      <c r="HA42" s="37">
        <v>20</v>
      </c>
      <c r="HD42" s="37" t="str">
        <f t="shared" ref="HD42:HH42" si="607">VLOOKUP(HD97,$B$114:$C$126,2,FALSE)</f>
        <v>_low_4_</v>
      </c>
      <c r="HE42" s="37" t="str">
        <f t="shared" si="607"/>
        <v>_low_4_</v>
      </c>
      <c r="HF42" s="37" t="str">
        <f t="shared" si="607"/>
        <v>_COI_1_</v>
      </c>
      <c r="HG42" s="37" t="str">
        <f t="shared" si="607"/>
        <v>_COI_1_</v>
      </c>
      <c r="HH42" s="37" t="str">
        <f t="shared" si="607"/>
        <v>_low_1_</v>
      </c>
      <c r="HK42" s="37">
        <v>20</v>
      </c>
      <c r="HL42" s="37">
        <v>1</v>
      </c>
      <c r="HM42" s="37">
        <v>100000000</v>
      </c>
      <c r="HN42" s="37">
        <v>1</v>
      </c>
      <c r="HO42" s="37">
        <v>20</v>
      </c>
    </row>
    <row r="43" spans="1:223" x14ac:dyDescent="0.35">
      <c r="A43" s="37">
        <v>39</v>
      </c>
      <c r="B43" s="37" t="str">
        <f t="shared" ref="B43:F43" si="608">VLOOKUP(B98,$B$114:$C$126,2,FALSE)</f>
        <v>_low_2_</v>
      </c>
      <c r="C43" s="37" t="str">
        <f t="shared" si="608"/>
        <v>_COI_1_</v>
      </c>
      <c r="D43" s="37" t="str">
        <f t="shared" si="608"/>
        <v>_COI_1_</v>
      </c>
      <c r="E43" s="37" t="str">
        <f t="shared" si="608"/>
        <v>_HIG_1_</v>
      </c>
      <c r="F43" s="37" t="str">
        <f t="shared" si="608"/>
        <v>_HIG_1_</v>
      </c>
      <c r="I43" s="60">
        <v>20</v>
      </c>
      <c r="J43" s="60">
        <v>1</v>
      </c>
      <c r="K43" s="60">
        <v>1</v>
      </c>
      <c r="L43" s="60">
        <v>1</v>
      </c>
      <c r="M43" s="60">
        <v>20</v>
      </c>
      <c r="P43" s="37" t="str">
        <f t="shared" ref="P43:T43" si="609">VLOOKUP(P98,$B$114:$C$126,2,FALSE)</f>
        <v>_low_2_</v>
      </c>
      <c r="Q43" s="37" t="str">
        <f t="shared" si="609"/>
        <v>_COI_1_</v>
      </c>
      <c r="R43" s="37" t="str">
        <f t="shared" si="609"/>
        <v>_COI_1_</v>
      </c>
      <c r="S43" s="37" t="str">
        <f t="shared" si="609"/>
        <v>_HIG_1_</v>
      </c>
      <c r="T43" s="37" t="str">
        <f t="shared" si="609"/>
        <v>_HIG_1_</v>
      </c>
      <c r="W43" s="37">
        <v>20</v>
      </c>
      <c r="X43" s="37">
        <v>1</v>
      </c>
      <c r="Y43" s="37">
        <v>1</v>
      </c>
      <c r="Z43" s="37">
        <v>1</v>
      </c>
      <c r="AA43" s="37">
        <v>20</v>
      </c>
      <c r="AD43" s="37" t="str">
        <f t="shared" ref="AD43:AH43" si="610">VLOOKUP(AD98,$B$114:$C$126,2,FALSE)</f>
        <v>_low_2_</v>
      </c>
      <c r="AE43" s="37" t="str">
        <f t="shared" si="610"/>
        <v>_COI_1_</v>
      </c>
      <c r="AF43" s="37" t="str">
        <f t="shared" si="610"/>
        <v>_COI_1_</v>
      </c>
      <c r="AG43" s="37" t="str">
        <f t="shared" si="610"/>
        <v>_HIG_1_</v>
      </c>
      <c r="AH43" s="37" t="str">
        <f t="shared" si="610"/>
        <v>_HIG_1_</v>
      </c>
      <c r="AK43" s="37">
        <v>20</v>
      </c>
      <c r="AL43" s="37">
        <v>1</v>
      </c>
      <c r="AM43" s="37">
        <v>1</v>
      </c>
      <c r="AN43" s="37">
        <v>1</v>
      </c>
      <c r="AO43" s="37">
        <v>20</v>
      </c>
      <c r="AR43" s="37" t="str">
        <f t="shared" ref="AR43:AV43" si="611">VLOOKUP(AR98,$B$114:$C$126,2,FALSE)</f>
        <v>_low_2_</v>
      </c>
      <c r="AS43" s="37" t="str">
        <f t="shared" si="611"/>
        <v>_COI_1_</v>
      </c>
      <c r="AT43" s="37" t="str">
        <f t="shared" si="611"/>
        <v>_COI_1_</v>
      </c>
      <c r="AU43" s="37" t="str">
        <f t="shared" si="611"/>
        <v>_HIG_1_</v>
      </c>
      <c r="AV43" s="37" t="str">
        <f t="shared" si="611"/>
        <v>_HIG_1_</v>
      </c>
      <c r="AY43" s="37">
        <v>20</v>
      </c>
      <c r="AZ43" s="37">
        <v>1</v>
      </c>
      <c r="BA43" s="37">
        <v>1</v>
      </c>
      <c r="BB43" s="37">
        <v>1</v>
      </c>
      <c r="BC43" s="37">
        <v>20</v>
      </c>
      <c r="BF43" s="37" t="str">
        <f t="shared" ref="BF43:BJ43" si="612">VLOOKUP(BF98,$B$114:$C$126,2,FALSE)</f>
        <v>_low_2_</v>
      </c>
      <c r="BG43" s="37" t="str">
        <f t="shared" si="612"/>
        <v>_COI_1_</v>
      </c>
      <c r="BH43" s="37" t="str">
        <f t="shared" si="612"/>
        <v>_COI_1_</v>
      </c>
      <c r="BI43" s="37" t="str">
        <f t="shared" si="612"/>
        <v>_HIG_1_</v>
      </c>
      <c r="BJ43" s="37" t="str">
        <f t="shared" si="612"/>
        <v>_HIG_1_</v>
      </c>
      <c r="BM43" s="37">
        <v>20</v>
      </c>
      <c r="BN43" s="37">
        <v>1</v>
      </c>
      <c r="BO43" s="37">
        <v>1</v>
      </c>
      <c r="BP43" s="37">
        <v>1</v>
      </c>
      <c r="BQ43" s="37">
        <v>20</v>
      </c>
      <c r="BT43" s="37" t="str">
        <f t="shared" ref="BT43:BX43" si="613">VLOOKUP(BT98,$B$114:$C$126,2,FALSE)</f>
        <v>_low_2_</v>
      </c>
      <c r="BU43" s="37" t="str">
        <f t="shared" si="613"/>
        <v>_COI_1_</v>
      </c>
      <c r="BV43" s="37" t="str">
        <f t="shared" si="613"/>
        <v>_COI_1_</v>
      </c>
      <c r="BW43" s="37" t="str">
        <f t="shared" si="613"/>
        <v>_HIG_1_</v>
      </c>
      <c r="BX43" s="37" t="str">
        <f t="shared" si="613"/>
        <v>_HIG_1_</v>
      </c>
      <c r="CA43" s="37">
        <v>20</v>
      </c>
      <c r="CB43" s="37">
        <v>1</v>
      </c>
      <c r="CC43" s="37">
        <v>1</v>
      </c>
      <c r="CD43" s="37">
        <v>1</v>
      </c>
      <c r="CE43" s="37">
        <v>20</v>
      </c>
      <c r="CH43" s="37" t="str">
        <f t="shared" ref="CH43:CL43" si="614">VLOOKUP(CH98,$B$114:$C$126,2,FALSE)</f>
        <v>_low_2_</v>
      </c>
      <c r="CI43" s="37" t="str">
        <f t="shared" si="614"/>
        <v>_COI_1_</v>
      </c>
      <c r="CJ43" s="37" t="str">
        <f t="shared" si="614"/>
        <v>_COI_1_</v>
      </c>
      <c r="CK43" s="37" t="str">
        <f t="shared" si="614"/>
        <v>_HIG_1_</v>
      </c>
      <c r="CL43" s="37" t="str">
        <f t="shared" si="614"/>
        <v>_HIG_1_</v>
      </c>
      <c r="CO43" s="37">
        <v>20</v>
      </c>
      <c r="CP43" s="37">
        <v>1</v>
      </c>
      <c r="CQ43" s="37">
        <v>1</v>
      </c>
      <c r="CR43" s="37">
        <v>1</v>
      </c>
      <c r="CS43" s="37">
        <v>20</v>
      </c>
      <c r="CV43" s="37" t="str">
        <f t="shared" ref="CV43:CZ43" si="615">VLOOKUP(CV98,$B$114:$C$126,2,FALSE)</f>
        <v>_low_2_</v>
      </c>
      <c r="CW43" s="37" t="str">
        <f t="shared" si="615"/>
        <v>_COI_1_</v>
      </c>
      <c r="CX43" s="37" t="str">
        <f t="shared" si="615"/>
        <v>_COI_1_</v>
      </c>
      <c r="CY43" s="37" t="str">
        <f t="shared" si="615"/>
        <v>_HIG_1_</v>
      </c>
      <c r="CZ43" s="37" t="str">
        <f t="shared" si="615"/>
        <v>_HIG_1_</v>
      </c>
      <c r="DC43" s="37">
        <v>20</v>
      </c>
      <c r="DD43" s="37">
        <v>1</v>
      </c>
      <c r="DE43" s="37">
        <v>1</v>
      </c>
      <c r="DF43" s="37">
        <v>1</v>
      </c>
      <c r="DG43" s="37">
        <v>20</v>
      </c>
      <c r="DJ43" s="37" t="str">
        <f t="shared" ref="DJ43:DN43" si="616">VLOOKUP(DJ98,$B$114:$C$126,2,FALSE)</f>
        <v>_low_2_</v>
      </c>
      <c r="DK43" s="37" t="str">
        <f t="shared" si="616"/>
        <v>_COI_1_</v>
      </c>
      <c r="DL43" s="37" t="str">
        <f t="shared" si="616"/>
        <v>_COI_1_</v>
      </c>
      <c r="DM43" s="37" t="str">
        <f t="shared" si="616"/>
        <v>_HIG_1_</v>
      </c>
      <c r="DN43" s="37" t="str">
        <f t="shared" si="616"/>
        <v>_HIG_1_</v>
      </c>
      <c r="DQ43" s="37">
        <v>20</v>
      </c>
      <c r="DR43" s="37">
        <v>1</v>
      </c>
      <c r="DS43" s="37">
        <v>1</v>
      </c>
      <c r="DT43" s="37">
        <v>1</v>
      </c>
      <c r="DU43" s="37">
        <v>20</v>
      </c>
      <c r="DX43" s="37" t="str">
        <f t="shared" ref="DX43:EB43" si="617">VLOOKUP(DX98,$B$114:$C$126,2,FALSE)</f>
        <v>_low_2_</v>
      </c>
      <c r="DY43" s="37" t="str">
        <f t="shared" si="617"/>
        <v>_COI_1_</v>
      </c>
      <c r="DZ43" s="37" t="str">
        <f t="shared" si="617"/>
        <v>_COI_1_</v>
      </c>
      <c r="EA43" s="37" t="str">
        <f t="shared" si="617"/>
        <v>_HIG_1_</v>
      </c>
      <c r="EB43" s="37" t="str">
        <f t="shared" si="617"/>
        <v>_HIG_1_</v>
      </c>
      <c r="EE43" s="37">
        <v>20</v>
      </c>
      <c r="EF43" s="37">
        <v>1</v>
      </c>
      <c r="EG43" s="37">
        <v>1</v>
      </c>
      <c r="EH43" s="37">
        <v>1</v>
      </c>
      <c r="EI43" s="37">
        <v>20</v>
      </c>
      <c r="EL43" s="37" t="str">
        <f t="shared" ref="EL43:EP43" si="618">VLOOKUP(EL98,$B$114:$C$126,2,FALSE)</f>
        <v>_low_2_</v>
      </c>
      <c r="EM43" s="37" t="str">
        <f t="shared" si="618"/>
        <v>_COI_1_</v>
      </c>
      <c r="EN43" s="37" t="str">
        <f t="shared" si="618"/>
        <v>_COI_1_</v>
      </c>
      <c r="EO43" s="37" t="str">
        <f t="shared" si="618"/>
        <v>_HIG_1_</v>
      </c>
      <c r="EP43" s="37" t="str">
        <f t="shared" si="618"/>
        <v>_HIG_1_</v>
      </c>
      <c r="ES43" s="37">
        <v>20</v>
      </c>
      <c r="ET43" s="37">
        <v>1</v>
      </c>
      <c r="EU43" s="37">
        <v>1</v>
      </c>
      <c r="EV43" s="37">
        <v>1</v>
      </c>
      <c r="EW43" s="37">
        <v>20</v>
      </c>
      <c r="EZ43" s="37" t="str">
        <f t="shared" ref="EZ43:FD43" si="619">VLOOKUP(EZ98,$B$114:$C$126,2,FALSE)</f>
        <v>_low_2_</v>
      </c>
      <c r="FA43" s="37" t="str">
        <f t="shared" si="619"/>
        <v>_COI_1_</v>
      </c>
      <c r="FB43" s="37" t="str">
        <f t="shared" si="619"/>
        <v>_COI_1_</v>
      </c>
      <c r="FC43" s="37" t="str">
        <f t="shared" si="619"/>
        <v>_HIG_1_</v>
      </c>
      <c r="FD43" s="37" t="str">
        <f t="shared" si="619"/>
        <v>_HIG_1_</v>
      </c>
      <c r="FG43" s="37">
        <v>20</v>
      </c>
      <c r="FH43" s="37">
        <v>1</v>
      </c>
      <c r="FI43" s="37">
        <v>1</v>
      </c>
      <c r="FJ43" s="37">
        <v>1</v>
      </c>
      <c r="FK43" s="37">
        <v>20</v>
      </c>
      <c r="FN43" s="37" t="str">
        <f t="shared" ref="FN43:FR43" si="620">VLOOKUP(FN98,$B$114:$C$126,2,FALSE)</f>
        <v>_low_2_</v>
      </c>
      <c r="FO43" s="37" t="str">
        <f t="shared" si="620"/>
        <v>_COI_1_</v>
      </c>
      <c r="FP43" s="37" t="str">
        <f t="shared" si="620"/>
        <v>_COI_1_</v>
      </c>
      <c r="FQ43" s="37" t="str">
        <f t="shared" si="620"/>
        <v>_HIG_1_</v>
      </c>
      <c r="FR43" s="37" t="str">
        <f t="shared" si="620"/>
        <v>_HIG_1_</v>
      </c>
      <c r="FU43" s="37">
        <v>20</v>
      </c>
      <c r="FV43" s="37">
        <v>1</v>
      </c>
      <c r="FW43" s="37">
        <v>1</v>
      </c>
      <c r="FX43" s="37">
        <v>1</v>
      </c>
      <c r="FY43" s="37">
        <v>20</v>
      </c>
      <c r="GB43" s="37" t="str">
        <f t="shared" ref="GB43:GF43" si="621">VLOOKUP(GB98,$B$114:$C$126,2,FALSE)</f>
        <v>_low_2_</v>
      </c>
      <c r="GC43" s="37" t="str">
        <f t="shared" si="621"/>
        <v>_COI_1_</v>
      </c>
      <c r="GD43" s="37" t="str">
        <f t="shared" si="621"/>
        <v>_COI_1_</v>
      </c>
      <c r="GE43" s="37" t="str">
        <f t="shared" si="621"/>
        <v>_HIG_1_</v>
      </c>
      <c r="GF43" s="37" t="str">
        <f t="shared" si="621"/>
        <v>_HIG_1_</v>
      </c>
      <c r="GI43" s="37">
        <v>20</v>
      </c>
      <c r="GJ43" s="37">
        <v>1</v>
      </c>
      <c r="GK43" s="37">
        <v>1</v>
      </c>
      <c r="GL43" s="37">
        <v>1</v>
      </c>
      <c r="GM43" s="37">
        <v>20</v>
      </c>
      <c r="GP43" s="37" t="str">
        <f t="shared" ref="GP43:GT43" si="622">VLOOKUP(GP98,$B$114:$C$126,2,FALSE)</f>
        <v>_low_2_</v>
      </c>
      <c r="GQ43" s="37" t="str">
        <f t="shared" si="622"/>
        <v>_COI_1_</v>
      </c>
      <c r="GR43" s="37" t="str">
        <f t="shared" si="622"/>
        <v>_COI_1_</v>
      </c>
      <c r="GS43" s="37" t="str">
        <f t="shared" si="622"/>
        <v>_HIG_1_</v>
      </c>
      <c r="GT43" s="37" t="str">
        <f t="shared" si="622"/>
        <v>_HIG_1_</v>
      </c>
      <c r="GW43" s="37">
        <v>20</v>
      </c>
      <c r="GX43" s="37">
        <v>1</v>
      </c>
      <c r="GY43" s="37">
        <v>1</v>
      </c>
      <c r="GZ43" s="37">
        <v>1</v>
      </c>
      <c r="HA43" s="37">
        <v>20</v>
      </c>
      <c r="HD43" s="37" t="str">
        <f t="shared" ref="HD43:HH43" si="623">VLOOKUP(HD98,$B$114:$C$126,2,FALSE)</f>
        <v>_low_2_</v>
      </c>
      <c r="HE43" s="37" t="str">
        <f t="shared" si="623"/>
        <v>_COI_1_</v>
      </c>
      <c r="HF43" s="37" t="str">
        <f t="shared" si="623"/>
        <v>_COI_1_</v>
      </c>
      <c r="HG43" s="37" t="str">
        <f t="shared" si="623"/>
        <v>_HIG_1_</v>
      </c>
      <c r="HH43" s="37" t="str">
        <f t="shared" si="623"/>
        <v>_HIG_1_</v>
      </c>
      <c r="HK43" s="37">
        <v>20</v>
      </c>
      <c r="HL43" s="37">
        <v>1</v>
      </c>
      <c r="HM43" s="37">
        <v>1</v>
      </c>
      <c r="HN43" s="37">
        <v>1</v>
      </c>
      <c r="HO43" s="37">
        <v>20</v>
      </c>
    </row>
    <row r="44" spans="1:223" x14ac:dyDescent="0.35">
      <c r="A44" s="37">
        <v>40</v>
      </c>
      <c r="B44" s="37" t="str">
        <f t="shared" ref="B44:F44" si="624">VLOOKUP(B99,$B$114:$C$126,2,FALSE)</f>
        <v>_low_5_</v>
      </c>
      <c r="C44" s="37" t="str">
        <f t="shared" si="624"/>
        <v>_COI_1_</v>
      </c>
      <c r="D44" s="37" t="str">
        <f t="shared" si="624"/>
        <v>_low_1_</v>
      </c>
      <c r="E44" s="37" t="str">
        <f t="shared" si="624"/>
        <v>_low_3_</v>
      </c>
      <c r="F44" s="37" t="str">
        <f t="shared" si="624"/>
        <v>_low_3_</v>
      </c>
      <c r="I44" s="60">
        <v>20</v>
      </c>
      <c r="J44" s="60">
        <v>1</v>
      </c>
      <c r="K44" s="60">
        <v>12</v>
      </c>
      <c r="L44" s="60">
        <v>20</v>
      </c>
      <c r="M44" s="60">
        <v>1</v>
      </c>
      <c r="P44" s="37" t="str">
        <f t="shared" ref="P44:T44" si="625">VLOOKUP(P99,$B$114:$C$126,2,FALSE)</f>
        <v>_low_5_</v>
      </c>
      <c r="Q44" s="37" t="str">
        <f t="shared" si="625"/>
        <v>_COI_1_</v>
      </c>
      <c r="R44" s="37" t="str">
        <f t="shared" si="625"/>
        <v>_low_1_</v>
      </c>
      <c r="S44" s="37" t="str">
        <f t="shared" si="625"/>
        <v>_low_3_</v>
      </c>
      <c r="T44" s="37" t="str">
        <f t="shared" si="625"/>
        <v>_low_3_</v>
      </c>
      <c r="W44" s="37">
        <v>20</v>
      </c>
      <c r="X44" s="37">
        <v>1</v>
      </c>
      <c r="Y44" s="37">
        <v>12</v>
      </c>
      <c r="Z44" s="37">
        <v>20</v>
      </c>
      <c r="AA44" s="37">
        <v>1</v>
      </c>
      <c r="AD44" s="37" t="str">
        <f t="shared" ref="AD44:AH44" si="626">VLOOKUP(AD99,$B$114:$C$126,2,FALSE)</f>
        <v>_low_5_</v>
      </c>
      <c r="AE44" s="37" t="str">
        <f t="shared" si="626"/>
        <v>_COI_1_</v>
      </c>
      <c r="AF44" s="37" t="str">
        <f t="shared" si="626"/>
        <v>_low_1_</v>
      </c>
      <c r="AG44" s="37" t="str">
        <f t="shared" si="626"/>
        <v>_low_3_</v>
      </c>
      <c r="AH44" s="37" t="str">
        <f t="shared" si="626"/>
        <v>_low_3_</v>
      </c>
      <c r="AK44" s="37">
        <v>20</v>
      </c>
      <c r="AL44" s="37">
        <v>1</v>
      </c>
      <c r="AM44" s="37">
        <v>12</v>
      </c>
      <c r="AN44" s="37">
        <v>20</v>
      </c>
      <c r="AO44" s="37">
        <v>1</v>
      </c>
      <c r="AR44" s="37" t="str">
        <f t="shared" ref="AR44:AV44" si="627">VLOOKUP(AR99,$B$114:$C$126,2,FALSE)</f>
        <v>_low_5_</v>
      </c>
      <c r="AS44" s="37" t="str">
        <f t="shared" si="627"/>
        <v>_COI_1_</v>
      </c>
      <c r="AT44" s="37" t="str">
        <f t="shared" si="627"/>
        <v>_low_1_</v>
      </c>
      <c r="AU44" s="37" t="str">
        <f t="shared" si="627"/>
        <v>_low_3_</v>
      </c>
      <c r="AV44" s="37" t="str">
        <f t="shared" si="627"/>
        <v>_low_3_</v>
      </c>
      <c r="AY44" s="37">
        <v>20</v>
      </c>
      <c r="AZ44" s="37">
        <v>1</v>
      </c>
      <c r="BA44" s="37">
        <v>12</v>
      </c>
      <c r="BB44" s="37">
        <v>20</v>
      </c>
      <c r="BC44" s="37">
        <v>1</v>
      </c>
      <c r="BF44" s="37" t="str">
        <f t="shared" ref="BF44:BJ44" si="628">VLOOKUP(BF99,$B$114:$C$126,2,FALSE)</f>
        <v>_low_5_</v>
      </c>
      <c r="BG44" s="37" t="str">
        <f t="shared" si="628"/>
        <v>_COI_1_</v>
      </c>
      <c r="BH44" s="37" t="str">
        <f t="shared" si="628"/>
        <v>_low_1_</v>
      </c>
      <c r="BI44" s="37" t="str">
        <f t="shared" si="628"/>
        <v>_low_3_</v>
      </c>
      <c r="BJ44" s="37" t="str">
        <f t="shared" si="628"/>
        <v>_low_3_</v>
      </c>
      <c r="BM44" s="37">
        <v>20</v>
      </c>
      <c r="BN44" s="37">
        <v>1</v>
      </c>
      <c r="BO44" s="37">
        <v>12</v>
      </c>
      <c r="BP44" s="37">
        <v>20</v>
      </c>
      <c r="BQ44" s="37">
        <v>1</v>
      </c>
      <c r="BT44" s="37" t="str">
        <f t="shared" ref="BT44:BX44" si="629">VLOOKUP(BT99,$B$114:$C$126,2,FALSE)</f>
        <v>_low_5_</v>
      </c>
      <c r="BU44" s="37" t="str">
        <f t="shared" si="629"/>
        <v>_COI_1_</v>
      </c>
      <c r="BV44" s="37" t="str">
        <f t="shared" si="629"/>
        <v>_low_1_</v>
      </c>
      <c r="BW44" s="37" t="str">
        <f t="shared" si="629"/>
        <v>_low_3_</v>
      </c>
      <c r="BX44" s="37" t="str">
        <f t="shared" si="629"/>
        <v>_low_3_</v>
      </c>
      <c r="CA44" s="37">
        <v>20</v>
      </c>
      <c r="CB44" s="37">
        <v>1</v>
      </c>
      <c r="CC44" s="37">
        <v>12</v>
      </c>
      <c r="CD44" s="37">
        <v>20</v>
      </c>
      <c r="CE44" s="37">
        <v>1</v>
      </c>
      <c r="CH44" s="37" t="str">
        <f t="shared" ref="CH44:CL44" si="630">VLOOKUP(CH99,$B$114:$C$126,2,FALSE)</f>
        <v>_low_5_</v>
      </c>
      <c r="CI44" s="37" t="str">
        <f t="shared" si="630"/>
        <v>_COI_1_</v>
      </c>
      <c r="CJ44" s="37" t="str">
        <f t="shared" si="630"/>
        <v>_low_1_</v>
      </c>
      <c r="CK44" s="37" t="str">
        <f t="shared" si="630"/>
        <v>_low_3_</v>
      </c>
      <c r="CL44" s="37" t="str">
        <f t="shared" si="630"/>
        <v>_low_3_</v>
      </c>
      <c r="CO44" s="37">
        <v>20</v>
      </c>
      <c r="CP44" s="37">
        <v>1</v>
      </c>
      <c r="CQ44" s="37">
        <v>12</v>
      </c>
      <c r="CR44" s="37">
        <v>20</v>
      </c>
      <c r="CS44" s="37">
        <v>1</v>
      </c>
      <c r="CV44" s="37" t="str">
        <f t="shared" ref="CV44:CZ44" si="631">VLOOKUP(CV99,$B$114:$C$126,2,FALSE)</f>
        <v>_low_5_</v>
      </c>
      <c r="CW44" s="37" t="str">
        <f t="shared" si="631"/>
        <v>_COI_1_</v>
      </c>
      <c r="CX44" s="37" t="str">
        <f t="shared" si="631"/>
        <v>_low_1_</v>
      </c>
      <c r="CY44" s="37" t="str">
        <f t="shared" si="631"/>
        <v>_low_3_</v>
      </c>
      <c r="CZ44" s="37" t="str">
        <f t="shared" si="631"/>
        <v>_low_3_</v>
      </c>
      <c r="DC44" s="37">
        <v>20</v>
      </c>
      <c r="DD44" s="37">
        <v>1</v>
      </c>
      <c r="DE44" s="37">
        <v>12</v>
      </c>
      <c r="DF44" s="37">
        <v>20</v>
      </c>
      <c r="DG44" s="37">
        <v>1</v>
      </c>
      <c r="DJ44" s="37" t="str">
        <f t="shared" ref="DJ44:DN44" si="632">VLOOKUP(DJ99,$B$114:$C$126,2,FALSE)</f>
        <v>_low_5_</v>
      </c>
      <c r="DK44" s="37" t="str">
        <f t="shared" si="632"/>
        <v>_COI_1_</v>
      </c>
      <c r="DL44" s="37" t="str">
        <f t="shared" si="632"/>
        <v>_low_1_</v>
      </c>
      <c r="DM44" s="37" t="str">
        <f t="shared" si="632"/>
        <v>_low_3_</v>
      </c>
      <c r="DN44" s="37" t="str">
        <f t="shared" si="632"/>
        <v>_low_3_</v>
      </c>
      <c r="DQ44" s="37">
        <v>20</v>
      </c>
      <c r="DR44" s="37">
        <v>1</v>
      </c>
      <c r="DS44" s="37">
        <v>12</v>
      </c>
      <c r="DT44" s="37">
        <v>20</v>
      </c>
      <c r="DU44" s="37">
        <v>1</v>
      </c>
      <c r="DX44" s="37" t="str">
        <f t="shared" ref="DX44:EB44" si="633">VLOOKUP(DX99,$B$114:$C$126,2,FALSE)</f>
        <v>_low_5_</v>
      </c>
      <c r="DY44" s="37" t="str">
        <f t="shared" si="633"/>
        <v>_COI_1_</v>
      </c>
      <c r="DZ44" s="37" t="str">
        <f t="shared" si="633"/>
        <v>_low_1_</v>
      </c>
      <c r="EA44" s="37" t="str">
        <f t="shared" si="633"/>
        <v>_low_3_</v>
      </c>
      <c r="EB44" s="37" t="str">
        <f t="shared" si="633"/>
        <v>_low_3_</v>
      </c>
      <c r="EE44" s="37">
        <v>20</v>
      </c>
      <c r="EF44" s="37">
        <v>1</v>
      </c>
      <c r="EG44" s="37">
        <v>12</v>
      </c>
      <c r="EH44" s="37">
        <v>20</v>
      </c>
      <c r="EI44" s="37">
        <v>1</v>
      </c>
      <c r="EL44" s="37" t="str">
        <f t="shared" ref="EL44:EP44" si="634">VLOOKUP(EL99,$B$114:$C$126,2,FALSE)</f>
        <v>_low_5_</v>
      </c>
      <c r="EM44" s="37" t="str">
        <f t="shared" si="634"/>
        <v>_COI_1_</v>
      </c>
      <c r="EN44" s="37" t="str">
        <f t="shared" si="634"/>
        <v>_low_1_</v>
      </c>
      <c r="EO44" s="37" t="str">
        <f t="shared" si="634"/>
        <v>_low_3_</v>
      </c>
      <c r="EP44" s="37" t="str">
        <f t="shared" si="634"/>
        <v>_low_3_</v>
      </c>
      <c r="ES44" s="37">
        <v>20</v>
      </c>
      <c r="ET44" s="37">
        <v>1</v>
      </c>
      <c r="EU44" s="37">
        <v>12</v>
      </c>
      <c r="EV44" s="37">
        <v>20</v>
      </c>
      <c r="EW44" s="37">
        <v>1</v>
      </c>
      <c r="EZ44" s="37" t="str">
        <f t="shared" ref="EZ44:FD44" si="635">VLOOKUP(EZ99,$B$114:$C$126,2,FALSE)</f>
        <v>_low_5_</v>
      </c>
      <c r="FA44" s="37" t="str">
        <f t="shared" si="635"/>
        <v>_COI_1_</v>
      </c>
      <c r="FB44" s="37" t="str">
        <f t="shared" si="635"/>
        <v>_low_1_</v>
      </c>
      <c r="FC44" s="37" t="str">
        <f t="shared" si="635"/>
        <v>_low_3_</v>
      </c>
      <c r="FD44" s="37" t="str">
        <f t="shared" si="635"/>
        <v>_low_3_</v>
      </c>
      <c r="FG44" s="37">
        <v>20</v>
      </c>
      <c r="FH44" s="37">
        <v>1</v>
      </c>
      <c r="FI44" s="37">
        <v>12</v>
      </c>
      <c r="FJ44" s="37">
        <v>20</v>
      </c>
      <c r="FK44" s="37">
        <v>1</v>
      </c>
      <c r="FN44" s="37" t="str">
        <f t="shared" ref="FN44:FR44" si="636">VLOOKUP(FN99,$B$114:$C$126,2,FALSE)</f>
        <v>_low_5_</v>
      </c>
      <c r="FO44" s="37" t="str">
        <f t="shared" si="636"/>
        <v>_COI_1_</v>
      </c>
      <c r="FP44" s="37" t="str">
        <f t="shared" si="636"/>
        <v>_low_1_</v>
      </c>
      <c r="FQ44" s="37" t="str">
        <f t="shared" si="636"/>
        <v>_low_3_</v>
      </c>
      <c r="FR44" s="37" t="str">
        <f t="shared" si="636"/>
        <v>_low_3_</v>
      </c>
      <c r="FU44" s="37">
        <v>20</v>
      </c>
      <c r="FV44" s="37">
        <v>1</v>
      </c>
      <c r="FW44" s="37">
        <v>12</v>
      </c>
      <c r="FX44" s="37">
        <v>20</v>
      </c>
      <c r="FY44" s="37">
        <v>1</v>
      </c>
      <c r="GB44" s="37" t="str">
        <f t="shared" ref="GB44:GF44" si="637">VLOOKUP(GB99,$B$114:$C$126,2,FALSE)</f>
        <v>_low_5_</v>
      </c>
      <c r="GC44" s="37" t="str">
        <f t="shared" si="637"/>
        <v>_COI_1_</v>
      </c>
      <c r="GD44" s="37" t="str">
        <f t="shared" si="637"/>
        <v>_low_1_</v>
      </c>
      <c r="GE44" s="37" t="str">
        <f t="shared" si="637"/>
        <v>_low_3_</v>
      </c>
      <c r="GF44" s="37" t="str">
        <f t="shared" si="637"/>
        <v>_low_3_</v>
      </c>
      <c r="GI44" s="37">
        <v>20</v>
      </c>
      <c r="GJ44" s="37">
        <v>1</v>
      </c>
      <c r="GK44" s="37">
        <v>12</v>
      </c>
      <c r="GL44" s="37">
        <v>20</v>
      </c>
      <c r="GM44" s="37">
        <v>1</v>
      </c>
      <c r="GP44" s="37" t="str">
        <f t="shared" ref="GP44:GT44" si="638">VLOOKUP(GP99,$B$114:$C$126,2,FALSE)</f>
        <v>_low_5_</v>
      </c>
      <c r="GQ44" s="37" t="str">
        <f t="shared" si="638"/>
        <v>_COI_1_</v>
      </c>
      <c r="GR44" s="37" t="str">
        <f t="shared" si="638"/>
        <v>_low_1_</v>
      </c>
      <c r="GS44" s="37" t="str">
        <f t="shared" si="638"/>
        <v>_low_3_</v>
      </c>
      <c r="GT44" s="37" t="str">
        <f t="shared" si="638"/>
        <v>_low_3_</v>
      </c>
      <c r="GW44" s="37">
        <v>20</v>
      </c>
      <c r="GX44" s="37">
        <v>10000</v>
      </c>
      <c r="GY44" s="37">
        <v>12</v>
      </c>
      <c r="GZ44" s="37">
        <v>20</v>
      </c>
      <c r="HA44" s="37">
        <v>1</v>
      </c>
      <c r="HD44" s="37" t="str">
        <f t="shared" ref="HD44:HH44" si="639">VLOOKUP(HD99,$B$114:$C$126,2,FALSE)</f>
        <v>_low_5_</v>
      </c>
      <c r="HE44" s="37" t="str">
        <f t="shared" si="639"/>
        <v>_COI_1_</v>
      </c>
      <c r="HF44" s="37" t="str">
        <f t="shared" si="639"/>
        <v>_low_1_</v>
      </c>
      <c r="HG44" s="37" t="str">
        <f t="shared" si="639"/>
        <v>_low_3_</v>
      </c>
      <c r="HH44" s="37" t="str">
        <f t="shared" si="639"/>
        <v>_low_3_</v>
      </c>
      <c r="HK44" s="37">
        <v>20</v>
      </c>
      <c r="HL44" s="37">
        <v>100000000</v>
      </c>
      <c r="HM44" s="37">
        <v>12</v>
      </c>
      <c r="HN44" s="37">
        <v>20</v>
      </c>
      <c r="HO44" s="37">
        <v>1</v>
      </c>
    </row>
    <row r="45" spans="1:223" x14ac:dyDescent="0.35">
      <c r="A45" s="37">
        <v>41</v>
      </c>
      <c r="B45" s="37" t="str">
        <f t="shared" ref="B45:F45" si="640">VLOOKUP(B100,$B$114:$C$126,2,FALSE)</f>
        <v>_HIG_4_</v>
      </c>
      <c r="C45" s="37" t="str">
        <f t="shared" si="640"/>
        <v>_COI_1_</v>
      </c>
      <c r="D45" s="37" t="str">
        <f t="shared" si="640"/>
        <v>_SCA_1_</v>
      </c>
      <c r="E45" s="37" t="str">
        <f t="shared" si="640"/>
        <v>_HIG_4_</v>
      </c>
      <c r="F45" s="37" t="str">
        <f t="shared" si="640"/>
        <v>_COI_1_</v>
      </c>
      <c r="I45" s="60">
        <v>20</v>
      </c>
      <c r="J45" s="60">
        <v>1</v>
      </c>
      <c r="K45" s="60">
        <v>12</v>
      </c>
      <c r="L45" s="60">
        <v>20</v>
      </c>
      <c r="M45" s="60">
        <v>1</v>
      </c>
      <c r="P45" s="37" t="str">
        <f t="shared" ref="P45:T45" si="641">VLOOKUP(P100,$B$114:$C$126,2,FALSE)</f>
        <v>_HIG_4_</v>
      </c>
      <c r="Q45" s="37" t="str">
        <f t="shared" si="641"/>
        <v>_COI_1_</v>
      </c>
      <c r="R45" s="37" t="str">
        <f t="shared" si="641"/>
        <v>_SCA_1_</v>
      </c>
      <c r="S45" s="37" t="str">
        <f t="shared" si="641"/>
        <v>_HIG_4_</v>
      </c>
      <c r="T45" s="37" t="str">
        <f t="shared" si="641"/>
        <v>_COI_1_</v>
      </c>
      <c r="W45" s="37">
        <v>20</v>
      </c>
      <c r="X45" s="37">
        <v>1</v>
      </c>
      <c r="Y45" s="37">
        <v>12</v>
      </c>
      <c r="Z45" s="37">
        <v>20</v>
      </c>
      <c r="AA45" s="37">
        <v>1</v>
      </c>
      <c r="AD45" s="37" t="str">
        <f t="shared" ref="AD45:AH45" si="642">VLOOKUP(AD100,$B$114:$C$126,2,FALSE)</f>
        <v>_HIG_4_</v>
      </c>
      <c r="AE45" s="37" t="str">
        <f t="shared" si="642"/>
        <v>_COI_1_</v>
      </c>
      <c r="AF45" s="37" t="str">
        <f t="shared" si="642"/>
        <v>_SCA_1_</v>
      </c>
      <c r="AG45" s="37" t="str">
        <f t="shared" si="642"/>
        <v>_HIG_4_</v>
      </c>
      <c r="AH45" s="37" t="str">
        <f t="shared" si="642"/>
        <v>_COI_1_</v>
      </c>
      <c r="AK45" s="37">
        <v>20</v>
      </c>
      <c r="AL45" s="37">
        <v>1</v>
      </c>
      <c r="AM45" s="37">
        <v>12</v>
      </c>
      <c r="AN45" s="37">
        <v>20</v>
      </c>
      <c r="AO45" s="37">
        <v>1</v>
      </c>
      <c r="AR45" s="37" t="str">
        <f t="shared" ref="AR45:AV45" si="643">VLOOKUP(AR100,$B$114:$C$126,2,FALSE)</f>
        <v>_HIG_4_</v>
      </c>
      <c r="AS45" s="37" t="str">
        <f t="shared" si="643"/>
        <v>_COI_1_</v>
      </c>
      <c r="AT45" s="37" t="str">
        <f t="shared" si="643"/>
        <v>_SCA_1_</v>
      </c>
      <c r="AU45" s="37" t="str">
        <f t="shared" si="643"/>
        <v>_HIG_4_</v>
      </c>
      <c r="AV45" s="37" t="str">
        <f t="shared" si="643"/>
        <v>_COI_1_</v>
      </c>
      <c r="AY45" s="37">
        <v>20</v>
      </c>
      <c r="AZ45" s="37">
        <v>1</v>
      </c>
      <c r="BA45" s="37">
        <v>12</v>
      </c>
      <c r="BB45" s="37">
        <v>20</v>
      </c>
      <c r="BC45" s="37">
        <v>1</v>
      </c>
      <c r="BF45" s="37" t="str">
        <f t="shared" ref="BF45:BJ45" si="644">VLOOKUP(BF100,$B$114:$C$126,2,FALSE)</f>
        <v>_HIG_4_</v>
      </c>
      <c r="BG45" s="37" t="str">
        <f t="shared" si="644"/>
        <v>_COI_1_</v>
      </c>
      <c r="BH45" s="37" t="str">
        <f t="shared" si="644"/>
        <v>_SCA_1_</v>
      </c>
      <c r="BI45" s="37" t="str">
        <f t="shared" si="644"/>
        <v>_HIG_4_</v>
      </c>
      <c r="BJ45" s="37" t="str">
        <f t="shared" si="644"/>
        <v>_COI_1_</v>
      </c>
      <c r="BM45" s="37">
        <v>20</v>
      </c>
      <c r="BN45" s="37">
        <v>1</v>
      </c>
      <c r="BO45" s="37">
        <v>12</v>
      </c>
      <c r="BP45" s="37">
        <v>20</v>
      </c>
      <c r="BQ45" s="37">
        <v>1</v>
      </c>
      <c r="BT45" s="37" t="str">
        <f t="shared" ref="BT45:BX45" si="645">VLOOKUP(BT100,$B$114:$C$126,2,FALSE)</f>
        <v>_HIG_4_</v>
      </c>
      <c r="BU45" s="37" t="str">
        <f t="shared" si="645"/>
        <v>_COI_1_</v>
      </c>
      <c r="BV45" s="37" t="str">
        <f t="shared" si="645"/>
        <v>_SCA_1_</v>
      </c>
      <c r="BW45" s="37" t="str">
        <f t="shared" si="645"/>
        <v>_HIG_4_</v>
      </c>
      <c r="BX45" s="37" t="str">
        <f t="shared" si="645"/>
        <v>_COI_1_</v>
      </c>
      <c r="CA45" s="37">
        <v>20</v>
      </c>
      <c r="CB45" s="37">
        <v>1</v>
      </c>
      <c r="CC45" s="37">
        <v>12</v>
      </c>
      <c r="CD45" s="37">
        <v>20</v>
      </c>
      <c r="CE45" s="37">
        <v>1</v>
      </c>
      <c r="CH45" s="37" t="str">
        <f t="shared" ref="CH45:CL45" si="646">VLOOKUP(CH100,$B$114:$C$126,2,FALSE)</f>
        <v>_HIG_4_</v>
      </c>
      <c r="CI45" s="37" t="str">
        <f t="shared" si="646"/>
        <v>_COI_1_</v>
      </c>
      <c r="CJ45" s="37" t="str">
        <f t="shared" si="646"/>
        <v>_SCA_1_</v>
      </c>
      <c r="CK45" s="37" t="str">
        <f t="shared" si="646"/>
        <v>_HIG_4_</v>
      </c>
      <c r="CL45" s="37" t="str">
        <f t="shared" si="646"/>
        <v>_COI_1_</v>
      </c>
      <c r="CO45" s="37">
        <v>20</v>
      </c>
      <c r="CP45" s="37">
        <v>1</v>
      </c>
      <c r="CQ45" s="37">
        <v>12</v>
      </c>
      <c r="CR45" s="37">
        <v>20</v>
      </c>
      <c r="CS45" s="37">
        <v>1</v>
      </c>
      <c r="CV45" s="37" t="str">
        <f t="shared" ref="CV45:CZ45" si="647">VLOOKUP(CV100,$B$114:$C$126,2,FALSE)</f>
        <v>_HIG_4_</v>
      </c>
      <c r="CW45" s="37" t="str">
        <f t="shared" si="647"/>
        <v>_COI_1_</v>
      </c>
      <c r="CX45" s="37" t="str">
        <f t="shared" si="647"/>
        <v>_SCA_1_</v>
      </c>
      <c r="CY45" s="37" t="str">
        <f t="shared" si="647"/>
        <v>_HIG_4_</v>
      </c>
      <c r="CZ45" s="37" t="str">
        <f t="shared" si="647"/>
        <v>_COI_1_</v>
      </c>
      <c r="DC45" s="37">
        <v>20</v>
      </c>
      <c r="DD45" s="37">
        <v>1</v>
      </c>
      <c r="DE45" s="37">
        <v>12</v>
      </c>
      <c r="DF45" s="37">
        <v>20</v>
      </c>
      <c r="DG45" s="37">
        <v>1</v>
      </c>
      <c r="DJ45" s="37" t="str">
        <f t="shared" ref="DJ45:DN45" si="648">VLOOKUP(DJ100,$B$114:$C$126,2,FALSE)</f>
        <v>_HIG_4_</v>
      </c>
      <c r="DK45" s="37" t="str">
        <f t="shared" si="648"/>
        <v>_COI_1_</v>
      </c>
      <c r="DL45" s="37" t="str">
        <f t="shared" si="648"/>
        <v>_SCA_1_</v>
      </c>
      <c r="DM45" s="37" t="str">
        <f t="shared" si="648"/>
        <v>_HIG_4_</v>
      </c>
      <c r="DN45" s="37" t="str">
        <f t="shared" si="648"/>
        <v>_COI_1_</v>
      </c>
      <c r="DQ45" s="37">
        <v>20</v>
      </c>
      <c r="DR45" s="37">
        <v>1</v>
      </c>
      <c r="DS45" s="37">
        <v>12</v>
      </c>
      <c r="DT45" s="37">
        <v>20</v>
      </c>
      <c r="DU45" s="37">
        <v>1</v>
      </c>
      <c r="DX45" s="37" t="str">
        <f t="shared" ref="DX45:EB45" si="649">VLOOKUP(DX100,$B$114:$C$126,2,FALSE)</f>
        <v>_HIG_4_</v>
      </c>
      <c r="DY45" s="37" t="str">
        <f t="shared" si="649"/>
        <v>_COI_1_</v>
      </c>
      <c r="DZ45" s="37" t="str">
        <f t="shared" si="649"/>
        <v>_SCA_1_</v>
      </c>
      <c r="EA45" s="37" t="str">
        <f t="shared" si="649"/>
        <v>_HIG_4_</v>
      </c>
      <c r="EB45" s="37" t="str">
        <f t="shared" si="649"/>
        <v>_COI_1_</v>
      </c>
      <c r="EE45" s="37">
        <v>20</v>
      </c>
      <c r="EF45" s="37">
        <v>1</v>
      </c>
      <c r="EG45" s="37">
        <v>12</v>
      </c>
      <c r="EH45" s="37">
        <v>20</v>
      </c>
      <c r="EI45" s="37">
        <v>1</v>
      </c>
      <c r="EL45" s="37" t="str">
        <f t="shared" ref="EL45:EP45" si="650">VLOOKUP(EL100,$B$114:$C$126,2,FALSE)</f>
        <v>_HIG_4_</v>
      </c>
      <c r="EM45" s="37" t="str">
        <f t="shared" si="650"/>
        <v>_COI_1_</v>
      </c>
      <c r="EN45" s="37" t="str">
        <f t="shared" si="650"/>
        <v>_SCA_1_</v>
      </c>
      <c r="EO45" s="37" t="str">
        <f t="shared" si="650"/>
        <v>_HIG_4_</v>
      </c>
      <c r="EP45" s="37" t="str">
        <f t="shared" si="650"/>
        <v>_COI_1_</v>
      </c>
      <c r="ES45" s="37">
        <v>20</v>
      </c>
      <c r="ET45" s="37">
        <v>1</v>
      </c>
      <c r="EU45" s="37">
        <v>12</v>
      </c>
      <c r="EV45" s="37">
        <v>20</v>
      </c>
      <c r="EW45" s="37">
        <v>1</v>
      </c>
      <c r="EZ45" s="37" t="str">
        <f t="shared" ref="EZ45:FD45" si="651">VLOOKUP(EZ100,$B$114:$C$126,2,FALSE)</f>
        <v>_HIG_4_</v>
      </c>
      <c r="FA45" s="37" t="str">
        <f t="shared" si="651"/>
        <v>_COI_1_</v>
      </c>
      <c r="FB45" s="37" t="str">
        <f t="shared" si="651"/>
        <v>_SCA_1_</v>
      </c>
      <c r="FC45" s="37" t="str">
        <f t="shared" si="651"/>
        <v>_HIG_4_</v>
      </c>
      <c r="FD45" s="37" t="str">
        <f t="shared" si="651"/>
        <v>_COI_1_</v>
      </c>
      <c r="FG45" s="37">
        <v>20</v>
      </c>
      <c r="FH45" s="37">
        <v>1</v>
      </c>
      <c r="FI45" s="37">
        <v>12</v>
      </c>
      <c r="FJ45" s="37">
        <v>20</v>
      </c>
      <c r="FK45" s="37">
        <v>1</v>
      </c>
      <c r="FN45" s="37" t="str">
        <f t="shared" ref="FN45:FR45" si="652">VLOOKUP(FN100,$B$114:$C$126,2,FALSE)</f>
        <v>_HIG_4_</v>
      </c>
      <c r="FO45" s="37" t="str">
        <f t="shared" si="652"/>
        <v>_COI_1_</v>
      </c>
      <c r="FP45" s="37" t="str">
        <f t="shared" si="652"/>
        <v>_SCA_1_</v>
      </c>
      <c r="FQ45" s="37" t="str">
        <f t="shared" si="652"/>
        <v>_HIG_4_</v>
      </c>
      <c r="FR45" s="37" t="str">
        <f t="shared" si="652"/>
        <v>_COI_1_</v>
      </c>
      <c r="FU45" s="37">
        <v>20</v>
      </c>
      <c r="FV45" s="37">
        <v>1</v>
      </c>
      <c r="FW45" s="37">
        <v>12</v>
      </c>
      <c r="FX45" s="37">
        <v>20</v>
      </c>
      <c r="FY45" s="37">
        <v>1</v>
      </c>
      <c r="GB45" s="37" t="str">
        <f t="shared" ref="GB45:GF45" si="653">VLOOKUP(GB100,$B$114:$C$126,2,FALSE)</f>
        <v>_HIG_4_</v>
      </c>
      <c r="GC45" s="37" t="str">
        <f t="shared" si="653"/>
        <v>_COI_1_</v>
      </c>
      <c r="GD45" s="37" t="str">
        <f t="shared" si="653"/>
        <v>_SCA_1_</v>
      </c>
      <c r="GE45" s="37" t="str">
        <f t="shared" si="653"/>
        <v>_HIG_4_</v>
      </c>
      <c r="GF45" s="37" t="str">
        <f t="shared" si="653"/>
        <v>_COI_1_</v>
      </c>
      <c r="GI45" s="37">
        <v>20</v>
      </c>
      <c r="GJ45" s="37">
        <v>1</v>
      </c>
      <c r="GK45" s="37">
        <v>12</v>
      </c>
      <c r="GL45" s="37">
        <v>20</v>
      </c>
      <c r="GM45" s="37">
        <v>1</v>
      </c>
      <c r="GP45" s="37" t="str">
        <f t="shared" ref="GP45:GT45" si="654">VLOOKUP(GP100,$B$114:$C$126,2,FALSE)</f>
        <v>_HIG_4_</v>
      </c>
      <c r="GQ45" s="37" t="str">
        <f t="shared" si="654"/>
        <v>_COI_1_</v>
      </c>
      <c r="GR45" s="37" t="str">
        <f t="shared" si="654"/>
        <v>_SCA_1_</v>
      </c>
      <c r="GS45" s="37" t="str">
        <f t="shared" si="654"/>
        <v>_HIG_4_</v>
      </c>
      <c r="GT45" s="37" t="str">
        <f t="shared" si="654"/>
        <v>_COI_1_</v>
      </c>
      <c r="GW45" s="37">
        <v>20</v>
      </c>
      <c r="GX45" s="37">
        <v>1</v>
      </c>
      <c r="GY45" s="37">
        <v>12</v>
      </c>
      <c r="GZ45" s="37">
        <v>20</v>
      </c>
      <c r="HA45" s="37">
        <v>1</v>
      </c>
      <c r="HD45" s="37" t="str">
        <f t="shared" ref="HD45:HH45" si="655">VLOOKUP(HD100,$B$114:$C$126,2,FALSE)</f>
        <v>_HIG_4_</v>
      </c>
      <c r="HE45" s="37" t="str">
        <f t="shared" si="655"/>
        <v>_COI_1_</v>
      </c>
      <c r="HF45" s="37" t="str">
        <f t="shared" si="655"/>
        <v>_SCA_1_</v>
      </c>
      <c r="HG45" s="37" t="str">
        <f t="shared" si="655"/>
        <v>_HIG_4_</v>
      </c>
      <c r="HH45" s="37" t="str">
        <f t="shared" si="655"/>
        <v>_COI_1_</v>
      </c>
      <c r="HK45" s="37">
        <v>20</v>
      </c>
      <c r="HL45" s="37">
        <v>1</v>
      </c>
      <c r="HM45" s="37">
        <v>12</v>
      </c>
      <c r="HN45" s="37">
        <v>20</v>
      </c>
      <c r="HO45" s="37">
        <v>1</v>
      </c>
    </row>
    <row r="46" spans="1:223" x14ac:dyDescent="0.35">
      <c r="A46" s="37">
        <v>42</v>
      </c>
      <c r="B46" s="37" t="str">
        <f t="shared" ref="B46:F46" si="656">VLOOKUP(B101,$B$114:$C$126,2,FALSE)</f>
        <v>_HIG_4_</v>
      </c>
      <c r="C46" s="37" t="str">
        <f t="shared" si="656"/>
        <v>_low_1_</v>
      </c>
      <c r="D46" s="37" t="str">
        <f t="shared" si="656"/>
        <v>_low_5_</v>
      </c>
      <c r="E46" s="37" t="str">
        <f t="shared" si="656"/>
        <v>_low_2_</v>
      </c>
      <c r="F46" s="37" t="str">
        <f t="shared" si="656"/>
        <v>_COI_1_</v>
      </c>
      <c r="I46" s="60">
        <v>20</v>
      </c>
      <c r="J46" s="60">
        <v>1</v>
      </c>
      <c r="K46" s="60">
        <v>12</v>
      </c>
      <c r="L46" s="60">
        <v>20</v>
      </c>
      <c r="M46" s="60">
        <v>1</v>
      </c>
      <c r="P46" s="37" t="str">
        <f t="shared" ref="P46:T46" si="657">VLOOKUP(P101,$B$114:$C$126,2,FALSE)</f>
        <v>_HIG_4_</v>
      </c>
      <c r="Q46" s="37" t="str">
        <f t="shared" si="657"/>
        <v>_low_1_</v>
      </c>
      <c r="R46" s="37" t="str">
        <f t="shared" si="657"/>
        <v>_low_5_</v>
      </c>
      <c r="S46" s="37" t="str">
        <f t="shared" si="657"/>
        <v>_low_2_</v>
      </c>
      <c r="T46" s="37" t="str">
        <f t="shared" si="657"/>
        <v>_COI_1_</v>
      </c>
      <c r="W46" s="37">
        <v>20</v>
      </c>
      <c r="X46" s="37">
        <v>1</v>
      </c>
      <c r="Y46" s="37">
        <v>12</v>
      </c>
      <c r="Z46" s="37">
        <v>20</v>
      </c>
      <c r="AA46" s="37">
        <v>1</v>
      </c>
      <c r="AD46" s="37" t="str">
        <f t="shared" ref="AD46:AH46" si="658">VLOOKUP(AD101,$B$114:$C$126,2,FALSE)</f>
        <v>_HIG_4_</v>
      </c>
      <c r="AE46" s="37" t="str">
        <f t="shared" si="658"/>
        <v>_low_1_</v>
      </c>
      <c r="AF46" s="37" t="str">
        <f t="shared" si="658"/>
        <v>_low_5_</v>
      </c>
      <c r="AG46" s="37" t="str">
        <f t="shared" si="658"/>
        <v>_low_2_</v>
      </c>
      <c r="AH46" s="37" t="str">
        <f t="shared" si="658"/>
        <v>_COI_1_</v>
      </c>
      <c r="AK46" s="37">
        <v>20</v>
      </c>
      <c r="AL46" s="37">
        <v>1</v>
      </c>
      <c r="AM46" s="37">
        <v>12</v>
      </c>
      <c r="AN46" s="37">
        <v>20</v>
      </c>
      <c r="AO46" s="37">
        <v>1</v>
      </c>
      <c r="AR46" s="37" t="str">
        <f t="shared" ref="AR46:AV46" si="659">VLOOKUP(AR101,$B$114:$C$126,2,FALSE)</f>
        <v>_HIG_4_</v>
      </c>
      <c r="AS46" s="37" t="str">
        <f t="shared" si="659"/>
        <v>_low_1_</v>
      </c>
      <c r="AT46" s="37" t="str">
        <f t="shared" si="659"/>
        <v>_low_5_</v>
      </c>
      <c r="AU46" s="37" t="str">
        <f t="shared" si="659"/>
        <v>_low_2_</v>
      </c>
      <c r="AV46" s="37" t="str">
        <f t="shared" si="659"/>
        <v>_COI_1_</v>
      </c>
      <c r="AY46" s="37">
        <v>20</v>
      </c>
      <c r="AZ46" s="37">
        <v>1</v>
      </c>
      <c r="BA46" s="37">
        <v>12</v>
      </c>
      <c r="BB46" s="37">
        <v>20</v>
      </c>
      <c r="BC46" s="37">
        <v>1</v>
      </c>
      <c r="BF46" s="37" t="str">
        <f t="shared" ref="BF46:BJ46" si="660">VLOOKUP(BF101,$B$114:$C$126,2,FALSE)</f>
        <v>_HIG_4_</v>
      </c>
      <c r="BG46" s="37" t="str">
        <f t="shared" si="660"/>
        <v>_low_1_</v>
      </c>
      <c r="BH46" s="37" t="str">
        <f t="shared" si="660"/>
        <v>_low_5_</v>
      </c>
      <c r="BI46" s="37" t="str">
        <f t="shared" si="660"/>
        <v>_low_2_</v>
      </c>
      <c r="BJ46" s="37" t="str">
        <f t="shared" si="660"/>
        <v>_COI_1_</v>
      </c>
      <c r="BM46" s="37">
        <v>20</v>
      </c>
      <c r="BN46" s="37">
        <v>1</v>
      </c>
      <c r="BO46" s="37">
        <v>12</v>
      </c>
      <c r="BP46" s="37">
        <v>20</v>
      </c>
      <c r="BQ46" s="37">
        <v>1</v>
      </c>
      <c r="BT46" s="37" t="str">
        <f t="shared" ref="BT46:BX46" si="661">VLOOKUP(BT101,$B$114:$C$126,2,FALSE)</f>
        <v>_HIG_4_</v>
      </c>
      <c r="BU46" s="37" t="str">
        <f t="shared" si="661"/>
        <v>_low_1_</v>
      </c>
      <c r="BV46" s="37" t="str">
        <f t="shared" si="661"/>
        <v>_low_5_</v>
      </c>
      <c r="BW46" s="37" t="str">
        <f t="shared" si="661"/>
        <v>_low_2_</v>
      </c>
      <c r="BX46" s="37" t="str">
        <f t="shared" si="661"/>
        <v>_COI_1_</v>
      </c>
      <c r="CA46" s="37">
        <v>20</v>
      </c>
      <c r="CB46" s="37">
        <v>1</v>
      </c>
      <c r="CC46" s="37">
        <v>12</v>
      </c>
      <c r="CD46" s="37">
        <v>20</v>
      </c>
      <c r="CE46" s="37">
        <v>1</v>
      </c>
      <c r="CH46" s="37" t="str">
        <f t="shared" ref="CH46:CL46" si="662">VLOOKUP(CH101,$B$114:$C$126,2,FALSE)</f>
        <v>_HIG_4_</v>
      </c>
      <c r="CI46" s="37" t="str">
        <f t="shared" si="662"/>
        <v>_low_1_</v>
      </c>
      <c r="CJ46" s="37" t="str">
        <f t="shared" si="662"/>
        <v>_low_5_</v>
      </c>
      <c r="CK46" s="37" t="str">
        <f t="shared" si="662"/>
        <v>_low_2_</v>
      </c>
      <c r="CL46" s="37" t="str">
        <f t="shared" si="662"/>
        <v>_COI_1_</v>
      </c>
      <c r="CO46" s="37">
        <v>20</v>
      </c>
      <c r="CP46" s="37">
        <v>1</v>
      </c>
      <c r="CQ46" s="37">
        <v>12</v>
      </c>
      <c r="CR46" s="37">
        <v>20</v>
      </c>
      <c r="CS46" s="37">
        <v>1</v>
      </c>
      <c r="CV46" s="37" t="str">
        <f t="shared" ref="CV46:CZ46" si="663">VLOOKUP(CV101,$B$114:$C$126,2,FALSE)</f>
        <v>_HIG_4_</v>
      </c>
      <c r="CW46" s="37" t="str">
        <f t="shared" si="663"/>
        <v>_low_1_</v>
      </c>
      <c r="CX46" s="37" t="str">
        <f t="shared" si="663"/>
        <v>_low_5_</v>
      </c>
      <c r="CY46" s="37" t="str">
        <f t="shared" si="663"/>
        <v>_low_2_</v>
      </c>
      <c r="CZ46" s="37" t="str">
        <f t="shared" si="663"/>
        <v>_COI_1_</v>
      </c>
      <c r="DC46" s="37">
        <v>20</v>
      </c>
      <c r="DD46" s="37">
        <v>1</v>
      </c>
      <c r="DE46" s="37">
        <v>12</v>
      </c>
      <c r="DF46" s="37">
        <v>20</v>
      </c>
      <c r="DG46" s="37">
        <v>4000</v>
      </c>
      <c r="DJ46" s="37" t="str">
        <f t="shared" ref="DJ46:DN46" si="664">VLOOKUP(DJ101,$B$114:$C$126,2,FALSE)</f>
        <v>_HIG_4_</v>
      </c>
      <c r="DK46" s="37" t="str">
        <f t="shared" si="664"/>
        <v>_low_1_</v>
      </c>
      <c r="DL46" s="37" t="str">
        <f t="shared" si="664"/>
        <v>_low_5_</v>
      </c>
      <c r="DM46" s="37" t="str">
        <f t="shared" si="664"/>
        <v>_low_2_</v>
      </c>
      <c r="DN46" s="37" t="str">
        <f t="shared" si="664"/>
        <v>_COI_1_</v>
      </c>
      <c r="DQ46" s="37">
        <v>20</v>
      </c>
      <c r="DR46" s="37">
        <v>1</v>
      </c>
      <c r="DS46" s="37">
        <v>12</v>
      </c>
      <c r="DT46" s="37">
        <v>20</v>
      </c>
      <c r="DU46" s="37">
        <v>1</v>
      </c>
      <c r="DX46" s="37" t="str">
        <f t="shared" ref="DX46:EB46" si="665">VLOOKUP(DX101,$B$114:$C$126,2,FALSE)</f>
        <v>_HIG_4_</v>
      </c>
      <c r="DY46" s="37" t="str">
        <f t="shared" si="665"/>
        <v>_low_1_</v>
      </c>
      <c r="DZ46" s="37" t="str">
        <f t="shared" si="665"/>
        <v>_low_5_</v>
      </c>
      <c r="EA46" s="37" t="str">
        <f t="shared" si="665"/>
        <v>_low_2_</v>
      </c>
      <c r="EB46" s="37" t="str">
        <f t="shared" si="665"/>
        <v>_COI_1_</v>
      </c>
      <c r="EE46" s="37">
        <v>20</v>
      </c>
      <c r="EF46" s="37">
        <v>1</v>
      </c>
      <c r="EG46" s="37">
        <v>12</v>
      </c>
      <c r="EH46" s="37">
        <v>20</v>
      </c>
      <c r="EI46" s="37">
        <v>8000</v>
      </c>
      <c r="EL46" s="37" t="str">
        <f t="shared" ref="EL46:EP46" si="666">VLOOKUP(EL101,$B$114:$C$126,2,FALSE)</f>
        <v>_HIG_4_</v>
      </c>
      <c r="EM46" s="37" t="str">
        <f t="shared" si="666"/>
        <v>_low_1_</v>
      </c>
      <c r="EN46" s="37" t="str">
        <f t="shared" si="666"/>
        <v>_low_5_</v>
      </c>
      <c r="EO46" s="37" t="str">
        <f t="shared" si="666"/>
        <v>_low_2_</v>
      </c>
      <c r="EP46" s="37" t="str">
        <f t="shared" si="666"/>
        <v>_COI_1_</v>
      </c>
      <c r="ES46" s="37">
        <v>20</v>
      </c>
      <c r="ET46" s="37">
        <v>1</v>
      </c>
      <c r="EU46" s="37">
        <v>12</v>
      </c>
      <c r="EV46" s="37">
        <v>20</v>
      </c>
      <c r="EW46" s="37">
        <v>2000</v>
      </c>
      <c r="EZ46" s="37" t="str">
        <f t="shared" ref="EZ46:FD46" si="667">VLOOKUP(EZ101,$B$114:$C$126,2,FALSE)</f>
        <v>_HIG_4_</v>
      </c>
      <c r="FA46" s="37" t="str">
        <f t="shared" si="667"/>
        <v>_low_1_</v>
      </c>
      <c r="FB46" s="37" t="str">
        <f t="shared" si="667"/>
        <v>_low_5_</v>
      </c>
      <c r="FC46" s="37" t="str">
        <f t="shared" si="667"/>
        <v>_low_2_</v>
      </c>
      <c r="FD46" s="37" t="str">
        <f t="shared" si="667"/>
        <v>_COI_1_</v>
      </c>
      <c r="FG46" s="37">
        <v>20</v>
      </c>
      <c r="FH46" s="37">
        <v>1</v>
      </c>
      <c r="FI46" s="37">
        <v>12</v>
      </c>
      <c r="FJ46" s="37">
        <v>20</v>
      </c>
      <c r="FK46" s="37">
        <v>8000</v>
      </c>
      <c r="FN46" s="37" t="str">
        <f t="shared" ref="FN46:FR46" si="668">VLOOKUP(FN101,$B$114:$C$126,2,FALSE)</f>
        <v>_HIG_4_</v>
      </c>
      <c r="FO46" s="37" t="str">
        <f t="shared" si="668"/>
        <v>_low_1_</v>
      </c>
      <c r="FP46" s="37" t="str">
        <f t="shared" si="668"/>
        <v>_low_5_</v>
      </c>
      <c r="FQ46" s="37" t="str">
        <f t="shared" si="668"/>
        <v>_low_2_</v>
      </c>
      <c r="FR46" s="37" t="str">
        <f t="shared" si="668"/>
        <v>_COI_1_</v>
      </c>
      <c r="FU46" s="37">
        <v>20</v>
      </c>
      <c r="FV46" s="37">
        <v>1</v>
      </c>
      <c r="FW46" s="37">
        <v>12</v>
      </c>
      <c r="FX46" s="37">
        <v>20</v>
      </c>
      <c r="FY46" s="37">
        <v>4000</v>
      </c>
      <c r="GB46" s="37" t="str">
        <f t="shared" ref="GB46:GF46" si="669">VLOOKUP(GB101,$B$114:$C$126,2,FALSE)</f>
        <v>_HIG_4_</v>
      </c>
      <c r="GC46" s="37" t="str">
        <f t="shared" si="669"/>
        <v>_low_1_</v>
      </c>
      <c r="GD46" s="37" t="str">
        <f t="shared" si="669"/>
        <v>_low_5_</v>
      </c>
      <c r="GE46" s="37" t="str">
        <f t="shared" si="669"/>
        <v>_low_2_</v>
      </c>
      <c r="GF46" s="37" t="str">
        <f t="shared" si="669"/>
        <v>_COI_1_</v>
      </c>
      <c r="GI46" s="37">
        <v>20</v>
      </c>
      <c r="GJ46" s="37">
        <v>1</v>
      </c>
      <c r="GK46" s="37">
        <v>12</v>
      </c>
      <c r="GL46" s="37">
        <v>20</v>
      </c>
      <c r="GM46" s="37">
        <v>4000</v>
      </c>
      <c r="GP46" s="37" t="str">
        <f t="shared" ref="GP46:GT46" si="670">VLOOKUP(GP101,$B$114:$C$126,2,FALSE)</f>
        <v>_HIG_4_</v>
      </c>
      <c r="GQ46" s="37" t="str">
        <f t="shared" si="670"/>
        <v>_low_1_</v>
      </c>
      <c r="GR46" s="37" t="str">
        <f t="shared" si="670"/>
        <v>_low_5_</v>
      </c>
      <c r="GS46" s="37" t="str">
        <f t="shared" si="670"/>
        <v>_low_2_</v>
      </c>
      <c r="GT46" s="37" t="str">
        <f t="shared" si="670"/>
        <v>_COI_1_</v>
      </c>
      <c r="GW46" s="37">
        <v>20</v>
      </c>
      <c r="GX46" s="37">
        <v>1</v>
      </c>
      <c r="GY46" s="37">
        <v>12</v>
      </c>
      <c r="GZ46" s="37">
        <v>20</v>
      </c>
      <c r="HA46" s="37">
        <v>10000</v>
      </c>
      <c r="HD46" s="37" t="str">
        <f t="shared" ref="HD46:HH46" si="671">VLOOKUP(HD101,$B$114:$C$126,2,FALSE)</f>
        <v>_HIG_4_</v>
      </c>
      <c r="HE46" s="37" t="str">
        <f t="shared" si="671"/>
        <v>_low_1_</v>
      </c>
      <c r="HF46" s="37" t="str">
        <f t="shared" si="671"/>
        <v>_low_5_</v>
      </c>
      <c r="HG46" s="37" t="str">
        <f t="shared" si="671"/>
        <v>_low_2_</v>
      </c>
      <c r="HH46" s="37" t="str">
        <f t="shared" si="671"/>
        <v>_COI_1_</v>
      </c>
      <c r="HK46" s="37">
        <v>20</v>
      </c>
      <c r="HL46" s="37">
        <v>1</v>
      </c>
      <c r="HM46" s="37">
        <v>12</v>
      </c>
      <c r="HN46" s="37">
        <v>20</v>
      </c>
      <c r="HO46" s="37">
        <v>100000000</v>
      </c>
    </row>
    <row r="47" spans="1:223" x14ac:dyDescent="0.35">
      <c r="A47" s="37">
        <v>43</v>
      </c>
      <c r="B47" s="37" t="str">
        <f t="shared" ref="B47:F47" si="672">VLOOKUP(B102,$B$114:$C$126,2,FALSE)</f>
        <v>_low_3_</v>
      </c>
      <c r="C47" s="37" t="str">
        <f t="shared" si="672"/>
        <v>_low_2_</v>
      </c>
      <c r="D47" s="37" t="str">
        <f t="shared" si="672"/>
        <v>_JOK_1_</v>
      </c>
      <c r="E47" s="37" t="str">
        <f t="shared" si="672"/>
        <v>_HIG_1_</v>
      </c>
      <c r="F47" s="37" t="str">
        <f t="shared" si="672"/>
        <v>_COI_1_</v>
      </c>
      <c r="I47" s="60">
        <v>20</v>
      </c>
      <c r="J47" s="60">
        <v>20</v>
      </c>
      <c r="K47" s="60">
        <v>20</v>
      </c>
      <c r="L47" s="60">
        <v>20</v>
      </c>
      <c r="M47" s="60">
        <v>1</v>
      </c>
      <c r="P47" s="37" t="str">
        <f t="shared" ref="P47:T47" si="673">VLOOKUP(P102,$B$114:$C$126,2,FALSE)</f>
        <v>_low_3_</v>
      </c>
      <c r="Q47" s="37" t="str">
        <f t="shared" si="673"/>
        <v>_low_2_</v>
      </c>
      <c r="R47" s="37" t="str">
        <f t="shared" si="673"/>
        <v>_JOK_1_</v>
      </c>
      <c r="S47" s="37" t="str">
        <f t="shared" si="673"/>
        <v>_HIG_1_</v>
      </c>
      <c r="T47" s="37" t="str">
        <f t="shared" si="673"/>
        <v>_COI_1_</v>
      </c>
      <c r="W47" s="37">
        <v>20</v>
      </c>
      <c r="X47" s="37">
        <v>20</v>
      </c>
      <c r="Y47" s="37">
        <v>20</v>
      </c>
      <c r="Z47" s="37">
        <v>20</v>
      </c>
      <c r="AA47" s="37">
        <v>1</v>
      </c>
      <c r="AD47" s="37" t="str">
        <f t="shared" ref="AD47:AH47" si="674">VLOOKUP(AD102,$B$114:$C$126,2,FALSE)</f>
        <v>_low_3_</v>
      </c>
      <c r="AE47" s="37" t="str">
        <f t="shared" si="674"/>
        <v>_low_2_</v>
      </c>
      <c r="AF47" s="37" t="str">
        <f t="shared" si="674"/>
        <v>_JOK_1_</v>
      </c>
      <c r="AG47" s="37" t="str">
        <f t="shared" si="674"/>
        <v>_HIG_1_</v>
      </c>
      <c r="AH47" s="37" t="str">
        <f t="shared" si="674"/>
        <v>_COI_1_</v>
      </c>
      <c r="AK47" s="37">
        <v>20</v>
      </c>
      <c r="AL47" s="37">
        <v>20</v>
      </c>
      <c r="AM47" s="37">
        <v>20</v>
      </c>
      <c r="AN47" s="37">
        <v>20</v>
      </c>
      <c r="AO47" s="37">
        <v>1</v>
      </c>
      <c r="AR47" s="37" t="str">
        <f t="shared" ref="AR47:AV47" si="675">VLOOKUP(AR102,$B$114:$C$126,2,FALSE)</f>
        <v>_low_3_</v>
      </c>
      <c r="AS47" s="37" t="str">
        <f t="shared" si="675"/>
        <v>_low_2_</v>
      </c>
      <c r="AT47" s="37" t="str">
        <f t="shared" si="675"/>
        <v>_JOK_1_</v>
      </c>
      <c r="AU47" s="37" t="str">
        <f t="shared" si="675"/>
        <v>_HIG_1_</v>
      </c>
      <c r="AV47" s="37" t="str">
        <f t="shared" si="675"/>
        <v>_COI_1_</v>
      </c>
      <c r="AY47" s="37">
        <v>20</v>
      </c>
      <c r="AZ47" s="37">
        <v>20</v>
      </c>
      <c r="BA47" s="37">
        <v>20</v>
      </c>
      <c r="BB47" s="37">
        <v>20</v>
      </c>
      <c r="BC47" s="37">
        <v>1</v>
      </c>
      <c r="BF47" s="37" t="str">
        <f t="shared" ref="BF47:BJ47" si="676">VLOOKUP(BF102,$B$114:$C$126,2,FALSE)</f>
        <v>_low_3_</v>
      </c>
      <c r="BG47" s="37" t="str">
        <f t="shared" si="676"/>
        <v>_low_2_</v>
      </c>
      <c r="BH47" s="37" t="str">
        <f t="shared" si="676"/>
        <v>_JOK_1_</v>
      </c>
      <c r="BI47" s="37" t="str">
        <f t="shared" si="676"/>
        <v>_HIG_1_</v>
      </c>
      <c r="BJ47" s="37" t="str">
        <f t="shared" si="676"/>
        <v>_COI_1_</v>
      </c>
      <c r="BM47" s="37">
        <v>20</v>
      </c>
      <c r="BN47" s="37">
        <v>20</v>
      </c>
      <c r="BO47" s="37">
        <v>20</v>
      </c>
      <c r="BP47" s="37">
        <v>20</v>
      </c>
      <c r="BQ47" s="37">
        <v>1</v>
      </c>
      <c r="BT47" s="37" t="str">
        <f t="shared" ref="BT47:BX47" si="677">VLOOKUP(BT102,$B$114:$C$126,2,FALSE)</f>
        <v>_low_3_</v>
      </c>
      <c r="BU47" s="37" t="str">
        <f t="shared" si="677"/>
        <v>_low_2_</v>
      </c>
      <c r="BV47" s="37" t="str">
        <f t="shared" si="677"/>
        <v>_JOK_1_</v>
      </c>
      <c r="BW47" s="37" t="str">
        <f t="shared" si="677"/>
        <v>_HIG_1_</v>
      </c>
      <c r="BX47" s="37" t="str">
        <f t="shared" si="677"/>
        <v>_COI_1_</v>
      </c>
      <c r="CA47" s="37">
        <v>20</v>
      </c>
      <c r="CB47" s="37">
        <v>20</v>
      </c>
      <c r="CC47" s="37">
        <v>20</v>
      </c>
      <c r="CD47" s="37">
        <v>20</v>
      </c>
      <c r="CE47" s="37">
        <v>1</v>
      </c>
      <c r="CH47" s="37" t="str">
        <f t="shared" ref="CH47:CL47" si="678">VLOOKUP(CH102,$B$114:$C$126,2,FALSE)</f>
        <v>_low_3_</v>
      </c>
      <c r="CI47" s="37" t="str">
        <f t="shared" si="678"/>
        <v>_low_2_</v>
      </c>
      <c r="CJ47" s="37" t="str">
        <f t="shared" si="678"/>
        <v>_JOK_1_</v>
      </c>
      <c r="CK47" s="37" t="str">
        <f t="shared" si="678"/>
        <v>_HIG_1_</v>
      </c>
      <c r="CL47" s="37" t="str">
        <f t="shared" si="678"/>
        <v>_COI_1_</v>
      </c>
      <c r="CO47" s="37">
        <v>20</v>
      </c>
      <c r="CP47" s="37">
        <v>20</v>
      </c>
      <c r="CQ47" s="37">
        <v>20</v>
      </c>
      <c r="CR47" s="37">
        <v>20</v>
      </c>
      <c r="CS47" s="37">
        <v>1</v>
      </c>
      <c r="CV47" s="37" t="str">
        <f t="shared" ref="CV47:CZ47" si="679">VLOOKUP(CV102,$B$114:$C$126,2,FALSE)</f>
        <v>_low_3_</v>
      </c>
      <c r="CW47" s="37" t="str">
        <f t="shared" si="679"/>
        <v>_low_2_</v>
      </c>
      <c r="CX47" s="37" t="str">
        <f t="shared" si="679"/>
        <v>_JOK_1_</v>
      </c>
      <c r="CY47" s="37" t="str">
        <f t="shared" si="679"/>
        <v>_HIG_1_</v>
      </c>
      <c r="CZ47" s="37" t="str">
        <f t="shared" si="679"/>
        <v>_COI_1_</v>
      </c>
      <c r="DC47" s="37">
        <v>20</v>
      </c>
      <c r="DD47" s="37">
        <v>20</v>
      </c>
      <c r="DE47" s="37">
        <v>20</v>
      </c>
      <c r="DF47" s="37">
        <v>20</v>
      </c>
      <c r="DG47" s="37">
        <v>1</v>
      </c>
      <c r="DJ47" s="37" t="str">
        <f t="shared" ref="DJ47:DN47" si="680">VLOOKUP(DJ102,$B$114:$C$126,2,FALSE)</f>
        <v>_low_3_</v>
      </c>
      <c r="DK47" s="37" t="str">
        <f t="shared" si="680"/>
        <v>_low_2_</v>
      </c>
      <c r="DL47" s="37" t="str">
        <f t="shared" si="680"/>
        <v>_JOK_1_</v>
      </c>
      <c r="DM47" s="37" t="str">
        <f t="shared" si="680"/>
        <v>_HIG_1_</v>
      </c>
      <c r="DN47" s="37" t="str">
        <f t="shared" si="680"/>
        <v>_COI_1_</v>
      </c>
      <c r="DQ47" s="37">
        <v>20</v>
      </c>
      <c r="DR47" s="37">
        <v>20</v>
      </c>
      <c r="DS47" s="37">
        <v>20</v>
      </c>
      <c r="DT47" s="37">
        <v>20</v>
      </c>
      <c r="DU47" s="37">
        <v>1</v>
      </c>
      <c r="DX47" s="37" t="str">
        <f t="shared" ref="DX47:EB47" si="681">VLOOKUP(DX102,$B$114:$C$126,2,FALSE)</f>
        <v>_low_3_</v>
      </c>
      <c r="DY47" s="37" t="str">
        <f t="shared" si="681"/>
        <v>_low_2_</v>
      </c>
      <c r="DZ47" s="37" t="str">
        <f t="shared" si="681"/>
        <v>_JOK_1_</v>
      </c>
      <c r="EA47" s="37" t="str">
        <f t="shared" si="681"/>
        <v>_HIG_1_</v>
      </c>
      <c r="EB47" s="37" t="str">
        <f t="shared" si="681"/>
        <v>_COI_1_</v>
      </c>
      <c r="EE47" s="37">
        <v>20</v>
      </c>
      <c r="EF47" s="37">
        <v>20</v>
      </c>
      <c r="EG47" s="37">
        <v>20</v>
      </c>
      <c r="EH47" s="37">
        <v>20</v>
      </c>
      <c r="EI47" s="37">
        <v>1</v>
      </c>
      <c r="EL47" s="37" t="str">
        <f t="shared" ref="EL47:EP47" si="682">VLOOKUP(EL102,$B$114:$C$126,2,FALSE)</f>
        <v>_low_3_</v>
      </c>
      <c r="EM47" s="37" t="str">
        <f t="shared" si="682"/>
        <v>_low_2_</v>
      </c>
      <c r="EN47" s="37" t="str">
        <f t="shared" si="682"/>
        <v>_JOK_1_</v>
      </c>
      <c r="EO47" s="37" t="str">
        <f t="shared" si="682"/>
        <v>_HIG_1_</v>
      </c>
      <c r="EP47" s="37" t="str">
        <f t="shared" si="682"/>
        <v>_COI_1_</v>
      </c>
      <c r="ES47" s="37">
        <v>20</v>
      </c>
      <c r="ET47" s="37">
        <v>20</v>
      </c>
      <c r="EU47" s="37">
        <v>20</v>
      </c>
      <c r="EV47" s="37">
        <v>20</v>
      </c>
      <c r="EW47" s="37">
        <v>1</v>
      </c>
      <c r="EZ47" s="37" t="str">
        <f t="shared" ref="EZ47:FD47" si="683">VLOOKUP(EZ102,$B$114:$C$126,2,FALSE)</f>
        <v>_low_3_</v>
      </c>
      <c r="FA47" s="37" t="str">
        <f t="shared" si="683"/>
        <v>_low_2_</v>
      </c>
      <c r="FB47" s="37" t="str">
        <f t="shared" si="683"/>
        <v>_JOK_1_</v>
      </c>
      <c r="FC47" s="37" t="str">
        <f t="shared" si="683"/>
        <v>_HIG_1_</v>
      </c>
      <c r="FD47" s="37" t="str">
        <f t="shared" si="683"/>
        <v>_COI_1_</v>
      </c>
      <c r="FG47" s="37">
        <v>20</v>
      </c>
      <c r="FH47" s="37">
        <v>20</v>
      </c>
      <c r="FI47" s="37">
        <v>20</v>
      </c>
      <c r="FJ47" s="37">
        <v>20</v>
      </c>
      <c r="FK47" s="37">
        <v>1</v>
      </c>
      <c r="FN47" s="37" t="str">
        <f t="shared" ref="FN47:FR47" si="684">VLOOKUP(FN102,$B$114:$C$126,2,FALSE)</f>
        <v>_low_3_</v>
      </c>
      <c r="FO47" s="37" t="str">
        <f t="shared" si="684"/>
        <v>_low_2_</v>
      </c>
      <c r="FP47" s="37" t="str">
        <f t="shared" si="684"/>
        <v>_JOK_1_</v>
      </c>
      <c r="FQ47" s="37" t="str">
        <f t="shared" si="684"/>
        <v>_HIG_1_</v>
      </c>
      <c r="FR47" s="37" t="str">
        <f t="shared" si="684"/>
        <v>_COI_1_</v>
      </c>
      <c r="FU47" s="37">
        <v>20</v>
      </c>
      <c r="FV47" s="37">
        <v>20</v>
      </c>
      <c r="FW47" s="37">
        <v>20</v>
      </c>
      <c r="FX47" s="37">
        <v>20</v>
      </c>
      <c r="FY47" s="37">
        <v>1</v>
      </c>
      <c r="GB47" s="37" t="str">
        <f t="shared" ref="GB47:GF47" si="685">VLOOKUP(GB102,$B$114:$C$126,2,FALSE)</f>
        <v>_low_3_</v>
      </c>
      <c r="GC47" s="37" t="str">
        <f t="shared" si="685"/>
        <v>_low_2_</v>
      </c>
      <c r="GD47" s="37" t="str">
        <f t="shared" si="685"/>
        <v>_JOK_1_</v>
      </c>
      <c r="GE47" s="37" t="str">
        <f t="shared" si="685"/>
        <v>_HIG_1_</v>
      </c>
      <c r="GF47" s="37" t="str">
        <f t="shared" si="685"/>
        <v>_COI_1_</v>
      </c>
      <c r="GI47" s="37">
        <v>20</v>
      </c>
      <c r="GJ47" s="37">
        <v>20</v>
      </c>
      <c r="GK47" s="37">
        <v>20</v>
      </c>
      <c r="GL47" s="37">
        <v>20</v>
      </c>
      <c r="GM47" s="37">
        <v>1</v>
      </c>
      <c r="GP47" s="37" t="str">
        <f t="shared" ref="GP47:GT47" si="686">VLOOKUP(GP102,$B$114:$C$126,2,FALSE)</f>
        <v>_low_3_</v>
      </c>
      <c r="GQ47" s="37" t="str">
        <f t="shared" si="686"/>
        <v>_low_2_</v>
      </c>
      <c r="GR47" s="37" t="str">
        <f t="shared" si="686"/>
        <v>_JOK_1_</v>
      </c>
      <c r="GS47" s="37" t="str">
        <f t="shared" si="686"/>
        <v>_HIG_1_</v>
      </c>
      <c r="GT47" s="37" t="str">
        <f t="shared" si="686"/>
        <v>_COI_1_</v>
      </c>
      <c r="GW47" s="37">
        <v>20</v>
      </c>
      <c r="GX47" s="37">
        <v>20</v>
      </c>
      <c r="GY47" s="37">
        <v>20</v>
      </c>
      <c r="GZ47" s="37">
        <v>20</v>
      </c>
      <c r="HA47" s="37">
        <v>1</v>
      </c>
      <c r="HD47" s="37" t="str">
        <f t="shared" ref="HD47:HH47" si="687">VLOOKUP(HD102,$B$114:$C$126,2,FALSE)</f>
        <v>_low_3_</v>
      </c>
      <c r="HE47" s="37" t="str">
        <f t="shared" si="687"/>
        <v>_low_2_</v>
      </c>
      <c r="HF47" s="37" t="str">
        <f t="shared" si="687"/>
        <v>_JOK_1_</v>
      </c>
      <c r="HG47" s="37" t="str">
        <f t="shared" si="687"/>
        <v>_HIG_1_</v>
      </c>
      <c r="HH47" s="37" t="str">
        <f t="shared" si="687"/>
        <v>_COI_1_</v>
      </c>
      <c r="HK47" s="37">
        <v>20</v>
      </c>
      <c r="HL47" s="37">
        <v>20</v>
      </c>
      <c r="HM47" s="37">
        <v>20</v>
      </c>
      <c r="HN47" s="37">
        <v>20</v>
      </c>
      <c r="HO47" s="37">
        <v>1</v>
      </c>
    </row>
    <row r="48" spans="1:223" x14ac:dyDescent="0.35">
      <c r="A48" s="37">
        <v>44</v>
      </c>
      <c r="B48" s="37" t="str">
        <f t="shared" ref="B48:F48" si="688">VLOOKUP(B103,$B$114:$C$126,2,FALSE)</f>
        <v>_HIG_3_</v>
      </c>
      <c r="C48" s="37" t="str">
        <f t="shared" si="688"/>
        <v>_HIG_3_</v>
      </c>
      <c r="D48" s="37" t="str">
        <f t="shared" si="688"/>
        <v>_JOK_1_</v>
      </c>
      <c r="E48" s="37" t="str">
        <f t="shared" si="688"/>
        <v>_low_1_</v>
      </c>
      <c r="F48" s="37" t="str">
        <f t="shared" si="688"/>
        <v>_low_2_</v>
      </c>
      <c r="I48" s="60">
        <v>20</v>
      </c>
      <c r="J48" s="60">
        <v>20</v>
      </c>
      <c r="K48" s="60">
        <v>20</v>
      </c>
      <c r="L48" s="60">
        <v>20</v>
      </c>
      <c r="M48" s="60">
        <v>1</v>
      </c>
      <c r="P48" s="37" t="str">
        <f t="shared" ref="P48:T48" si="689">VLOOKUP(P103,$B$114:$C$126,2,FALSE)</f>
        <v>_HIG_3_</v>
      </c>
      <c r="Q48" s="37" t="str">
        <f t="shared" si="689"/>
        <v>_HIG_3_</v>
      </c>
      <c r="R48" s="37" t="str">
        <f t="shared" si="689"/>
        <v>_JOK_1_</v>
      </c>
      <c r="S48" s="37" t="str">
        <f t="shared" si="689"/>
        <v>_low_1_</v>
      </c>
      <c r="T48" s="37" t="str">
        <f t="shared" si="689"/>
        <v>_low_2_</v>
      </c>
      <c r="W48" s="37">
        <v>20</v>
      </c>
      <c r="X48" s="37">
        <v>20</v>
      </c>
      <c r="Y48" s="37">
        <v>20</v>
      </c>
      <c r="Z48" s="37">
        <v>20</v>
      </c>
      <c r="AA48" s="37">
        <v>1</v>
      </c>
      <c r="AD48" s="37" t="str">
        <f t="shared" ref="AD48:AH48" si="690">VLOOKUP(AD103,$B$114:$C$126,2,FALSE)</f>
        <v>_HIG_3_</v>
      </c>
      <c r="AE48" s="37" t="str">
        <f t="shared" si="690"/>
        <v>_HIG_3_</v>
      </c>
      <c r="AF48" s="37" t="str">
        <f t="shared" si="690"/>
        <v>_JOK_1_</v>
      </c>
      <c r="AG48" s="37" t="str">
        <f t="shared" si="690"/>
        <v>_low_1_</v>
      </c>
      <c r="AH48" s="37" t="str">
        <f t="shared" si="690"/>
        <v>_low_2_</v>
      </c>
      <c r="AK48" s="37">
        <v>20</v>
      </c>
      <c r="AL48" s="37">
        <v>20</v>
      </c>
      <c r="AM48" s="37">
        <v>20</v>
      </c>
      <c r="AN48" s="37">
        <v>20</v>
      </c>
      <c r="AO48" s="37">
        <v>1</v>
      </c>
      <c r="AR48" s="37" t="str">
        <f t="shared" ref="AR48:AV48" si="691">VLOOKUP(AR103,$B$114:$C$126,2,FALSE)</f>
        <v>_HIG_3_</v>
      </c>
      <c r="AS48" s="37" t="str">
        <f t="shared" si="691"/>
        <v>_HIG_3_</v>
      </c>
      <c r="AT48" s="37" t="str">
        <f t="shared" si="691"/>
        <v>_JOK_1_</v>
      </c>
      <c r="AU48" s="37" t="str">
        <f t="shared" si="691"/>
        <v>_low_1_</v>
      </c>
      <c r="AV48" s="37" t="str">
        <f t="shared" si="691"/>
        <v>_low_2_</v>
      </c>
      <c r="AY48" s="37">
        <v>20</v>
      </c>
      <c r="AZ48" s="37">
        <v>20</v>
      </c>
      <c r="BA48" s="37">
        <v>20</v>
      </c>
      <c r="BB48" s="37">
        <v>20</v>
      </c>
      <c r="BC48" s="37">
        <v>1</v>
      </c>
      <c r="BF48" s="37" t="str">
        <f t="shared" ref="BF48:BJ48" si="692">VLOOKUP(BF103,$B$114:$C$126,2,FALSE)</f>
        <v>_HIG_3_</v>
      </c>
      <c r="BG48" s="37" t="str">
        <f t="shared" si="692"/>
        <v>_HIG_3_</v>
      </c>
      <c r="BH48" s="37" t="str">
        <f t="shared" si="692"/>
        <v>_JOK_1_</v>
      </c>
      <c r="BI48" s="37" t="str">
        <f t="shared" si="692"/>
        <v>_low_1_</v>
      </c>
      <c r="BJ48" s="37" t="str">
        <f t="shared" si="692"/>
        <v>_low_2_</v>
      </c>
      <c r="BM48" s="37">
        <v>20</v>
      </c>
      <c r="BN48" s="37">
        <v>20</v>
      </c>
      <c r="BO48" s="37">
        <v>20</v>
      </c>
      <c r="BP48" s="37">
        <v>20</v>
      </c>
      <c r="BQ48" s="37">
        <v>1</v>
      </c>
      <c r="BT48" s="37" t="str">
        <f t="shared" ref="BT48:BX48" si="693">VLOOKUP(BT103,$B$114:$C$126,2,FALSE)</f>
        <v>_HIG_3_</v>
      </c>
      <c r="BU48" s="37" t="str">
        <f t="shared" si="693"/>
        <v>_HIG_3_</v>
      </c>
      <c r="BV48" s="37" t="str">
        <f t="shared" si="693"/>
        <v>_JOK_1_</v>
      </c>
      <c r="BW48" s="37" t="str">
        <f t="shared" si="693"/>
        <v>_low_1_</v>
      </c>
      <c r="BX48" s="37" t="str">
        <f t="shared" si="693"/>
        <v>_low_2_</v>
      </c>
      <c r="CA48" s="37">
        <v>20</v>
      </c>
      <c r="CB48" s="37">
        <v>20</v>
      </c>
      <c r="CC48" s="37">
        <v>20</v>
      </c>
      <c r="CD48" s="37">
        <v>20</v>
      </c>
      <c r="CE48" s="37">
        <v>1</v>
      </c>
      <c r="CH48" s="37" t="str">
        <f t="shared" ref="CH48:CL48" si="694">VLOOKUP(CH103,$B$114:$C$126,2,FALSE)</f>
        <v>_HIG_3_</v>
      </c>
      <c r="CI48" s="37" t="str">
        <f t="shared" si="694"/>
        <v>_HIG_3_</v>
      </c>
      <c r="CJ48" s="37" t="str">
        <f t="shared" si="694"/>
        <v>_JOK_1_</v>
      </c>
      <c r="CK48" s="37" t="str">
        <f t="shared" si="694"/>
        <v>_low_1_</v>
      </c>
      <c r="CL48" s="37" t="str">
        <f t="shared" si="694"/>
        <v>_low_2_</v>
      </c>
      <c r="CO48" s="37">
        <v>20</v>
      </c>
      <c r="CP48" s="37">
        <v>20</v>
      </c>
      <c r="CQ48" s="37">
        <v>20</v>
      </c>
      <c r="CR48" s="37">
        <v>20</v>
      </c>
      <c r="CS48" s="37">
        <v>1</v>
      </c>
      <c r="CV48" s="37" t="str">
        <f t="shared" ref="CV48:CZ48" si="695">VLOOKUP(CV103,$B$114:$C$126,2,FALSE)</f>
        <v>_HIG_3_</v>
      </c>
      <c r="CW48" s="37" t="str">
        <f t="shared" si="695"/>
        <v>_HIG_3_</v>
      </c>
      <c r="CX48" s="37" t="str">
        <f t="shared" si="695"/>
        <v>_JOK_1_</v>
      </c>
      <c r="CY48" s="37" t="str">
        <f t="shared" si="695"/>
        <v>_low_1_</v>
      </c>
      <c r="CZ48" s="37" t="str">
        <f t="shared" si="695"/>
        <v>_low_2_</v>
      </c>
      <c r="DC48" s="37">
        <v>20</v>
      </c>
      <c r="DD48" s="37">
        <v>20</v>
      </c>
      <c r="DE48" s="37">
        <v>20</v>
      </c>
      <c r="DF48" s="37">
        <v>20</v>
      </c>
      <c r="DG48" s="37">
        <v>1</v>
      </c>
      <c r="DJ48" s="37" t="str">
        <f t="shared" ref="DJ48:DN48" si="696">VLOOKUP(DJ103,$B$114:$C$126,2,FALSE)</f>
        <v>_HIG_3_</v>
      </c>
      <c r="DK48" s="37" t="str">
        <f t="shared" si="696"/>
        <v>_HIG_3_</v>
      </c>
      <c r="DL48" s="37" t="str">
        <f t="shared" si="696"/>
        <v>_JOK_1_</v>
      </c>
      <c r="DM48" s="37" t="str">
        <f t="shared" si="696"/>
        <v>_low_1_</v>
      </c>
      <c r="DN48" s="37" t="str">
        <f t="shared" si="696"/>
        <v>_low_2_</v>
      </c>
      <c r="DQ48" s="37">
        <v>20</v>
      </c>
      <c r="DR48" s="37">
        <v>20</v>
      </c>
      <c r="DS48" s="37">
        <v>20</v>
      </c>
      <c r="DT48" s="37">
        <v>20</v>
      </c>
      <c r="DU48" s="37">
        <v>1</v>
      </c>
      <c r="DX48" s="37" t="str">
        <f t="shared" ref="DX48:EB48" si="697">VLOOKUP(DX103,$B$114:$C$126,2,FALSE)</f>
        <v>_HIG_3_</v>
      </c>
      <c r="DY48" s="37" t="str">
        <f t="shared" si="697"/>
        <v>_HIG_3_</v>
      </c>
      <c r="DZ48" s="37" t="str">
        <f t="shared" si="697"/>
        <v>_JOK_1_</v>
      </c>
      <c r="EA48" s="37" t="str">
        <f t="shared" si="697"/>
        <v>_low_1_</v>
      </c>
      <c r="EB48" s="37" t="str">
        <f t="shared" si="697"/>
        <v>_low_2_</v>
      </c>
      <c r="EE48" s="37">
        <v>20</v>
      </c>
      <c r="EF48" s="37">
        <v>20</v>
      </c>
      <c r="EG48" s="37">
        <v>20</v>
      </c>
      <c r="EH48" s="37">
        <v>20</v>
      </c>
      <c r="EI48" s="37">
        <v>1</v>
      </c>
      <c r="EL48" s="37" t="str">
        <f t="shared" ref="EL48:EP48" si="698">VLOOKUP(EL103,$B$114:$C$126,2,FALSE)</f>
        <v>_HIG_3_</v>
      </c>
      <c r="EM48" s="37" t="str">
        <f t="shared" si="698"/>
        <v>_HIG_3_</v>
      </c>
      <c r="EN48" s="37" t="str">
        <f t="shared" si="698"/>
        <v>_JOK_1_</v>
      </c>
      <c r="EO48" s="37" t="str">
        <f t="shared" si="698"/>
        <v>_low_1_</v>
      </c>
      <c r="EP48" s="37" t="str">
        <f t="shared" si="698"/>
        <v>_low_2_</v>
      </c>
      <c r="ES48" s="37">
        <v>20</v>
      </c>
      <c r="ET48" s="37">
        <v>20</v>
      </c>
      <c r="EU48" s="37">
        <v>20</v>
      </c>
      <c r="EV48" s="37">
        <v>20</v>
      </c>
      <c r="EW48" s="37">
        <v>1</v>
      </c>
      <c r="EZ48" s="37" t="str">
        <f t="shared" ref="EZ48:FD48" si="699">VLOOKUP(EZ103,$B$114:$C$126,2,FALSE)</f>
        <v>_HIG_3_</v>
      </c>
      <c r="FA48" s="37" t="str">
        <f t="shared" si="699"/>
        <v>_HIG_3_</v>
      </c>
      <c r="FB48" s="37" t="str">
        <f t="shared" si="699"/>
        <v>_JOK_1_</v>
      </c>
      <c r="FC48" s="37" t="str">
        <f t="shared" si="699"/>
        <v>_low_1_</v>
      </c>
      <c r="FD48" s="37" t="str">
        <f t="shared" si="699"/>
        <v>_low_2_</v>
      </c>
      <c r="FG48" s="37">
        <v>20</v>
      </c>
      <c r="FH48" s="37">
        <v>20</v>
      </c>
      <c r="FI48" s="37">
        <v>20</v>
      </c>
      <c r="FJ48" s="37">
        <v>20</v>
      </c>
      <c r="FK48" s="37">
        <v>1</v>
      </c>
      <c r="FN48" s="37" t="str">
        <f t="shared" ref="FN48:FR48" si="700">VLOOKUP(FN103,$B$114:$C$126,2,FALSE)</f>
        <v>_HIG_3_</v>
      </c>
      <c r="FO48" s="37" t="str">
        <f t="shared" si="700"/>
        <v>_HIG_3_</v>
      </c>
      <c r="FP48" s="37" t="str">
        <f t="shared" si="700"/>
        <v>_JOK_1_</v>
      </c>
      <c r="FQ48" s="37" t="str">
        <f t="shared" si="700"/>
        <v>_low_1_</v>
      </c>
      <c r="FR48" s="37" t="str">
        <f t="shared" si="700"/>
        <v>_low_2_</v>
      </c>
      <c r="FU48" s="37">
        <v>20</v>
      </c>
      <c r="FV48" s="37">
        <v>20</v>
      </c>
      <c r="FW48" s="37">
        <v>20</v>
      </c>
      <c r="FX48" s="37">
        <v>20</v>
      </c>
      <c r="FY48" s="37">
        <v>1</v>
      </c>
      <c r="GB48" s="37" t="str">
        <f t="shared" ref="GB48:GF48" si="701">VLOOKUP(GB103,$B$114:$C$126,2,FALSE)</f>
        <v>_HIG_3_</v>
      </c>
      <c r="GC48" s="37" t="str">
        <f t="shared" si="701"/>
        <v>_HIG_3_</v>
      </c>
      <c r="GD48" s="37" t="str">
        <f t="shared" si="701"/>
        <v>_JOK_1_</v>
      </c>
      <c r="GE48" s="37" t="str">
        <f t="shared" si="701"/>
        <v>_low_1_</v>
      </c>
      <c r="GF48" s="37" t="str">
        <f t="shared" si="701"/>
        <v>_low_2_</v>
      </c>
      <c r="GI48" s="37">
        <v>20</v>
      </c>
      <c r="GJ48" s="37">
        <v>20</v>
      </c>
      <c r="GK48" s="37">
        <v>20</v>
      </c>
      <c r="GL48" s="37">
        <v>20</v>
      </c>
      <c r="GM48" s="37">
        <v>1</v>
      </c>
      <c r="GP48" s="37" t="str">
        <f t="shared" ref="GP48:GT48" si="702">VLOOKUP(GP103,$B$114:$C$126,2,FALSE)</f>
        <v>_HIG_3_</v>
      </c>
      <c r="GQ48" s="37" t="str">
        <f t="shared" si="702"/>
        <v>_HIG_3_</v>
      </c>
      <c r="GR48" s="37" t="str">
        <f t="shared" si="702"/>
        <v>_JOK_1_</v>
      </c>
      <c r="GS48" s="37" t="str">
        <f t="shared" si="702"/>
        <v>_low_1_</v>
      </c>
      <c r="GT48" s="37" t="str">
        <f t="shared" si="702"/>
        <v>_low_2_</v>
      </c>
      <c r="GW48" s="37">
        <v>20</v>
      </c>
      <c r="GX48" s="37">
        <v>20</v>
      </c>
      <c r="GY48" s="37">
        <v>20</v>
      </c>
      <c r="GZ48" s="37">
        <v>20</v>
      </c>
      <c r="HA48" s="37">
        <v>1</v>
      </c>
      <c r="HD48" s="37" t="str">
        <f t="shared" ref="HD48:HH48" si="703">VLOOKUP(HD103,$B$114:$C$126,2,FALSE)</f>
        <v>_HIG_3_</v>
      </c>
      <c r="HE48" s="37" t="str">
        <f t="shared" si="703"/>
        <v>_HIG_3_</v>
      </c>
      <c r="HF48" s="37" t="str">
        <f t="shared" si="703"/>
        <v>_JOK_1_</v>
      </c>
      <c r="HG48" s="37" t="str">
        <f t="shared" si="703"/>
        <v>_low_1_</v>
      </c>
      <c r="HH48" s="37" t="str">
        <f t="shared" si="703"/>
        <v>_low_2_</v>
      </c>
      <c r="HK48" s="37">
        <v>20</v>
      </c>
      <c r="HL48" s="37">
        <v>20</v>
      </c>
      <c r="HM48" s="37">
        <v>20</v>
      </c>
      <c r="HN48" s="37">
        <v>20</v>
      </c>
      <c r="HO48" s="37">
        <v>1</v>
      </c>
    </row>
    <row r="49" spans="1:223" x14ac:dyDescent="0.35">
      <c r="A49" s="37">
        <v>45</v>
      </c>
      <c r="B49" s="37" t="str">
        <f t="shared" ref="B49:F49" si="704">VLOOKUP(B104,$B$114:$C$126,2,FALSE)</f>
        <v>_low_1_</v>
      </c>
      <c r="C49" s="37" t="str">
        <f t="shared" si="704"/>
        <v>_low_5_</v>
      </c>
      <c r="D49" s="37" t="str">
        <f t="shared" si="704"/>
        <v>_JOK_1_</v>
      </c>
      <c r="E49" s="37" t="str">
        <f t="shared" si="704"/>
        <v>_HIG_2_</v>
      </c>
      <c r="F49" s="37" t="str">
        <f t="shared" si="704"/>
        <v>_HIG_3_</v>
      </c>
      <c r="I49" s="60">
        <v>20</v>
      </c>
      <c r="J49" s="60">
        <v>20</v>
      </c>
      <c r="K49" s="60">
        <v>20</v>
      </c>
      <c r="L49" s="60">
        <v>20</v>
      </c>
      <c r="M49" s="60">
        <v>20</v>
      </c>
      <c r="P49" s="37" t="str">
        <f t="shared" ref="P49:T49" si="705">VLOOKUP(P104,$B$114:$C$126,2,FALSE)</f>
        <v>_low_1_</v>
      </c>
      <c r="Q49" s="37" t="str">
        <f t="shared" si="705"/>
        <v>_low_5_</v>
      </c>
      <c r="R49" s="37" t="str">
        <f t="shared" si="705"/>
        <v>_JOK_1_</v>
      </c>
      <c r="S49" s="37" t="str">
        <f t="shared" si="705"/>
        <v>_HIG_2_</v>
      </c>
      <c r="T49" s="37" t="str">
        <f t="shared" si="705"/>
        <v>_HIG_3_</v>
      </c>
      <c r="W49" s="37">
        <v>20</v>
      </c>
      <c r="X49" s="37">
        <v>20</v>
      </c>
      <c r="Y49" s="37">
        <v>20</v>
      </c>
      <c r="Z49" s="37">
        <v>20</v>
      </c>
      <c r="AA49" s="37">
        <v>20</v>
      </c>
      <c r="AD49" s="37" t="str">
        <f t="shared" ref="AD49:AH49" si="706">VLOOKUP(AD104,$B$114:$C$126,2,FALSE)</f>
        <v>_low_1_</v>
      </c>
      <c r="AE49" s="37" t="str">
        <f t="shared" si="706"/>
        <v>_low_5_</v>
      </c>
      <c r="AF49" s="37" t="str">
        <f t="shared" si="706"/>
        <v>_JOK_1_</v>
      </c>
      <c r="AG49" s="37" t="str">
        <f t="shared" si="706"/>
        <v>_HIG_2_</v>
      </c>
      <c r="AH49" s="37" t="str">
        <f t="shared" si="706"/>
        <v>_HIG_3_</v>
      </c>
      <c r="AK49" s="37">
        <v>20</v>
      </c>
      <c r="AL49" s="37">
        <v>20</v>
      </c>
      <c r="AM49" s="37">
        <v>20</v>
      </c>
      <c r="AN49" s="37">
        <v>20</v>
      </c>
      <c r="AO49" s="37">
        <v>20</v>
      </c>
      <c r="AR49" s="37" t="str">
        <f t="shared" ref="AR49:AV49" si="707">VLOOKUP(AR104,$B$114:$C$126,2,FALSE)</f>
        <v>_low_1_</v>
      </c>
      <c r="AS49" s="37" t="str">
        <f t="shared" si="707"/>
        <v>_low_5_</v>
      </c>
      <c r="AT49" s="37" t="str">
        <f t="shared" si="707"/>
        <v>_JOK_1_</v>
      </c>
      <c r="AU49" s="37" t="str">
        <f t="shared" si="707"/>
        <v>_HIG_2_</v>
      </c>
      <c r="AV49" s="37" t="str">
        <f t="shared" si="707"/>
        <v>_HIG_3_</v>
      </c>
      <c r="AY49" s="37">
        <v>20</v>
      </c>
      <c r="AZ49" s="37">
        <v>20</v>
      </c>
      <c r="BA49" s="37">
        <v>20</v>
      </c>
      <c r="BB49" s="37">
        <v>20</v>
      </c>
      <c r="BC49" s="37">
        <v>20</v>
      </c>
      <c r="BF49" s="37" t="str">
        <f t="shared" ref="BF49:BJ49" si="708">VLOOKUP(BF104,$B$114:$C$126,2,FALSE)</f>
        <v>_low_1_</v>
      </c>
      <c r="BG49" s="37" t="str">
        <f t="shared" si="708"/>
        <v>_low_5_</v>
      </c>
      <c r="BH49" s="37" t="str">
        <f t="shared" si="708"/>
        <v>_JOK_1_</v>
      </c>
      <c r="BI49" s="37" t="str">
        <f t="shared" si="708"/>
        <v>_HIG_2_</v>
      </c>
      <c r="BJ49" s="37" t="str">
        <f t="shared" si="708"/>
        <v>_HIG_3_</v>
      </c>
      <c r="BM49" s="37">
        <v>20</v>
      </c>
      <c r="BN49" s="37">
        <v>20</v>
      </c>
      <c r="BO49" s="37">
        <v>20</v>
      </c>
      <c r="BP49" s="37">
        <v>20</v>
      </c>
      <c r="BQ49" s="37">
        <v>20</v>
      </c>
      <c r="BT49" s="37" t="str">
        <f t="shared" ref="BT49:BX49" si="709">VLOOKUP(BT104,$B$114:$C$126,2,FALSE)</f>
        <v>_low_1_</v>
      </c>
      <c r="BU49" s="37" t="str">
        <f t="shared" si="709"/>
        <v>_low_5_</v>
      </c>
      <c r="BV49" s="37" t="str">
        <f t="shared" si="709"/>
        <v>_JOK_1_</v>
      </c>
      <c r="BW49" s="37" t="str">
        <f t="shared" si="709"/>
        <v>_HIG_2_</v>
      </c>
      <c r="BX49" s="37" t="str">
        <f t="shared" si="709"/>
        <v>_HIG_3_</v>
      </c>
      <c r="CA49" s="37">
        <v>20</v>
      </c>
      <c r="CB49" s="37">
        <v>20</v>
      </c>
      <c r="CC49" s="37">
        <v>20</v>
      </c>
      <c r="CD49" s="37">
        <v>20</v>
      </c>
      <c r="CE49" s="37">
        <v>20</v>
      </c>
      <c r="CH49" s="37" t="str">
        <f t="shared" ref="CH49:CL49" si="710">VLOOKUP(CH104,$B$114:$C$126,2,FALSE)</f>
        <v>_low_1_</v>
      </c>
      <c r="CI49" s="37" t="str">
        <f t="shared" si="710"/>
        <v>_low_5_</v>
      </c>
      <c r="CJ49" s="37" t="str">
        <f t="shared" si="710"/>
        <v>_JOK_1_</v>
      </c>
      <c r="CK49" s="37" t="str">
        <f t="shared" si="710"/>
        <v>_HIG_2_</v>
      </c>
      <c r="CL49" s="37" t="str">
        <f t="shared" si="710"/>
        <v>_HIG_3_</v>
      </c>
      <c r="CO49" s="37">
        <v>20</v>
      </c>
      <c r="CP49" s="37">
        <v>20</v>
      </c>
      <c r="CQ49" s="37">
        <v>20</v>
      </c>
      <c r="CR49" s="37">
        <v>20</v>
      </c>
      <c r="CS49" s="37">
        <v>20</v>
      </c>
      <c r="CV49" s="37" t="str">
        <f t="shared" ref="CV49:CZ49" si="711">VLOOKUP(CV104,$B$114:$C$126,2,FALSE)</f>
        <v>_low_1_</v>
      </c>
      <c r="CW49" s="37" t="str">
        <f t="shared" si="711"/>
        <v>_low_5_</v>
      </c>
      <c r="CX49" s="37" t="str">
        <f t="shared" si="711"/>
        <v>_JOK_1_</v>
      </c>
      <c r="CY49" s="37" t="str">
        <f t="shared" si="711"/>
        <v>_HIG_2_</v>
      </c>
      <c r="CZ49" s="37" t="str">
        <f t="shared" si="711"/>
        <v>_HIG_3_</v>
      </c>
      <c r="DC49" s="37">
        <v>20</v>
      </c>
      <c r="DD49" s="37">
        <v>20</v>
      </c>
      <c r="DE49" s="37">
        <v>20</v>
      </c>
      <c r="DF49" s="37">
        <v>20</v>
      </c>
      <c r="DG49" s="37">
        <v>20</v>
      </c>
      <c r="DJ49" s="37" t="str">
        <f t="shared" ref="DJ49:DN49" si="712">VLOOKUP(DJ104,$B$114:$C$126,2,FALSE)</f>
        <v>_low_1_</v>
      </c>
      <c r="DK49" s="37" t="str">
        <f t="shared" si="712"/>
        <v>_low_5_</v>
      </c>
      <c r="DL49" s="37" t="str">
        <f t="shared" si="712"/>
        <v>_JOK_1_</v>
      </c>
      <c r="DM49" s="37" t="str">
        <f t="shared" si="712"/>
        <v>_HIG_2_</v>
      </c>
      <c r="DN49" s="37" t="str">
        <f t="shared" si="712"/>
        <v>_HIG_3_</v>
      </c>
      <c r="DQ49" s="37">
        <v>20</v>
      </c>
      <c r="DR49" s="37">
        <v>20</v>
      </c>
      <c r="DS49" s="37">
        <v>20</v>
      </c>
      <c r="DT49" s="37">
        <v>20</v>
      </c>
      <c r="DU49" s="37">
        <v>20</v>
      </c>
      <c r="DX49" s="37" t="str">
        <f t="shared" ref="DX49:EB49" si="713">VLOOKUP(DX104,$B$114:$C$126,2,FALSE)</f>
        <v>_low_1_</v>
      </c>
      <c r="DY49" s="37" t="str">
        <f t="shared" si="713"/>
        <v>_low_5_</v>
      </c>
      <c r="DZ49" s="37" t="str">
        <f t="shared" si="713"/>
        <v>_JOK_1_</v>
      </c>
      <c r="EA49" s="37" t="str">
        <f t="shared" si="713"/>
        <v>_HIG_2_</v>
      </c>
      <c r="EB49" s="37" t="str">
        <f t="shared" si="713"/>
        <v>_HIG_3_</v>
      </c>
      <c r="EE49" s="37">
        <v>20</v>
      </c>
      <c r="EF49" s="37">
        <v>20</v>
      </c>
      <c r="EG49" s="37">
        <v>20</v>
      </c>
      <c r="EH49" s="37">
        <v>20</v>
      </c>
      <c r="EI49" s="37">
        <v>20</v>
      </c>
      <c r="EL49" s="37" t="str">
        <f t="shared" ref="EL49:EP49" si="714">VLOOKUP(EL104,$B$114:$C$126,2,FALSE)</f>
        <v>_low_1_</v>
      </c>
      <c r="EM49" s="37" t="str">
        <f t="shared" si="714"/>
        <v>_low_5_</v>
      </c>
      <c r="EN49" s="37" t="str">
        <f t="shared" si="714"/>
        <v>_JOK_1_</v>
      </c>
      <c r="EO49" s="37" t="str">
        <f t="shared" si="714"/>
        <v>_HIG_2_</v>
      </c>
      <c r="EP49" s="37" t="str">
        <f t="shared" si="714"/>
        <v>_HIG_3_</v>
      </c>
      <c r="ES49" s="37">
        <v>20</v>
      </c>
      <c r="ET49" s="37">
        <v>20</v>
      </c>
      <c r="EU49" s="37">
        <v>20</v>
      </c>
      <c r="EV49" s="37">
        <v>20</v>
      </c>
      <c r="EW49" s="37">
        <v>20</v>
      </c>
      <c r="EZ49" s="37" t="str">
        <f t="shared" ref="EZ49:FD49" si="715">VLOOKUP(EZ104,$B$114:$C$126,2,FALSE)</f>
        <v>_low_1_</v>
      </c>
      <c r="FA49" s="37" t="str">
        <f t="shared" si="715"/>
        <v>_low_5_</v>
      </c>
      <c r="FB49" s="37" t="str">
        <f t="shared" si="715"/>
        <v>_JOK_1_</v>
      </c>
      <c r="FC49" s="37" t="str">
        <f t="shared" si="715"/>
        <v>_HIG_2_</v>
      </c>
      <c r="FD49" s="37" t="str">
        <f t="shared" si="715"/>
        <v>_HIG_3_</v>
      </c>
      <c r="FG49" s="37">
        <v>20</v>
      </c>
      <c r="FH49" s="37">
        <v>20</v>
      </c>
      <c r="FI49" s="37">
        <v>20</v>
      </c>
      <c r="FJ49" s="37">
        <v>20</v>
      </c>
      <c r="FK49" s="37">
        <v>20</v>
      </c>
      <c r="FN49" s="37" t="str">
        <f t="shared" ref="FN49:FR49" si="716">VLOOKUP(FN104,$B$114:$C$126,2,FALSE)</f>
        <v>_low_1_</v>
      </c>
      <c r="FO49" s="37" t="str">
        <f t="shared" si="716"/>
        <v>_low_5_</v>
      </c>
      <c r="FP49" s="37" t="str">
        <f t="shared" si="716"/>
        <v>_JOK_1_</v>
      </c>
      <c r="FQ49" s="37" t="str">
        <f t="shared" si="716"/>
        <v>_HIG_2_</v>
      </c>
      <c r="FR49" s="37" t="str">
        <f t="shared" si="716"/>
        <v>_HIG_3_</v>
      </c>
      <c r="FU49" s="37">
        <v>20</v>
      </c>
      <c r="FV49" s="37">
        <v>20</v>
      </c>
      <c r="FW49" s="37">
        <v>20</v>
      </c>
      <c r="FX49" s="37">
        <v>20</v>
      </c>
      <c r="FY49" s="37">
        <v>20</v>
      </c>
      <c r="GB49" s="37" t="str">
        <f t="shared" ref="GB49:GF49" si="717">VLOOKUP(GB104,$B$114:$C$126,2,FALSE)</f>
        <v>_low_1_</v>
      </c>
      <c r="GC49" s="37" t="str">
        <f t="shared" si="717"/>
        <v>_low_5_</v>
      </c>
      <c r="GD49" s="37" t="str">
        <f t="shared" si="717"/>
        <v>_JOK_1_</v>
      </c>
      <c r="GE49" s="37" t="str">
        <f t="shared" si="717"/>
        <v>_HIG_2_</v>
      </c>
      <c r="GF49" s="37" t="str">
        <f t="shared" si="717"/>
        <v>_HIG_3_</v>
      </c>
      <c r="GI49" s="37">
        <v>20</v>
      </c>
      <c r="GJ49" s="37">
        <v>20</v>
      </c>
      <c r="GK49" s="37">
        <v>20</v>
      </c>
      <c r="GL49" s="37">
        <v>20</v>
      </c>
      <c r="GM49" s="37">
        <v>20</v>
      </c>
      <c r="GP49" s="37" t="str">
        <f t="shared" ref="GP49:GT49" si="718">VLOOKUP(GP104,$B$114:$C$126,2,FALSE)</f>
        <v>_low_1_</v>
      </c>
      <c r="GQ49" s="37" t="str">
        <f t="shared" si="718"/>
        <v>_low_5_</v>
      </c>
      <c r="GR49" s="37" t="str">
        <f t="shared" si="718"/>
        <v>_JOK_1_</v>
      </c>
      <c r="GS49" s="37" t="str">
        <f t="shared" si="718"/>
        <v>_HIG_2_</v>
      </c>
      <c r="GT49" s="37" t="str">
        <f t="shared" si="718"/>
        <v>_HIG_3_</v>
      </c>
      <c r="GW49" s="37">
        <v>20</v>
      </c>
      <c r="GX49" s="37">
        <v>20</v>
      </c>
      <c r="GY49" s="37">
        <v>20</v>
      </c>
      <c r="GZ49" s="37">
        <v>20</v>
      </c>
      <c r="HA49" s="37">
        <v>20</v>
      </c>
      <c r="HD49" s="37" t="str">
        <f t="shared" ref="HD49:HH49" si="719">VLOOKUP(HD104,$B$114:$C$126,2,FALSE)</f>
        <v>_low_1_</v>
      </c>
      <c r="HE49" s="37" t="str">
        <f t="shared" si="719"/>
        <v>_low_5_</v>
      </c>
      <c r="HF49" s="37" t="str">
        <f t="shared" si="719"/>
        <v>_JOK_1_</v>
      </c>
      <c r="HG49" s="37" t="str">
        <f t="shared" si="719"/>
        <v>_HIG_2_</v>
      </c>
      <c r="HH49" s="37" t="str">
        <f t="shared" si="719"/>
        <v>_HIG_3_</v>
      </c>
      <c r="HK49" s="37">
        <v>20</v>
      </c>
      <c r="HL49" s="37">
        <v>20</v>
      </c>
      <c r="HM49" s="37">
        <v>20</v>
      </c>
      <c r="HN49" s="37">
        <v>20</v>
      </c>
      <c r="HO49" s="37">
        <v>20</v>
      </c>
    </row>
    <row r="50" spans="1:223" x14ac:dyDescent="0.35">
      <c r="A50" s="37">
        <v>46</v>
      </c>
      <c r="B50" s="37" t="str">
        <f t="shared" ref="B50:F50" si="720">VLOOKUP(B105,$B$114:$C$126,2,FALSE)</f>
        <v>_low_5_</v>
      </c>
      <c r="C50" s="37" t="str">
        <f t="shared" si="720"/>
        <v>_HIG_4_</v>
      </c>
      <c r="D50" s="37" t="str">
        <f t="shared" si="720"/>
        <v>_low_1_</v>
      </c>
      <c r="E50" s="37" t="str">
        <f t="shared" si="720"/>
        <v>_low_5_</v>
      </c>
      <c r="F50" s="37" t="str">
        <f t="shared" si="720"/>
        <v>_low_1_</v>
      </c>
      <c r="I50" s="60">
        <v>20</v>
      </c>
      <c r="J50" s="60">
        <v>20</v>
      </c>
      <c r="K50" s="60">
        <v>1</v>
      </c>
      <c r="L50" s="60">
        <v>20</v>
      </c>
      <c r="M50" s="60">
        <v>1</v>
      </c>
      <c r="P50" s="37" t="str">
        <f t="shared" ref="P50:T50" si="721">VLOOKUP(P105,$B$114:$C$126,2,FALSE)</f>
        <v>_low_5_</v>
      </c>
      <c r="Q50" s="37" t="str">
        <f t="shared" si="721"/>
        <v>_HIG_4_</v>
      </c>
      <c r="R50" s="37" t="str">
        <f t="shared" si="721"/>
        <v>_low_1_</v>
      </c>
      <c r="S50" s="37" t="str">
        <f t="shared" si="721"/>
        <v>_low_5_</v>
      </c>
      <c r="T50" s="37" t="str">
        <f t="shared" si="721"/>
        <v>_low_1_</v>
      </c>
      <c r="W50" s="37">
        <v>20</v>
      </c>
      <c r="X50" s="37">
        <v>20</v>
      </c>
      <c r="Y50" s="37">
        <v>1</v>
      </c>
      <c r="Z50" s="37">
        <v>20</v>
      </c>
      <c r="AA50" s="37">
        <v>2000</v>
      </c>
      <c r="AD50" s="37" t="str">
        <f t="shared" ref="AD50:AH50" si="722">VLOOKUP(AD105,$B$114:$C$126,2,FALSE)</f>
        <v>_low_5_</v>
      </c>
      <c r="AE50" s="37" t="str">
        <f t="shared" si="722"/>
        <v>_HIG_4_</v>
      </c>
      <c r="AF50" s="37" t="str">
        <f t="shared" si="722"/>
        <v>_low_1_</v>
      </c>
      <c r="AG50" s="37" t="str">
        <f t="shared" si="722"/>
        <v>_low_5_</v>
      </c>
      <c r="AH50" s="37" t="str">
        <f t="shared" si="722"/>
        <v>_low_1_</v>
      </c>
      <c r="AK50" s="37">
        <v>20</v>
      </c>
      <c r="AL50" s="37">
        <v>20</v>
      </c>
      <c r="AM50" s="37">
        <v>1</v>
      </c>
      <c r="AN50" s="37">
        <v>20</v>
      </c>
      <c r="AO50" s="37">
        <v>1</v>
      </c>
      <c r="AR50" s="37" t="str">
        <f t="shared" ref="AR50:AV50" si="723">VLOOKUP(AR105,$B$114:$C$126,2,FALSE)</f>
        <v>_low_5_</v>
      </c>
      <c r="AS50" s="37" t="str">
        <f t="shared" si="723"/>
        <v>_HIG_4_</v>
      </c>
      <c r="AT50" s="37" t="str">
        <f t="shared" si="723"/>
        <v>_low_1_</v>
      </c>
      <c r="AU50" s="37" t="str">
        <f t="shared" si="723"/>
        <v>_low_5_</v>
      </c>
      <c r="AV50" s="37" t="str">
        <f t="shared" si="723"/>
        <v>_low_1_</v>
      </c>
      <c r="AY50" s="37">
        <v>20</v>
      </c>
      <c r="AZ50" s="37">
        <v>20</v>
      </c>
      <c r="BA50" s="37">
        <v>1</v>
      </c>
      <c r="BB50" s="37">
        <v>20</v>
      </c>
      <c r="BC50" s="37">
        <v>1</v>
      </c>
      <c r="BF50" s="37" t="str">
        <f t="shared" ref="BF50:BJ50" si="724">VLOOKUP(BF105,$B$114:$C$126,2,FALSE)</f>
        <v>_low_5_</v>
      </c>
      <c r="BG50" s="37" t="str">
        <f t="shared" si="724"/>
        <v>_HIG_4_</v>
      </c>
      <c r="BH50" s="37" t="str">
        <f t="shared" si="724"/>
        <v>_low_1_</v>
      </c>
      <c r="BI50" s="37" t="str">
        <f t="shared" si="724"/>
        <v>_low_5_</v>
      </c>
      <c r="BJ50" s="37" t="str">
        <f t="shared" si="724"/>
        <v>_low_1_</v>
      </c>
      <c r="BM50" s="37">
        <v>20</v>
      </c>
      <c r="BN50" s="37">
        <v>20</v>
      </c>
      <c r="BO50" s="37">
        <v>1</v>
      </c>
      <c r="BP50" s="37">
        <v>20</v>
      </c>
      <c r="BQ50" s="37">
        <v>5000</v>
      </c>
      <c r="BT50" s="37" t="str">
        <f t="shared" ref="BT50:BX50" si="725">VLOOKUP(BT105,$B$114:$C$126,2,FALSE)</f>
        <v>_low_5_</v>
      </c>
      <c r="BU50" s="37" t="str">
        <f t="shared" si="725"/>
        <v>_HIG_4_</v>
      </c>
      <c r="BV50" s="37" t="str">
        <f t="shared" si="725"/>
        <v>_low_1_</v>
      </c>
      <c r="BW50" s="37" t="str">
        <f t="shared" si="725"/>
        <v>_low_5_</v>
      </c>
      <c r="BX50" s="37" t="str">
        <f t="shared" si="725"/>
        <v>_low_1_</v>
      </c>
      <c r="CA50" s="37">
        <v>20</v>
      </c>
      <c r="CB50" s="37">
        <v>20</v>
      </c>
      <c r="CC50" s="37">
        <v>1</v>
      </c>
      <c r="CD50" s="37">
        <v>20</v>
      </c>
      <c r="CE50" s="37">
        <v>4000</v>
      </c>
      <c r="CH50" s="37" t="str">
        <f t="shared" ref="CH50:CL50" si="726">VLOOKUP(CH105,$B$114:$C$126,2,FALSE)</f>
        <v>_low_5_</v>
      </c>
      <c r="CI50" s="37" t="str">
        <f t="shared" si="726"/>
        <v>_HIG_4_</v>
      </c>
      <c r="CJ50" s="37" t="str">
        <f t="shared" si="726"/>
        <v>_low_1_</v>
      </c>
      <c r="CK50" s="37" t="str">
        <f t="shared" si="726"/>
        <v>_low_5_</v>
      </c>
      <c r="CL50" s="37" t="str">
        <f t="shared" si="726"/>
        <v>_low_1_</v>
      </c>
      <c r="CO50" s="37">
        <v>20</v>
      </c>
      <c r="CP50" s="37">
        <v>20</v>
      </c>
      <c r="CQ50" s="37">
        <v>1</v>
      </c>
      <c r="CR50" s="37">
        <v>20</v>
      </c>
      <c r="CS50" s="37">
        <v>4000</v>
      </c>
      <c r="CV50" s="37" t="str">
        <f t="shared" ref="CV50:CZ50" si="727">VLOOKUP(CV105,$B$114:$C$126,2,FALSE)</f>
        <v>_low_5_</v>
      </c>
      <c r="CW50" s="37" t="str">
        <f t="shared" si="727"/>
        <v>_HIG_4_</v>
      </c>
      <c r="CX50" s="37" t="str">
        <f t="shared" si="727"/>
        <v>_low_1_</v>
      </c>
      <c r="CY50" s="37" t="str">
        <f t="shared" si="727"/>
        <v>_low_5_</v>
      </c>
      <c r="CZ50" s="37" t="str">
        <f t="shared" si="727"/>
        <v>_low_1_</v>
      </c>
      <c r="DC50" s="37">
        <v>20</v>
      </c>
      <c r="DD50" s="37">
        <v>20</v>
      </c>
      <c r="DE50" s="37">
        <v>1</v>
      </c>
      <c r="DF50" s="37">
        <v>20</v>
      </c>
      <c r="DG50" s="37">
        <v>1</v>
      </c>
      <c r="DJ50" s="37" t="str">
        <f t="shared" ref="DJ50:DN50" si="728">VLOOKUP(DJ105,$B$114:$C$126,2,FALSE)</f>
        <v>_low_5_</v>
      </c>
      <c r="DK50" s="37" t="str">
        <f t="shared" si="728"/>
        <v>_HIG_4_</v>
      </c>
      <c r="DL50" s="37" t="str">
        <f t="shared" si="728"/>
        <v>_low_1_</v>
      </c>
      <c r="DM50" s="37" t="str">
        <f t="shared" si="728"/>
        <v>_low_5_</v>
      </c>
      <c r="DN50" s="37" t="str">
        <f t="shared" si="728"/>
        <v>_low_1_</v>
      </c>
      <c r="DQ50" s="37">
        <v>20</v>
      </c>
      <c r="DR50" s="37">
        <v>20</v>
      </c>
      <c r="DS50" s="37">
        <v>1</v>
      </c>
      <c r="DT50" s="37">
        <v>20</v>
      </c>
      <c r="DU50" s="37">
        <v>4000</v>
      </c>
      <c r="DX50" s="37" t="str">
        <f t="shared" ref="DX50:EB50" si="729">VLOOKUP(DX105,$B$114:$C$126,2,FALSE)</f>
        <v>_low_5_</v>
      </c>
      <c r="DY50" s="37" t="str">
        <f t="shared" si="729"/>
        <v>_HIG_4_</v>
      </c>
      <c r="DZ50" s="37" t="str">
        <f t="shared" si="729"/>
        <v>_low_1_</v>
      </c>
      <c r="EA50" s="37" t="str">
        <f t="shared" si="729"/>
        <v>_low_5_</v>
      </c>
      <c r="EB50" s="37" t="str">
        <f t="shared" si="729"/>
        <v>_low_1_</v>
      </c>
      <c r="EE50" s="37">
        <v>20</v>
      </c>
      <c r="EF50" s="37">
        <v>20</v>
      </c>
      <c r="EG50" s="37">
        <v>1</v>
      </c>
      <c r="EH50" s="37">
        <v>20</v>
      </c>
      <c r="EI50" s="37">
        <v>1</v>
      </c>
      <c r="EL50" s="37" t="str">
        <f t="shared" ref="EL50:EP50" si="730">VLOOKUP(EL105,$B$114:$C$126,2,FALSE)</f>
        <v>_low_5_</v>
      </c>
      <c r="EM50" s="37" t="str">
        <f t="shared" si="730"/>
        <v>_HIG_4_</v>
      </c>
      <c r="EN50" s="37" t="str">
        <f t="shared" si="730"/>
        <v>_low_1_</v>
      </c>
      <c r="EO50" s="37" t="str">
        <f t="shared" si="730"/>
        <v>_low_5_</v>
      </c>
      <c r="EP50" s="37" t="str">
        <f t="shared" si="730"/>
        <v>_low_1_</v>
      </c>
      <c r="ES50" s="37">
        <v>20</v>
      </c>
      <c r="ET50" s="37">
        <v>20</v>
      </c>
      <c r="EU50" s="37">
        <v>1</v>
      </c>
      <c r="EV50" s="37">
        <v>20</v>
      </c>
      <c r="EW50" s="37">
        <v>1</v>
      </c>
      <c r="EZ50" s="37" t="str">
        <f t="shared" ref="EZ50:FD50" si="731">VLOOKUP(EZ105,$B$114:$C$126,2,FALSE)</f>
        <v>_low_5_</v>
      </c>
      <c r="FA50" s="37" t="str">
        <f t="shared" si="731"/>
        <v>_HIG_4_</v>
      </c>
      <c r="FB50" s="37" t="str">
        <f t="shared" si="731"/>
        <v>_low_1_</v>
      </c>
      <c r="FC50" s="37" t="str">
        <f t="shared" si="731"/>
        <v>_low_5_</v>
      </c>
      <c r="FD50" s="37" t="str">
        <f t="shared" si="731"/>
        <v>_low_1_</v>
      </c>
      <c r="FG50" s="37">
        <v>20</v>
      </c>
      <c r="FH50" s="37">
        <v>20</v>
      </c>
      <c r="FI50" s="37">
        <v>1</v>
      </c>
      <c r="FJ50" s="37">
        <v>20</v>
      </c>
      <c r="FK50" s="37">
        <v>1</v>
      </c>
      <c r="FN50" s="37" t="str">
        <f t="shared" ref="FN50:FR50" si="732">VLOOKUP(FN105,$B$114:$C$126,2,FALSE)</f>
        <v>_low_5_</v>
      </c>
      <c r="FO50" s="37" t="str">
        <f t="shared" si="732"/>
        <v>_HIG_4_</v>
      </c>
      <c r="FP50" s="37" t="str">
        <f t="shared" si="732"/>
        <v>_low_1_</v>
      </c>
      <c r="FQ50" s="37" t="str">
        <f t="shared" si="732"/>
        <v>_low_5_</v>
      </c>
      <c r="FR50" s="37" t="str">
        <f t="shared" si="732"/>
        <v>_low_1_</v>
      </c>
      <c r="FU50" s="37">
        <v>20</v>
      </c>
      <c r="FV50" s="37">
        <v>20</v>
      </c>
      <c r="FW50" s="37">
        <v>1</v>
      </c>
      <c r="FX50" s="37">
        <v>20</v>
      </c>
      <c r="FY50" s="37">
        <v>1</v>
      </c>
      <c r="GB50" s="37" t="str">
        <f t="shared" ref="GB50:GF50" si="733">VLOOKUP(GB105,$B$114:$C$126,2,FALSE)</f>
        <v>_low_5_</v>
      </c>
      <c r="GC50" s="37" t="str">
        <f t="shared" si="733"/>
        <v>_HIG_4_</v>
      </c>
      <c r="GD50" s="37" t="str">
        <f t="shared" si="733"/>
        <v>_low_1_</v>
      </c>
      <c r="GE50" s="37" t="str">
        <f t="shared" si="733"/>
        <v>_low_5_</v>
      </c>
      <c r="GF50" s="37" t="str">
        <f t="shared" si="733"/>
        <v>_low_1_</v>
      </c>
      <c r="GI50" s="37">
        <v>20</v>
      </c>
      <c r="GJ50" s="37">
        <v>20</v>
      </c>
      <c r="GK50" s="37">
        <v>1</v>
      </c>
      <c r="GL50" s="37">
        <v>20</v>
      </c>
      <c r="GM50" s="37">
        <v>1</v>
      </c>
      <c r="GP50" s="37" t="str">
        <f t="shared" ref="GP50:GT50" si="734">VLOOKUP(GP105,$B$114:$C$126,2,FALSE)</f>
        <v>_low_5_</v>
      </c>
      <c r="GQ50" s="37" t="str">
        <f t="shared" si="734"/>
        <v>_HIG_4_</v>
      </c>
      <c r="GR50" s="37" t="str">
        <f t="shared" si="734"/>
        <v>_low_1_</v>
      </c>
      <c r="GS50" s="37" t="str">
        <f t="shared" si="734"/>
        <v>_low_5_</v>
      </c>
      <c r="GT50" s="37" t="str">
        <f t="shared" si="734"/>
        <v>_low_1_</v>
      </c>
      <c r="GW50" s="37">
        <v>20</v>
      </c>
      <c r="GX50" s="37">
        <v>20</v>
      </c>
      <c r="GY50" s="37">
        <v>1</v>
      </c>
      <c r="GZ50" s="37">
        <v>20</v>
      </c>
      <c r="HA50" s="37">
        <v>1</v>
      </c>
      <c r="HD50" s="37" t="str">
        <f t="shared" ref="HD50:HH50" si="735">VLOOKUP(HD105,$B$114:$C$126,2,FALSE)</f>
        <v>_low_5_</v>
      </c>
      <c r="HE50" s="37" t="str">
        <f t="shared" si="735"/>
        <v>_HIG_4_</v>
      </c>
      <c r="HF50" s="37" t="str">
        <f t="shared" si="735"/>
        <v>_low_1_</v>
      </c>
      <c r="HG50" s="37" t="str">
        <f t="shared" si="735"/>
        <v>_low_5_</v>
      </c>
      <c r="HH50" s="37" t="str">
        <f t="shared" si="735"/>
        <v>_low_1_</v>
      </c>
      <c r="HK50" s="37">
        <v>20</v>
      </c>
      <c r="HL50" s="37">
        <v>20</v>
      </c>
      <c r="HM50" s="37">
        <v>1</v>
      </c>
      <c r="HN50" s="37">
        <v>20</v>
      </c>
      <c r="HO50" s="37">
        <v>1</v>
      </c>
    </row>
    <row r="51" spans="1:223" x14ac:dyDescent="0.35">
      <c r="A51" s="37">
        <v>47</v>
      </c>
      <c r="B51" s="37" t="str">
        <f t="shared" ref="B51:F51" si="736">VLOOKUP(B106,$B$114:$C$126,2,FALSE)</f>
        <v>_low_3_</v>
      </c>
      <c r="C51" s="37" t="str">
        <f t="shared" si="736"/>
        <v>_low_5_</v>
      </c>
      <c r="D51" s="37" t="str">
        <f t="shared" si="736"/>
        <v>_COI_1_</v>
      </c>
      <c r="E51" s="37" t="str">
        <f t="shared" si="736"/>
        <v>_HIG_3_</v>
      </c>
      <c r="F51" s="37" t="str">
        <f t="shared" si="736"/>
        <v>_COI_1_</v>
      </c>
      <c r="I51" s="60">
        <v>1</v>
      </c>
      <c r="J51" s="60">
        <v>1</v>
      </c>
      <c r="K51" s="60">
        <v>1</v>
      </c>
      <c r="L51" s="60">
        <v>1</v>
      </c>
      <c r="M51" s="60">
        <v>1</v>
      </c>
      <c r="P51" s="37" t="str">
        <f t="shared" ref="P51:T51" si="737">VLOOKUP(P106,$B$114:$C$126,2,FALSE)</f>
        <v>_low_3_</v>
      </c>
      <c r="Q51" s="37" t="str">
        <f t="shared" si="737"/>
        <v>_low_5_</v>
      </c>
      <c r="R51" s="37" t="str">
        <f t="shared" si="737"/>
        <v>_COI_1_</v>
      </c>
      <c r="S51" s="37" t="str">
        <f t="shared" si="737"/>
        <v>_HIG_3_</v>
      </c>
      <c r="T51" s="37" t="str">
        <f t="shared" si="737"/>
        <v>_COI_1_</v>
      </c>
      <c r="W51" s="37">
        <v>1</v>
      </c>
      <c r="X51" s="37">
        <v>1</v>
      </c>
      <c r="Y51" s="37">
        <v>1</v>
      </c>
      <c r="Z51" s="37">
        <v>1</v>
      </c>
      <c r="AA51" s="37">
        <v>2000</v>
      </c>
      <c r="AD51" s="37" t="str">
        <f t="shared" ref="AD51:AH51" si="738">VLOOKUP(AD106,$B$114:$C$126,2,FALSE)</f>
        <v>_low_3_</v>
      </c>
      <c r="AE51" s="37" t="str">
        <f t="shared" si="738"/>
        <v>_low_5_</v>
      </c>
      <c r="AF51" s="37" t="str">
        <f t="shared" si="738"/>
        <v>_COI_1_</v>
      </c>
      <c r="AG51" s="37" t="str">
        <f t="shared" si="738"/>
        <v>_HIG_3_</v>
      </c>
      <c r="AH51" s="37" t="str">
        <f t="shared" si="738"/>
        <v>_COI_1_</v>
      </c>
      <c r="AK51" s="37">
        <v>1</v>
      </c>
      <c r="AL51" s="37">
        <v>1</v>
      </c>
      <c r="AM51" s="37">
        <v>1</v>
      </c>
      <c r="AN51" s="37">
        <v>1</v>
      </c>
      <c r="AO51" s="37">
        <v>1</v>
      </c>
      <c r="AR51" s="37" t="str">
        <f t="shared" ref="AR51:AV51" si="739">VLOOKUP(AR106,$B$114:$C$126,2,FALSE)</f>
        <v>_low_3_</v>
      </c>
      <c r="AS51" s="37" t="str">
        <f t="shared" si="739"/>
        <v>_low_5_</v>
      </c>
      <c r="AT51" s="37" t="str">
        <f t="shared" si="739"/>
        <v>_COI_1_</v>
      </c>
      <c r="AU51" s="37" t="str">
        <f t="shared" si="739"/>
        <v>_HIG_3_</v>
      </c>
      <c r="AV51" s="37" t="str">
        <f t="shared" si="739"/>
        <v>_COI_1_</v>
      </c>
      <c r="AY51" s="37">
        <v>1</v>
      </c>
      <c r="AZ51" s="37">
        <v>1</v>
      </c>
      <c r="BA51" s="37">
        <v>1</v>
      </c>
      <c r="BB51" s="37">
        <v>1</v>
      </c>
      <c r="BC51" s="37">
        <v>1</v>
      </c>
      <c r="BF51" s="37" t="str">
        <f t="shared" ref="BF51:BJ51" si="740">VLOOKUP(BF106,$B$114:$C$126,2,FALSE)</f>
        <v>_low_3_</v>
      </c>
      <c r="BG51" s="37" t="str">
        <f t="shared" si="740"/>
        <v>_low_5_</v>
      </c>
      <c r="BH51" s="37" t="str">
        <f t="shared" si="740"/>
        <v>_COI_1_</v>
      </c>
      <c r="BI51" s="37" t="str">
        <f t="shared" si="740"/>
        <v>_HIG_3_</v>
      </c>
      <c r="BJ51" s="37" t="str">
        <f t="shared" si="740"/>
        <v>_COI_1_</v>
      </c>
      <c r="BM51" s="37">
        <v>1</v>
      </c>
      <c r="BN51" s="37">
        <v>1</v>
      </c>
      <c r="BO51" s="37">
        <v>1</v>
      </c>
      <c r="BP51" s="37">
        <v>1</v>
      </c>
      <c r="BQ51" s="37">
        <v>5000</v>
      </c>
      <c r="BT51" s="37" t="str">
        <f t="shared" ref="BT51:BX51" si="741">VLOOKUP(BT106,$B$114:$C$126,2,FALSE)</f>
        <v>_low_3_</v>
      </c>
      <c r="BU51" s="37" t="str">
        <f t="shared" si="741"/>
        <v>_low_5_</v>
      </c>
      <c r="BV51" s="37" t="str">
        <f t="shared" si="741"/>
        <v>_COI_1_</v>
      </c>
      <c r="BW51" s="37" t="str">
        <f t="shared" si="741"/>
        <v>_HIG_3_</v>
      </c>
      <c r="BX51" s="37" t="str">
        <f t="shared" si="741"/>
        <v>_COI_1_</v>
      </c>
      <c r="CA51" s="37">
        <v>1</v>
      </c>
      <c r="CB51" s="37">
        <v>1</v>
      </c>
      <c r="CC51" s="37">
        <v>4000</v>
      </c>
      <c r="CD51" s="37">
        <v>1</v>
      </c>
      <c r="CE51" s="37">
        <v>4000</v>
      </c>
      <c r="CH51" s="37" t="str">
        <f t="shared" ref="CH51:CL51" si="742">VLOOKUP(CH106,$B$114:$C$126,2,FALSE)</f>
        <v>_low_3_</v>
      </c>
      <c r="CI51" s="37" t="str">
        <f t="shared" si="742"/>
        <v>_low_5_</v>
      </c>
      <c r="CJ51" s="37" t="str">
        <f t="shared" si="742"/>
        <v>_COI_1_</v>
      </c>
      <c r="CK51" s="37" t="str">
        <f t="shared" si="742"/>
        <v>_HIG_3_</v>
      </c>
      <c r="CL51" s="37" t="str">
        <f t="shared" si="742"/>
        <v>_COI_1_</v>
      </c>
      <c r="CO51" s="37">
        <v>1</v>
      </c>
      <c r="CP51" s="37">
        <v>1</v>
      </c>
      <c r="CQ51" s="37">
        <v>1</v>
      </c>
      <c r="CR51" s="37">
        <v>1</v>
      </c>
      <c r="CS51" s="37">
        <v>4000</v>
      </c>
      <c r="CV51" s="37" t="str">
        <f t="shared" ref="CV51:CZ51" si="743">VLOOKUP(CV106,$B$114:$C$126,2,FALSE)</f>
        <v>_low_3_</v>
      </c>
      <c r="CW51" s="37" t="str">
        <f t="shared" si="743"/>
        <v>_low_5_</v>
      </c>
      <c r="CX51" s="37" t="str">
        <f t="shared" si="743"/>
        <v>_COI_1_</v>
      </c>
      <c r="CY51" s="37" t="str">
        <f t="shared" si="743"/>
        <v>_HIG_3_</v>
      </c>
      <c r="CZ51" s="37" t="str">
        <f t="shared" si="743"/>
        <v>_COI_1_</v>
      </c>
      <c r="DC51" s="37">
        <v>1</v>
      </c>
      <c r="DD51" s="37">
        <v>1</v>
      </c>
      <c r="DE51" s="37">
        <v>1</v>
      </c>
      <c r="DF51" s="37">
        <v>1</v>
      </c>
      <c r="DG51" s="37">
        <v>1</v>
      </c>
      <c r="DJ51" s="37" t="str">
        <f t="shared" ref="DJ51:DN51" si="744">VLOOKUP(DJ106,$B$114:$C$126,2,FALSE)</f>
        <v>_low_3_</v>
      </c>
      <c r="DK51" s="37" t="str">
        <f t="shared" si="744"/>
        <v>_low_5_</v>
      </c>
      <c r="DL51" s="37" t="str">
        <f t="shared" si="744"/>
        <v>_COI_1_</v>
      </c>
      <c r="DM51" s="37" t="str">
        <f t="shared" si="744"/>
        <v>_HIG_3_</v>
      </c>
      <c r="DN51" s="37" t="str">
        <f t="shared" si="744"/>
        <v>_COI_1_</v>
      </c>
      <c r="DQ51" s="37">
        <v>1</v>
      </c>
      <c r="DR51" s="37">
        <v>1</v>
      </c>
      <c r="DS51" s="37">
        <v>1</v>
      </c>
      <c r="DT51" s="37">
        <v>1</v>
      </c>
      <c r="DU51" s="37">
        <v>4000</v>
      </c>
      <c r="DX51" s="37" t="str">
        <f t="shared" ref="DX51:EB51" si="745">VLOOKUP(DX106,$B$114:$C$126,2,FALSE)</f>
        <v>_low_3_</v>
      </c>
      <c r="DY51" s="37" t="str">
        <f t="shared" si="745"/>
        <v>_low_5_</v>
      </c>
      <c r="DZ51" s="37" t="str">
        <f t="shared" si="745"/>
        <v>_COI_1_</v>
      </c>
      <c r="EA51" s="37" t="str">
        <f t="shared" si="745"/>
        <v>_HIG_3_</v>
      </c>
      <c r="EB51" s="37" t="str">
        <f t="shared" si="745"/>
        <v>_COI_1_</v>
      </c>
      <c r="EE51" s="37">
        <v>1</v>
      </c>
      <c r="EF51" s="37">
        <v>1</v>
      </c>
      <c r="EG51" s="37">
        <v>8000</v>
      </c>
      <c r="EH51" s="37">
        <v>1</v>
      </c>
      <c r="EI51" s="37">
        <v>1</v>
      </c>
      <c r="EL51" s="37" t="str">
        <f t="shared" ref="EL51:EP51" si="746">VLOOKUP(EL106,$B$114:$C$126,2,FALSE)</f>
        <v>_low_3_</v>
      </c>
      <c r="EM51" s="37" t="str">
        <f t="shared" si="746"/>
        <v>_low_5_</v>
      </c>
      <c r="EN51" s="37" t="str">
        <f t="shared" si="746"/>
        <v>_COI_1_</v>
      </c>
      <c r="EO51" s="37" t="str">
        <f t="shared" si="746"/>
        <v>_HIG_3_</v>
      </c>
      <c r="EP51" s="37" t="str">
        <f t="shared" si="746"/>
        <v>_COI_1_</v>
      </c>
      <c r="ES51" s="37">
        <v>1</v>
      </c>
      <c r="ET51" s="37">
        <v>1</v>
      </c>
      <c r="EU51" s="37">
        <v>2000</v>
      </c>
      <c r="EV51" s="37">
        <v>1</v>
      </c>
      <c r="EW51" s="37">
        <v>1</v>
      </c>
      <c r="EZ51" s="37" t="str">
        <f t="shared" ref="EZ51:FD51" si="747">VLOOKUP(EZ106,$B$114:$C$126,2,FALSE)</f>
        <v>_low_3_</v>
      </c>
      <c r="FA51" s="37" t="str">
        <f t="shared" si="747"/>
        <v>_low_5_</v>
      </c>
      <c r="FB51" s="37" t="str">
        <f t="shared" si="747"/>
        <v>_COI_1_</v>
      </c>
      <c r="FC51" s="37" t="str">
        <f t="shared" si="747"/>
        <v>_HIG_3_</v>
      </c>
      <c r="FD51" s="37" t="str">
        <f t="shared" si="747"/>
        <v>_COI_1_</v>
      </c>
      <c r="FG51" s="37">
        <v>1</v>
      </c>
      <c r="FH51" s="37">
        <v>1</v>
      </c>
      <c r="FI51" s="37">
        <v>8000</v>
      </c>
      <c r="FJ51" s="37">
        <v>1</v>
      </c>
      <c r="FK51" s="37">
        <v>1</v>
      </c>
      <c r="FN51" s="37" t="str">
        <f t="shared" ref="FN51:FR51" si="748">VLOOKUP(FN106,$B$114:$C$126,2,FALSE)</f>
        <v>_low_3_</v>
      </c>
      <c r="FO51" s="37" t="str">
        <f t="shared" si="748"/>
        <v>_low_5_</v>
      </c>
      <c r="FP51" s="37" t="str">
        <f t="shared" si="748"/>
        <v>_COI_1_</v>
      </c>
      <c r="FQ51" s="37" t="str">
        <f t="shared" si="748"/>
        <v>_HIG_3_</v>
      </c>
      <c r="FR51" s="37" t="str">
        <f t="shared" si="748"/>
        <v>_COI_1_</v>
      </c>
      <c r="FU51" s="37">
        <v>1</v>
      </c>
      <c r="FV51" s="37">
        <v>1</v>
      </c>
      <c r="FW51" s="37">
        <v>4000</v>
      </c>
      <c r="FX51" s="37">
        <v>1</v>
      </c>
      <c r="FY51" s="37">
        <v>1</v>
      </c>
      <c r="GB51" s="37" t="str">
        <f t="shared" ref="GB51:GF51" si="749">VLOOKUP(GB106,$B$114:$C$126,2,FALSE)</f>
        <v>_low_3_</v>
      </c>
      <c r="GC51" s="37" t="str">
        <f t="shared" si="749"/>
        <v>_low_5_</v>
      </c>
      <c r="GD51" s="37" t="str">
        <f t="shared" si="749"/>
        <v>_COI_1_</v>
      </c>
      <c r="GE51" s="37" t="str">
        <f t="shared" si="749"/>
        <v>_HIG_3_</v>
      </c>
      <c r="GF51" s="37" t="str">
        <f t="shared" si="749"/>
        <v>_COI_1_</v>
      </c>
      <c r="GI51" s="37">
        <v>1</v>
      </c>
      <c r="GJ51" s="37">
        <v>1</v>
      </c>
      <c r="GK51" s="37">
        <v>1</v>
      </c>
      <c r="GL51" s="37">
        <v>1</v>
      </c>
      <c r="GM51" s="37">
        <v>1</v>
      </c>
      <c r="GP51" s="37" t="str">
        <f t="shared" ref="GP51:GT51" si="750">VLOOKUP(GP106,$B$114:$C$126,2,FALSE)</f>
        <v>_low_3_</v>
      </c>
      <c r="GQ51" s="37" t="str">
        <f t="shared" si="750"/>
        <v>_low_5_</v>
      </c>
      <c r="GR51" s="37" t="str">
        <f t="shared" si="750"/>
        <v>_COI_1_</v>
      </c>
      <c r="GS51" s="37" t="str">
        <f t="shared" si="750"/>
        <v>_HIG_3_</v>
      </c>
      <c r="GT51" s="37" t="str">
        <f t="shared" si="750"/>
        <v>_COI_1_</v>
      </c>
      <c r="GW51" s="37">
        <v>1</v>
      </c>
      <c r="GX51" s="37">
        <v>1</v>
      </c>
      <c r="GY51" s="37">
        <v>1</v>
      </c>
      <c r="GZ51" s="37">
        <v>1</v>
      </c>
      <c r="HA51" s="37">
        <v>1</v>
      </c>
      <c r="HD51" s="37" t="str">
        <f t="shared" ref="HD51:HH51" si="751">VLOOKUP(HD106,$B$114:$C$126,2,FALSE)</f>
        <v>_low_3_</v>
      </c>
      <c r="HE51" s="37" t="str">
        <f t="shared" si="751"/>
        <v>_low_5_</v>
      </c>
      <c r="HF51" s="37" t="str">
        <f t="shared" si="751"/>
        <v>_COI_1_</v>
      </c>
      <c r="HG51" s="37" t="str">
        <f t="shared" si="751"/>
        <v>_HIG_3_</v>
      </c>
      <c r="HH51" s="37" t="str">
        <f t="shared" si="751"/>
        <v>_COI_1_</v>
      </c>
      <c r="HK51" s="37">
        <v>1</v>
      </c>
      <c r="HL51" s="37">
        <v>1</v>
      </c>
      <c r="HM51" s="37">
        <v>1</v>
      </c>
      <c r="HN51" s="37">
        <v>1</v>
      </c>
      <c r="HO51" s="37">
        <v>1</v>
      </c>
    </row>
    <row r="52" spans="1:223" x14ac:dyDescent="0.35">
      <c r="A52" s="37">
        <v>48</v>
      </c>
      <c r="B52" s="37" t="str">
        <f t="shared" ref="B52:F52" si="752">VLOOKUP(B107,$B$114:$C$126,2,FALSE)</f>
        <v>_COI_1_</v>
      </c>
      <c r="C52" s="37" t="str">
        <f t="shared" si="752"/>
        <v>_COI_1_</v>
      </c>
      <c r="D52" s="37" t="str">
        <f t="shared" si="752"/>
        <v>_COI_1_</v>
      </c>
      <c r="E52" s="37" t="str">
        <f t="shared" si="752"/>
        <v>_COI_1_</v>
      </c>
      <c r="F52" s="37" t="str">
        <f t="shared" si="752"/>
        <v>_low_2_</v>
      </c>
      <c r="I52" s="60">
        <v>1</v>
      </c>
      <c r="J52" s="60">
        <v>1</v>
      </c>
      <c r="K52" s="60">
        <v>1</v>
      </c>
      <c r="L52" s="60">
        <v>1</v>
      </c>
      <c r="M52" s="60">
        <v>1</v>
      </c>
      <c r="P52" s="37" t="str">
        <f t="shared" ref="P52:T52" si="753">VLOOKUP(P107,$B$114:$C$126,2,FALSE)</f>
        <v>_COI_1_</v>
      </c>
      <c r="Q52" s="37" t="str">
        <f t="shared" si="753"/>
        <v>_COI_1_</v>
      </c>
      <c r="R52" s="37" t="str">
        <f t="shared" si="753"/>
        <v>_COI_1_</v>
      </c>
      <c r="S52" s="37" t="str">
        <f t="shared" si="753"/>
        <v>_COI_1_</v>
      </c>
      <c r="T52" s="37" t="str">
        <f t="shared" si="753"/>
        <v>_low_2_</v>
      </c>
      <c r="W52" s="37">
        <v>1</v>
      </c>
      <c r="X52" s="37">
        <v>1</v>
      </c>
      <c r="Y52" s="37">
        <v>1</v>
      </c>
      <c r="Z52" s="37">
        <v>1</v>
      </c>
      <c r="AA52" s="37">
        <v>2000</v>
      </c>
      <c r="AD52" s="37" t="str">
        <f t="shared" ref="AD52:AH52" si="754">VLOOKUP(AD107,$B$114:$C$126,2,FALSE)</f>
        <v>_COI_1_</v>
      </c>
      <c r="AE52" s="37" t="str">
        <f t="shared" si="754"/>
        <v>_COI_1_</v>
      </c>
      <c r="AF52" s="37" t="str">
        <f t="shared" si="754"/>
        <v>_COI_1_</v>
      </c>
      <c r="AG52" s="37" t="str">
        <f t="shared" si="754"/>
        <v>_COI_1_</v>
      </c>
      <c r="AH52" s="37" t="str">
        <f t="shared" si="754"/>
        <v>_low_2_</v>
      </c>
      <c r="AK52" s="37">
        <v>1</v>
      </c>
      <c r="AL52" s="37">
        <v>1</v>
      </c>
      <c r="AM52" s="37">
        <v>1</v>
      </c>
      <c r="AN52" s="37">
        <v>1</v>
      </c>
      <c r="AO52" s="37">
        <v>1</v>
      </c>
      <c r="AR52" s="37" t="str">
        <f t="shared" ref="AR52:AV52" si="755">VLOOKUP(AR107,$B$114:$C$126,2,FALSE)</f>
        <v>_COI_1_</v>
      </c>
      <c r="AS52" s="37" t="str">
        <f t="shared" si="755"/>
        <v>_COI_1_</v>
      </c>
      <c r="AT52" s="37" t="str">
        <f t="shared" si="755"/>
        <v>_COI_1_</v>
      </c>
      <c r="AU52" s="37" t="str">
        <f t="shared" si="755"/>
        <v>_COI_1_</v>
      </c>
      <c r="AV52" s="37" t="str">
        <f t="shared" si="755"/>
        <v>_low_2_</v>
      </c>
      <c r="AY52" s="37">
        <v>1</v>
      </c>
      <c r="AZ52" s="37">
        <v>1</v>
      </c>
      <c r="BA52" s="37">
        <v>1</v>
      </c>
      <c r="BB52" s="37">
        <v>1</v>
      </c>
      <c r="BC52" s="37">
        <v>1</v>
      </c>
      <c r="BF52" s="37" t="str">
        <f t="shared" ref="BF52:BJ52" si="756">VLOOKUP(BF107,$B$114:$C$126,2,FALSE)</f>
        <v>_COI_1_</v>
      </c>
      <c r="BG52" s="37" t="str">
        <f t="shared" si="756"/>
        <v>_COI_1_</v>
      </c>
      <c r="BH52" s="37" t="str">
        <f t="shared" si="756"/>
        <v>_COI_1_</v>
      </c>
      <c r="BI52" s="37" t="str">
        <f t="shared" si="756"/>
        <v>_COI_1_</v>
      </c>
      <c r="BJ52" s="37" t="str">
        <f t="shared" si="756"/>
        <v>_low_2_</v>
      </c>
      <c r="BM52" s="37">
        <v>1</v>
      </c>
      <c r="BN52" s="37">
        <v>1</v>
      </c>
      <c r="BO52" s="37">
        <v>1</v>
      </c>
      <c r="BP52" s="37">
        <v>1</v>
      </c>
      <c r="BQ52" s="37">
        <v>5000</v>
      </c>
      <c r="BT52" s="37" t="str">
        <f t="shared" ref="BT52:BX52" si="757">VLOOKUP(BT107,$B$114:$C$126,2,FALSE)</f>
        <v>_COI_1_</v>
      </c>
      <c r="BU52" s="37" t="str">
        <f t="shared" si="757"/>
        <v>_COI_1_</v>
      </c>
      <c r="BV52" s="37" t="str">
        <f t="shared" si="757"/>
        <v>_COI_1_</v>
      </c>
      <c r="BW52" s="37" t="str">
        <f t="shared" si="757"/>
        <v>_COI_1_</v>
      </c>
      <c r="BX52" s="37" t="str">
        <f t="shared" si="757"/>
        <v>_low_2_</v>
      </c>
      <c r="CA52" s="37">
        <v>1</v>
      </c>
      <c r="CB52" s="37">
        <v>1</v>
      </c>
      <c r="CC52" s="37">
        <v>4000</v>
      </c>
      <c r="CD52" s="37">
        <v>1</v>
      </c>
      <c r="CE52" s="37">
        <v>4000</v>
      </c>
      <c r="CH52" s="37" t="str">
        <f t="shared" ref="CH52:CL52" si="758">VLOOKUP(CH107,$B$114:$C$126,2,FALSE)</f>
        <v>_COI_1_</v>
      </c>
      <c r="CI52" s="37" t="str">
        <f t="shared" si="758"/>
        <v>_COI_1_</v>
      </c>
      <c r="CJ52" s="37" t="str">
        <f t="shared" si="758"/>
        <v>_COI_1_</v>
      </c>
      <c r="CK52" s="37" t="str">
        <f t="shared" si="758"/>
        <v>_COI_1_</v>
      </c>
      <c r="CL52" s="37" t="str">
        <f t="shared" si="758"/>
        <v>_low_2_</v>
      </c>
      <c r="CO52" s="37">
        <v>4000</v>
      </c>
      <c r="CP52" s="37">
        <v>1</v>
      </c>
      <c r="CQ52" s="37">
        <v>1</v>
      </c>
      <c r="CR52" s="37">
        <v>1</v>
      </c>
      <c r="CS52" s="37">
        <v>4000</v>
      </c>
      <c r="CV52" s="37" t="str">
        <f t="shared" ref="CV52:CZ52" si="759">VLOOKUP(CV107,$B$114:$C$126,2,FALSE)</f>
        <v>_COI_1_</v>
      </c>
      <c r="CW52" s="37" t="str">
        <f t="shared" si="759"/>
        <v>_COI_1_</v>
      </c>
      <c r="CX52" s="37" t="str">
        <f t="shared" si="759"/>
        <v>_COI_1_</v>
      </c>
      <c r="CY52" s="37" t="str">
        <f t="shared" si="759"/>
        <v>_COI_1_</v>
      </c>
      <c r="CZ52" s="37" t="str">
        <f t="shared" si="759"/>
        <v>_low_2_</v>
      </c>
      <c r="DC52" s="37">
        <v>1</v>
      </c>
      <c r="DD52" s="37">
        <v>1</v>
      </c>
      <c r="DE52" s="37">
        <v>1</v>
      </c>
      <c r="DF52" s="37">
        <v>1</v>
      </c>
      <c r="DG52" s="37">
        <v>1</v>
      </c>
      <c r="DJ52" s="37" t="str">
        <f t="shared" ref="DJ52:DN52" si="760">VLOOKUP(DJ107,$B$114:$C$126,2,FALSE)</f>
        <v>_COI_1_</v>
      </c>
      <c r="DK52" s="37" t="str">
        <f t="shared" si="760"/>
        <v>_COI_1_</v>
      </c>
      <c r="DL52" s="37" t="str">
        <f t="shared" si="760"/>
        <v>_COI_1_</v>
      </c>
      <c r="DM52" s="37" t="str">
        <f t="shared" si="760"/>
        <v>_COI_1_</v>
      </c>
      <c r="DN52" s="37" t="str">
        <f t="shared" si="760"/>
        <v>_low_2_</v>
      </c>
      <c r="DQ52" s="37">
        <v>1</v>
      </c>
      <c r="DR52" s="37">
        <v>4000</v>
      </c>
      <c r="DS52" s="37">
        <v>1</v>
      </c>
      <c r="DT52" s="37">
        <v>1</v>
      </c>
      <c r="DU52" s="37">
        <v>4000</v>
      </c>
      <c r="DX52" s="37" t="str">
        <f t="shared" ref="DX52:EB52" si="761">VLOOKUP(DX107,$B$114:$C$126,2,FALSE)</f>
        <v>_COI_1_</v>
      </c>
      <c r="DY52" s="37" t="str">
        <f t="shared" si="761"/>
        <v>_COI_1_</v>
      </c>
      <c r="DZ52" s="37" t="str">
        <f t="shared" si="761"/>
        <v>_COI_1_</v>
      </c>
      <c r="EA52" s="37" t="str">
        <f t="shared" si="761"/>
        <v>_COI_1_</v>
      </c>
      <c r="EB52" s="37" t="str">
        <f t="shared" si="761"/>
        <v>_low_2_</v>
      </c>
      <c r="EE52" s="37">
        <v>1</v>
      </c>
      <c r="EF52" s="37">
        <v>1</v>
      </c>
      <c r="EG52" s="37">
        <v>8000</v>
      </c>
      <c r="EH52" s="37">
        <v>1</v>
      </c>
      <c r="EI52" s="37">
        <v>1</v>
      </c>
      <c r="EL52" s="37" t="str">
        <f t="shared" ref="EL52:EP52" si="762">VLOOKUP(EL107,$B$114:$C$126,2,FALSE)</f>
        <v>_COI_1_</v>
      </c>
      <c r="EM52" s="37" t="str">
        <f t="shared" si="762"/>
        <v>_COI_1_</v>
      </c>
      <c r="EN52" s="37" t="str">
        <f t="shared" si="762"/>
        <v>_COI_1_</v>
      </c>
      <c r="EO52" s="37" t="str">
        <f t="shared" si="762"/>
        <v>_COI_1_</v>
      </c>
      <c r="EP52" s="37" t="str">
        <f t="shared" si="762"/>
        <v>_low_2_</v>
      </c>
      <c r="ES52" s="37">
        <v>2000</v>
      </c>
      <c r="ET52" s="37">
        <v>1</v>
      </c>
      <c r="EU52" s="37">
        <v>2000</v>
      </c>
      <c r="EV52" s="37">
        <v>1</v>
      </c>
      <c r="EW52" s="37">
        <v>1</v>
      </c>
      <c r="EZ52" s="37" t="str">
        <f t="shared" ref="EZ52:FD52" si="763">VLOOKUP(EZ107,$B$114:$C$126,2,FALSE)</f>
        <v>_COI_1_</v>
      </c>
      <c r="FA52" s="37" t="str">
        <f t="shared" si="763"/>
        <v>_COI_1_</v>
      </c>
      <c r="FB52" s="37" t="str">
        <f t="shared" si="763"/>
        <v>_COI_1_</v>
      </c>
      <c r="FC52" s="37" t="str">
        <f t="shared" si="763"/>
        <v>_COI_1_</v>
      </c>
      <c r="FD52" s="37" t="str">
        <f t="shared" si="763"/>
        <v>_low_2_</v>
      </c>
      <c r="FG52" s="37">
        <v>1</v>
      </c>
      <c r="FH52" s="37">
        <v>8000</v>
      </c>
      <c r="FI52" s="37">
        <v>8000</v>
      </c>
      <c r="FJ52" s="37">
        <v>1</v>
      </c>
      <c r="FK52" s="37">
        <v>1</v>
      </c>
      <c r="FN52" s="37" t="str">
        <f t="shared" ref="FN52:FR52" si="764">VLOOKUP(FN107,$B$114:$C$126,2,FALSE)</f>
        <v>_COI_1_</v>
      </c>
      <c r="FO52" s="37" t="str">
        <f t="shared" si="764"/>
        <v>_COI_1_</v>
      </c>
      <c r="FP52" s="37" t="str">
        <f t="shared" si="764"/>
        <v>_COI_1_</v>
      </c>
      <c r="FQ52" s="37" t="str">
        <f t="shared" si="764"/>
        <v>_COI_1_</v>
      </c>
      <c r="FR52" s="37" t="str">
        <f t="shared" si="764"/>
        <v>_low_2_</v>
      </c>
      <c r="FU52" s="37">
        <v>1</v>
      </c>
      <c r="FV52" s="37">
        <v>1</v>
      </c>
      <c r="FW52" s="37">
        <v>4000</v>
      </c>
      <c r="FX52" s="37">
        <v>1</v>
      </c>
      <c r="FY52" s="37">
        <v>1</v>
      </c>
      <c r="GB52" s="37" t="str">
        <f t="shared" ref="GB52:GF52" si="765">VLOOKUP(GB107,$B$114:$C$126,2,FALSE)</f>
        <v>_COI_1_</v>
      </c>
      <c r="GC52" s="37" t="str">
        <f t="shared" si="765"/>
        <v>_COI_1_</v>
      </c>
      <c r="GD52" s="37" t="str">
        <f t="shared" si="765"/>
        <v>_COI_1_</v>
      </c>
      <c r="GE52" s="37" t="str">
        <f t="shared" si="765"/>
        <v>_COI_1_</v>
      </c>
      <c r="GF52" s="37" t="str">
        <f t="shared" si="765"/>
        <v>_low_2_</v>
      </c>
      <c r="GI52" s="37">
        <v>1</v>
      </c>
      <c r="GJ52" s="37">
        <v>4000</v>
      </c>
      <c r="GK52" s="37">
        <v>1</v>
      </c>
      <c r="GL52" s="37">
        <v>1</v>
      </c>
      <c r="GM52" s="37">
        <v>1</v>
      </c>
      <c r="GP52" s="37" t="str">
        <f t="shared" ref="GP52:GT52" si="766">VLOOKUP(GP107,$B$114:$C$126,2,FALSE)</f>
        <v>_COI_1_</v>
      </c>
      <c r="GQ52" s="37" t="str">
        <f t="shared" si="766"/>
        <v>_COI_1_</v>
      </c>
      <c r="GR52" s="37" t="str">
        <f t="shared" si="766"/>
        <v>_COI_1_</v>
      </c>
      <c r="GS52" s="37" t="str">
        <f t="shared" si="766"/>
        <v>_COI_1_</v>
      </c>
      <c r="GT52" s="37" t="str">
        <f t="shared" si="766"/>
        <v>_low_2_</v>
      </c>
      <c r="GW52" s="37">
        <v>10000</v>
      </c>
      <c r="GX52" s="37">
        <v>1</v>
      </c>
      <c r="GY52" s="37">
        <v>1</v>
      </c>
      <c r="GZ52" s="37">
        <v>1</v>
      </c>
      <c r="HA52" s="37">
        <v>1</v>
      </c>
      <c r="HD52" s="37" t="str">
        <f t="shared" ref="HD52:HH52" si="767">VLOOKUP(HD107,$B$114:$C$126,2,FALSE)</f>
        <v>_COI_1_</v>
      </c>
      <c r="HE52" s="37" t="str">
        <f t="shared" si="767"/>
        <v>_COI_1_</v>
      </c>
      <c r="HF52" s="37" t="str">
        <f t="shared" si="767"/>
        <v>_COI_1_</v>
      </c>
      <c r="HG52" s="37" t="str">
        <f t="shared" si="767"/>
        <v>_COI_1_</v>
      </c>
      <c r="HH52" s="37" t="str">
        <f t="shared" si="767"/>
        <v>_low_2_</v>
      </c>
      <c r="HK52" s="37">
        <v>1</v>
      </c>
      <c r="HL52" s="37">
        <v>1</v>
      </c>
      <c r="HM52" s="37">
        <v>1</v>
      </c>
      <c r="HN52" s="37">
        <v>1</v>
      </c>
      <c r="HO52" s="37">
        <v>1</v>
      </c>
    </row>
    <row r="53" spans="1:223" x14ac:dyDescent="0.35">
      <c r="A53" s="37">
        <v>49</v>
      </c>
      <c r="B53" s="37" t="str">
        <f t="shared" ref="B53:F53" si="768">VLOOKUP(B108,$B$114:$C$126,2,FALSE)</f>
        <v>_COI_1_</v>
      </c>
      <c r="C53" s="37" t="str">
        <f t="shared" si="768"/>
        <v>_COI_1_</v>
      </c>
      <c r="D53" s="37" t="str">
        <f t="shared" si="768"/>
        <v>_low_4_</v>
      </c>
      <c r="E53" s="37" t="str">
        <f t="shared" si="768"/>
        <v>_COI_1_</v>
      </c>
      <c r="F53" s="37" t="str">
        <f t="shared" si="768"/>
        <v>_HIG_2_</v>
      </c>
      <c r="I53" s="60">
        <v>1</v>
      </c>
      <c r="J53" s="60">
        <v>1</v>
      </c>
      <c r="K53" s="60">
        <v>1</v>
      </c>
      <c r="L53" s="60">
        <v>1</v>
      </c>
      <c r="M53" s="60">
        <v>20</v>
      </c>
      <c r="P53" s="37" t="str">
        <f t="shared" ref="P53:T53" si="769">VLOOKUP(P108,$B$114:$C$126,2,FALSE)</f>
        <v>_COI_1_</v>
      </c>
      <c r="Q53" s="37" t="str">
        <f t="shared" si="769"/>
        <v>_COI_1_</v>
      </c>
      <c r="R53" s="37" t="str">
        <f t="shared" si="769"/>
        <v>_low_4_</v>
      </c>
      <c r="S53" s="37" t="str">
        <f t="shared" si="769"/>
        <v>_COI_1_</v>
      </c>
      <c r="T53" s="37" t="str">
        <f t="shared" si="769"/>
        <v>_HIG_2_</v>
      </c>
      <c r="W53" s="37">
        <v>1</v>
      </c>
      <c r="X53" s="37">
        <v>1</v>
      </c>
      <c r="Y53" s="37">
        <v>1</v>
      </c>
      <c r="Z53" s="37">
        <v>1</v>
      </c>
      <c r="AA53" s="37">
        <v>20</v>
      </c>
      <c r="AD53" s="37" t="str">
        <f t="shared" ref="AD53:AH53" si="770">VLOOKUP(AD108,$B$114:$C$126,2,FALSE)</f>
        <v>_COI_1_</v>
      </c>
      <c r="AE53" s="37" t="str">
        <f t="shared" si="770"/>
        <v>_COI_1_</v>
      </c>
      <c r="AF53" s="37" t="str">
        <f t="shared" si="770"/>
        <v>_low_4_</v>
      </c>
      <c r="AG53" s="37" t="str">
        <f t="shared" si="770"/>
        <v>_COI_1_</v>
      </c>
      <c r="AH53" s="37" t="str">
        <f t="shared" si="770"/>
        <v>_HIG_2_</v>
      </c>
      <c r="AK53" s="37">
        <v>1</v>
      </c>
      <c r="AL53" s="37">
        <v>1</v>
      </c>
      <c r="AM53" s="37">
        <v>1</v>
      </c>
      <c r="AN53" s="37">
        <v>1</v>
      </c>
      <c r="AO53" s="37">
        <v>20</v>
      </c>
      <c r="AR53" s="37" t="str">
        <f t="shared" ref="AR53:AV53" si="771">VLOOKUP(AR108,$B$114:$C$126,2,FALSE)</f>
        <v>_COI_1_</v>
      </c>
      <c r="AS53" s="37" t="str">
        <f t="shared" si="771"/>
        <v>_COI_1_</v>
      </c>
      <c r="AT53" s="37" t="str">
        <f t="shared" si="771"/>
        <v>_low_4_</v>
      </c>
      <c r="AU53" s="37" t="str">
        <f t="shared" si="771"/>
        <v>_COI_1_</v>
      </c>
      <c r="AV53" s="37" t="str">
        <f t="shared" si="771"/>
        <v>_HIG_2_</v>
      </c>
      <c r="AY53" s="37">
        <v>1</v>
      </c>
      <c r="AZ53" s="37">
        <v>1</v>
      </c>
      <c r="BA53" s="37">
        <v>1</v>
      </c>
      <c r="BB53" s="37">
        <v>1</v>
      </c>
      <c r="BC53" s="37">
        <v>20</v>
      </c>
      <c r="BF53" s="37" t="str">
        <f t="shared" ref="BF53:BJ53" si="772">VLOOKUP(BF108,$B$114:$C$126,2,FALSE)</f>
        <v>_COI_1_</v>
      </c>
      <c r="BG53" s="37" t="str">
        <f t="shared" si="772"/>
        <v>_COI_1_</v>
      </c>
      <c r="BH53" s="37" t="str">
        <f t="shared" si="772"/>
        <v>_low_4_</v>
      </c>
      <c r="BI53" s="37" t="str">
        <f t="shared" si="772"/>
        <v>_COI_1_</v>
      </c>
      <c r="BJ53" s="37" t="str">
        <f t="shared" si="772"/>
        <v>_HIG_2_</v>
      </c>
      <c r="BM53" s="37">
        <v>1</v>
      </c>
      <c r="BN53" s="37">
        <v>1</v>
      </c>
      <c r="BO53" s="37">
        <v>1</v>
      </c>
      <c r="BP53" s="37">
        <v>1</v>
      </c>
      <c r="BQ53" s="37">
        <v>20</v>
      </c>
      <c r="BT53" s="37" t="str">
        <f t="shared" ref="BT53:BX53" si="773">VLOOKUP(BT108,$B$114:$C$126,2,FALSE)</f>
        <v>_COI_1_</v>
      </c>
      <c r="BU53" s="37" t="str">
        <f t="shared" si="773"/>
        <v>_COI_1_</v>
      </c>
      <c r="BV53" s="37" t="str">
        <f t="shared" si="773"/>
        <v>_low_4_</v>
      </c>
      <c r="BW53" s="37" t="str">
        <f t="shared" si="773"/>
        <v>_COI_1_</v>
      </c>
      <c r="BX53" s="37" t="str">
        <f t="shared" si="773"/>
        <v>_HIG_2_</v>
      </c>
      <c r="CA53" s="37">
        <v>1</v>
      </c>
      <c r="CB53" s="37">
        <v>1</v>
      </c>
      <c r="CC53" s="37">
        <v>1</v>
      </c>
      <c r="CD53" s="37">
        <v>1</v>
      </c>
      <c r="CE53" s="37">
        <v>20</v>
      </c>
      <c r="CH53" s="37" t="str">
        <f t="shared" ref="CH53:CL53" si="774">VLOOKUP(CH108,$B$114:$C$126,2,FALSE)</f>
        <v>_COI_1_</v>
      </c>
      <c r="CI53" s="37" t="str">
        <f t="shared" si="774"/>
        <v>_COI_1_</v>
      </c>
      <c r="CJ53" s="37" t="str">
        <f t="shared" si="774"/>
        <v>_low_4_</v>
      </c>
      <c r="CK53" s="37" t="str">
        <f t="shared" si="774"/>
        <v>_COI_1_</v>
      </c>
      <c r="CL53" s="37" t="str">
        <f t="shared" si="774"/>
        <v>_HIG_2_</v>
      </c>
      <c r="CO53" s="37">
        <v>4000</v>
      </c>
      <c r="CP53" s="37">
        <v>1</v>
      </c>
      <c r="CQ53" s="37">
        <v>1</v>
      </c>
      <c r="CR53" s="37">
        <v>4000</v>
      </c>
      <c r="CS53" s="37">
        <v>20</v>
      </c>
      <c r="CV53" s="37" t="str">
        <f t="shared" ref="CV53:CZ53" si="775">VLOOKUP(CV108,$B$114:$C$126,2,FALSE)</f>
        <v>_COI_1_</v>
      </c>
      <c r="CW53" s="37" t="str">
        <f t="shared" si="775"/>
        <v>_COI_1_</v>
      </c>
      <c r="CX53" s="37" t="str">
        <f t="shared" si="775"/>
        <v>_low_4_</v>
      </c>
      <c r="CY53" s="37" t="str">
        <f t="shared" si="775"/>
        <v>_COI_1_</v>
      </c>
      <c r="CZ53" s="37" t="str">
        <f t="shared" si="775"/>
        <v>_HIG_2_</v>
      </c>
      <c r="DC53" s="37">
        <v>1</v>
      </c>
      <c r="DD53" s="37">
        <v>1</v>
      </c>
      <c r="DE53" s="37">
        <v>1</v>
      </c>
      <c r="DF53" s="37">
        <v>1</v>
      </c>
      <c r="DG53" s="37">
        <v>20</v>
      </c>
      <c r="DJ53" s="37" t="str">
        <f t="shared" ref="DJ53:DN53" si="776">VLOOKUP(DJ108,$B$114:$C$126,2,FALSE)</f>
        <v>_COI_1_</v>
      </c>
      <c r="DK53" s="37" t="str">
        <f t="shared" si="776"/>
        <v>_COI_1_</v>
      </c>
      <c r="DL53" s="37" t="str">
        <f t="shared" si="776"/>
        <v>_low_4_</v>
      </c>
      <c r="DM53" s="37" t="str">
        <f t="shared" si="776"/>
        <v>_COI_1_</v>
      </c>
      <c r="DN53" s="37" t="str">
        <f t="shared" si="776"/>
        <v>_HIG_2_</v>
      </c>
      <c r="DQ53" s="37">
        <v>1</v>
      </c>
      <c r="DR53" s="37">
        <v>4000</v>
      </c>
      <c r="DS53" s="37">
        <v>1</v>
      </c>
      <c r="DT53" s="37">
        <v>4000</v>
      </c>
      <c r="DU53" s="37">
        <v>20</v>
      </c>
      <c r="DX53" s="37" t="str">
        <f t="shared" ref="DX53:EB53" si="777">VLOOKUP(DX108,$B$114:$C$126,2,FALSE)</f>
        <v>_COI_1_</v>
      </c>
      <c r="DY53" s="37" t="str">
        <f t="shared" si="777"/>
        <v>_COI_1_</v>
      </c>
      <c r="DZ53" s="37" t="str">
        <f t="shared" si="777"/>
        <v>_low_4_</v>
      </c>
      <c r="EA53" s="37" t="str">
        <f t="shared" si="777"/>
        <v>_COI_1_</v>
      </c>
      <c r="EB53" s="37" t="str">
        <f t="shared" si="777"/>
        <v>_HIG_2_</v>
      </c>
      <c r="EE53" s="37">
        <v>1</v>
      </c>
      <c r="EF53" s="37">
        <v>1</v>
      </c>
      <c r="EG53" s="37">
        <v>1</v>
      </c>
      <c r="EH53" s="37">
        <v>8000</v>
      </c>
      <c r="EI53" s="37">
        <v>20</v>
      </c>
      <c r="EL53" s="37" t="str">
        <f t="shared" ref="EL53:EP53" si="778">VLOOKUP(EL108,$B$114:$C$126,2,FALSE)</f>
        <v>_COI_1_</v>
      </c>
      <c r="EM53" s="37" t="str">
        <f t="shared" si="778"/>
        <v>_COI_1_</v>
      </c>
      <c r="EN53" s="37" t="str">
        <f t="shared" si="778"/>
        <v>_low_4_</v>
      </c>
      <c r="EO53" s="37" t="str">
        <f t="shared" si="778"/>
        <v>_COI_1_</v>
      </c>
      <c r="EP53" s="37" t="str">
        <f t="shared" si="778"/>
        <v>_HIG_2_</v>
      </c>
      <c r="ES53" s="37">
        <v>2000</v>
      </c>
      <c r="ET53" s="37">
        <v>1</v>
      </c>
      <c r="EU53" s="37">
        <v>1</v>
      </c>
      <c r="EV53" s="37">
        <v>2000</v>
      </c>
      <c r="EW53" s="37">
        <v>20</v>
      </c>
      <c r="EZ53" s="37" t="str">
        <f t="shared" ref="EZ53:FD53" si="779">VLOOKUP(EZ108,$B$114:$C$126,2,FALSE)</f>
        <v>_COI_1_</v>
      </c>
      <c r="FA53" s="37" t="str">
        <f t="shared" si="779"/>
        <v>_COI_1_</v>
      </c>
      <c r="FB53" s="37" t="str">
        <f t="shared" si="779"/>
        <v>_low_4_</v>
      </c>
      <c r="FC53" s="37" t="str">
        <f t="shared" si="779"/>
        <v>_COI_1_</v>
      </c>
      <c r="FD53" s="37" t="str">
        <f t="shared" si="779"/>
        <v>_HIG_2_</v>
      </c>
      <c r="FG53" s="37">
        <v>1</v>
      </c>
      <c r="FH53" s="37">
        <v>8000</v>
      </c>
      <c r="FI53" s="37">
        <v>1</v>
      </c>
      <c r="FJ53" s="37">
        <v>8000</v>
      </c>
      <c r="FK53" s="37">
        <v>20</v>
      </c>
      <c r="FN53" s="37" t="str">
        <f t="shared" ref="FN53:FR53" si="780">VLOOKUP(FN108,$B$114:$C$126,2,FALSE)</f>
        <v>_COI_1_</v>
      </c>
      <c r="FO53" s="37" t="str">
        <f t="shared" si="780"/>
        <v>_COI_1_</v>
      </c>
      <c r="FP53" s="37" t="str">
        <f t="shared" si="780"/>
        <v>_low_4_</v>
      </c>
      <c r="FQ53" s="37" t="str">
        <f t="shared" si="780"/>
        <v>_COI_1_</v>
      </c>
      <c r="FR53" s="37" t="str">
        <f t="shared" si="780"/>
        <v>_HIG_2_</v>
      </c>
      <c r="FU53" s="37">
        <v>1</v>
      </c>
      <c r="FV53" s="37">
        <v>1</v>
      </c>
      <c r="FW53" s="37">
        <v>1</v>
      </c>
      <c r="FX53" s="37">
        <v>4000</v>
      </c>
      <c r="FY53" s="37">
        <v>20</v>
      </c>
      <c r="GB53" s="37" t="str">
        <f>VLOOKUP(GB108,$B$114:$C$126,2,FALSE)</f>
        <v>_COI_1_</v>
      </c>
      <c r="GC53" s="37" t="str">
        <f t="shared" ref="GC53:GF53" si="781">VLOOKUP(GC108,$B$114:$C$126,2,FALSE)</f>
        <v>_COI_1_</v>
      </c>
      <c r="GD53" s="37" t="str">
        <f t="shared" si="781"/>
        <v>_low_4_</v>
      </c>
      <c r="GE53" s="37" t="str">
        <f t="shared" si="781"/>
        <v>_COI_1_</v>
      </c>
      <c r="GF53" s="37" t="str">
        <f t="shared" si="781"/>
        <v>_HIG_2_</v>
      </c>
      <c r="GI53" s="37">
        <v>1</v>
      </c>
      <c r="GJ53" s="37">
        <v>4000</v>
      </c>
      <c r="GK53" s="37">
        <v>1</v>
      </c>
      <c r="GL53" s="37">
        <v>1</v>
      </c>
      <c r="GM53" s="37">
        <v>20</v>
      </c>
      <c r="GP53" s="37" t="str">
        <f t="shared" ref="GP53:GT53" si="782">VLOOKUP(GP108,$B$114:$C$126,2,FALSE)</f>
        <v>_COI_1_</v>
      </c>
      <c r="GQ53" s="37" t="str">
        <f t="shared" si="782"/>
        <v>_COI_1_</v>
      </c>
      <c r="GR53" s="37" t="str">
        <f t="shared" si="782"/>
        <v>_low_4_</v>
      </c>
      <c r="GS53" s="37" t="str">
        <f t="shared" si="782"/>
        <v>_COI_1_</v>
      </c>
      <c r="GT53" s="37" t="str">
        <f t="shared" si="782"/>
        <v>_HIG_2_</v>
      </c>
      <c r="GW53" s="37">
        <v>10000</v>
      </c>
      <c r="GX53" s="37">
        <v>1</v>
      </c>
      <c r="GY53" s="37">
        <v>1</v>
      </c>
      <c r="GZ53" s="37">
        <v>10000</v>
      </c>
      <c r="HA53" s="37">
        <v>20</v>
      </c>
      <c r="HD53" s="37" t="str">
        <f t="shared" ref="HD53:HH53" si="783">VLOOKUP(HD108,$B$114:$C$126,2,FALSE)</f>
        <v>_COI_1_</v>
      </c>
      <c r="HE53" s="37" t="str">
        <f t="shared" si="783"/>
        <v>_COI_1_</v>
      </c>
      <c r="HF53" s="37" t="str">
        <f t="shared" si="783"/>
        <v>_low_4_</v>
      </c>
      <c r="HG53" s="37" t="str">
        <f t="shared" si="783"/>
        <v>_COI_1_</v>
      </c>
      <c r="HH53" s="37" t="str">
        <f t="shared" si="783"/>
        <v>_HIG_2_</v>
      </c>
      <c r="HK53" s="37">
        <v>1</v>
      </c>
      <c r="HL53" s="37">
        <v>1</v>
      </c>
      <c r="HM53" s="37">
        <v>1</v>
      </c>
      <c r="HN53" s="37">
        <v>100000000</v>
      </c>
      <c r="HO53" s="37">
        <v>20</v>
      </c>
    </row>
    <row r="54" spans="1:223" x14ac:dyDescent="0.35">
      <c r="I54" s="37">
        <v>1</v>
      </c>
      <c r="J54" s="37">
        <v>1</v>
      </c>
      <c r="K54" s="37">
        <v>20</v>
      </c>
      <c r="L54" s="37">
        <v>1</v>
      </c>
      <c r="M54" s="37">
        <v>20</v>
      </c>
      <c r="P54" s="37" t="str">
        <f t="shared" ref="P54:T54" si="784">VLOOKUP(P109,$B$114:$C$126,2,FALSE)</f>
        <v>_low_5_</v>
      </c>
      <c r="Q54" s="37" t="str">
        <f t="shared" si="784"/>
        <v>_low_1_</v>
      </c>
      <c r="R54" s="37" t="str">
        <f t="shared" si="784"/>
        <v>_HIG_3_</v>
      </c>
      <c r="S54" s="37" t="str">
        <f t="shared" si="784"/>
        <v>_COI_1_</v>
      </c>
      <c r="T54" s="37" t="str">
        <f t="shared" si="784"/>
        <v>_low_4_</v>
      </c>
      <c r="W54" s="37">
        <v>1</v>
      </c>
      <c r="X54" s="37">
        <v>1</v>
      </c>
      <c r="Y54" s="37">
        <v>20</v>
      </c>
      <c r="Z54" s="37">
        <v>1</v>
      </c>
      <c r="AA54" s="37">
        <v>20</v>
      </c>
      <c r="AD54" s="37" t="str">
        <f t="shared" ref="AD54:AH54" si="785">VLOOKUP(AD109,$B$114:$C$126,2,FALSE)</f>
        <v>_low_5_</v>
      </c>
      <c r="AE54" s="37" t="str">
        <f t="shared" si="785"/>
        <v>_low_1_</v>
      </c>
      <c r="AF54" s="37" t="str">
        <f t="shared" si="785"/>
        <v>_HIG_3_</v>
      </c>
      <c r="AG54" s="37" t="str">
        <f t="shared" si="785"/>
        <v>_COI_1_</v>
      </c>
      <c r="AH54" s="37" t="str">
        <f t="shared" si="785"/>
        <v>_low_4_</v>
      </c>
      <c r="AK54" s="37">
        <v>1</v>
      </c>
      <c r="AL54" s="37">
        <v>1</v>
      </c>
      <c r="AM54" s="37">
        <v>20</v>
      </c>
      <c r="AN54" s="37">
        <v>1</v>
      </c>
      <c r="AO54" s="37">
        <v>20</v>
      </c>
      <c r="AR54" s="37" t="str">
        <f t="shared" ref="AR54:AV54" si="786">VLOOKUP(AR109,$B$114:$C$126,2,FALSE)</f>
        <v>_low_5_</v>
      </c>
      <c r="AS54" s="37" t="str">
        <f t="shared" si="786"/>
        <v>_low_1_</v>
      </c>
      <c r="AT54" s="37" t="str">
        <f t="shared" si="786"/>
        <v>_HIG_3_</v>
      </c>
      <c r="AU54" s="37" t="str">
        <f t="shared" si="786"/>
        <v>_COI_1_</v>
      </c>
      <c r="AV54" s="37" t="str">
        <f t="shared" si="786"/>
        <v>_low_4_</v>
      </c>
      <c r="AY54" s="37">
        <v>1</v>
      </c>
      <c r="AZ54" s="37">
        <v>1</v>
      </c>
      <c r="BA54" s="37">
        <v>20</v>
      </c>
      <c r="BB54" s="37">
        <v>1</v>
      </c>
      <c r="BC54" s="37">
        <v>20</v>
      </c>
      <c r="BF54" s="37" t="str">
        <f t="shared" ref="BF54:BJ54" si="787">VLOOKUP(BF109,$B$114:$C$126,2,FALSE)</f>
        <v>_low_5_</v>
      </c>
      <c r="BG54" s="37" t="str">
        <f t="shared" si="787"/>
        <v>_low_1_</v>
      </c>
      <c r="BH54" s="37" t="str">
        <f t="shared" si="787"/>
        <v>_HIG_3_</v>
      </c>
      <c r="BI54" s="37" t="str">
        <f t="shared" si="787"/>
        <v>_COI_1_</v>
      </c>
      <c r="BJ54" s="37" t="str">
        <f t="shared" si="787"/>
        <v>_low_4_</v>
      </c>
      <c r="BM54" s="37">
        <v>1</v>
      </c>
      <c r="BN54" s="37">
        <v>1</v>
      </c>
      <c r="BO54" s="37">
        <v>20</v>
      </c>
      <c r="BP54" s="37">
        <v>1</v>
      </c>
      <c r="BQ54" s="37">
        <v>20</v>
      </c>
      <c r="BT54" s="37" t="str">
        <f t="shared" ref="BT54:BX54" si="788">VLOOKUP(BT109,$B$114:$C$126,2,FALSE)</f>
        <v>_low_5_</v>
      </c>
      <c r="BU54" s="37" t="str">
        <f t="shared" si="788"/>
        <v>_low_1_</v>
      </c>
      <c r="BV54" s="37" t="str">
        <f t="shared" si="788"/>
        <v>_HIG_3_</v>
      </c>
      <c r="BW54" s="37" t="str">
        <f t="shared" si="788"/>
        <v>_COI_1_</v>
      </c>
      <c r="BX54" s="37" t="str">
        <f t="shared" si="788"/>
        <v>_low_4_</v>
      </c>
      <c r="CA54" s="37">
        <v>1</v>
      </c>
      <c r="CB54" s="37">
        <v>1</v>
      </c>
      <c r="CC54" s="37">
        <v>20</v>
      </c>
      <c r="CD54" s="37">
        <v>1</v>
      </c>
      <c r="CE54" s="37">
        <v>20</v>
      </c>
      <c r="CH54" s="37" t="str">
        <f t="shared" ref="CH54:CL54" si="789">VLOOKUP(CH109,$B$114:$C$126,2,FALSE)</f>
        <v>_low_5_</v>
      </c>
      <c r="CI54" s="37" t="str">
        <f t="shared" si="789"/>
        <v>_low_1_</v>
      </c>
      <c r="CJ54" s="37" t="str">
        <f t="shared" si="789"/>
        <v>_HIG_3_</v>
      </c>
      <c r="CK54" s="37" t="str">
        <f t="shared" si="789"/>
        <v>_COI_1_</v>
      </c>
      <c r="CL54" s="37" t="str">
        <f t="shared" si="789"/>
        <v>_low_4_</v>
      </c>
      <c r="CO54" s="37">
        <v>1</v>
      </c>
      <c r="CP54" s="37">
        <v>1</v>
      </c>
      <c r="CQ54" s="37">
        <v>20</v>
      </c>
      <c r="CR54" s="37">
        <v>1</v>
      </c>
      <c r="CS54" s="37">
        <v>20</v>
      </c>
      <c r="CV54" s="37" t="str">
        <f t="shared" ref="CV54:CZ54" si="790">VLOOKUP(CV109,$B$114:$C$126,2,FALSE)</f>
        <v>_low_5_</v>
      </c>
      <c r="CW54" s="37" t="str">
        <f t="shared" si="790"/>
        <v>_low_1_</v>
      </c>
      <c r="CX54" s="37" t="str">
        <f t="shared" si="790"/>
        <v>_HIG_3_</v>
      </c>
      <c r="CY54" s="37" t="str">
        <f t="shared" si="790"/>
        <v>_COI_1_</v>
      </c>
      <c r="CZ54" s="37" t="str">
        <f t="shared" si="790"/>
        <v>_low_4_</v>
      </c>
      <c r="DC54" s="37">
        <v>1</v>
      </c>
      <c r="DD54" s="37">
        <v>1</v>
      </c>
      <c r="DE54" s="37">
        <v>20</v>
      </c>
      <c r="DF54" s="37">
        <v>1</v>
      </c>
      <c r="DG54" s="37">
        <v>20</v>
      </c>
      <c r="DJ54" s="37" t="str">
        <f t="shared" ref="DJ54:DN54" si="791">VLOOKUP(DJ109,$B$114:$C$126,2,FALSE)</f>
        <v>_low_5_</v>
      </c>
      <c r="DK54" s="37" t="str">
        <f t="shared" si="791"/>
        <v>_low_1_</v>
      </c>
      <c r="DL54" s="37" t="str">
        <f t="shared" si="791"/>
        <v>_HIG_3_</v>
      </c>
      <c r="DM54" s="37" t="str">
        <f t="shared" si="791"/>
        <v>_COI_1_</v>
      </c>
      <c r="DN54" s="37" t="str">
        <f t="shared" si="791"/>
        <v>_low_4_</v>
      </c>
      <c r="DQ54" s="37">
        <v>1</v>
      </c>
      <c r="DR54" s="37">
        <v>1</v>
      </c>
      <c r="DS54" s="37">
        <v>20</v>
      </c>
      <c r="DT54" s="37">
        <v>1</v>
      </c>
      <c r="DU54" s="37">
        <v>20</v>
      </c>
      <c r="DX54" s="37" t="str">
        <f t="shared" ref="DX54:EB54" si="792">VLOOKUP(DX109,$B$114:$C$126,2,FALSE)</f>
        <v>_low_5_</v>
      </c>
      <c r="DY54" s="37" t="str">
        <f t="shared" si="792"/>
        <v>_low_1_</v>
      </c>
      <c r="DZ54" s="37" t="str">
        <f t="shared" si="792"/>
        <v>_HIG_3_</v>
      </c>
      <c r="EA54" s="37" t="str">
        <f t="shared" si="792"/>
        <v>_COI_1_</v>
      </c>
      <c r="EB54" s="37" t="str">
        <f t="shared" si="792"/>
        <v>_low_4_</v>
      </c>
      <c r="EE54" s="37">
        <v>1</v>
      </c>
      <c r="EF54" s="37">
        <v>1</v>
      </c>
      <c r="EG54" s="37">
        <v>20</v>
      </c>
      <c r="EH54" s="37">
        <v>1</v>
      </c>
      <c r="EI54" s="37">
        <v>20</v>
      </c>
      <c r="EL54" s="37" t="str">
        <f t="shared" ref="EL54:EP54" si="793">VLOOKUP(EL109,$B$114:$C$126,2,FALSE)</f>
        <v>_low_5_</v>
      </c>
      <c r="EM54" s="37" t="str">
        <f t="shared" si="793"/>
        <v>_low_1_</v>
      </c>
      <c r="EN54" s="37" t="str">
        <f t="shared" si="793"/>
        <v>_HIG_3_</v>
      </c>
      <c r="EO54" s="37" t="str">
        <f t="shared" si="793"/>
        <v>_COI_1_</v>
      </c>
      <c r="EP54" s="37" t="str">
        <f t="shared" si="793"/>
        <v>_low_4_</v>
      </c>
      <c r="ES54" s="37">
        <v>1</v>
      </c>
      <c r="ET54" s="37">
        <v>1</v>
      </c>
      <c r="EU54" s="37">
        <v>20</v>
      </c>
      <c r="EV54" s="37">
        <v>1</v>
      </c>
      <c r="EW54" s="37">
        <v>20</v>
      </c>
      <c r="EZ54" s="37" t="str">
        <f t="shared" ref="EZ54:FD54" si="794">VLOOKUP(EZ109,$B$114:$C$126,2,FALSE)</f>
        <v>_low_5_</v>
      </c>
      <c r="FA54" s="37" t="str">
        <f t="shared" si="794"/>
        <v>_low_1_</v>
      </c>
      <c r="FB54" s="37" t="str">
        <f t="shared" si="794"/>
        <v>_HIG_3_</v>
      </c>
      <c r="FC54" s="37" t="str">
        <f t="shared" si="794"/>
        <v>_COI_1_</v>
      </c>
      <c r="FD54" s="37" t="str">
        <f t="shared" si="794"/>
        <v>_low_4_</v>
      </c>
      <c r="FG54" s="37">
        <v>1</v>
      </c>
      <c r="FH54" s="37">
        <v>1</v>
      </c>
      <c r="FI54" s="37">
        <v>20</v>
      </c>
      <c r="FJ54" s="37">
        <v>1</v>
      </c>
      <c r="FK54" s="37">
        <v>20</v>
      </c>
      <c r="FN54" s="37" t="str">
        <f t="shared" ref="FN54:FR54" si="795">VLOOKUP(FN109,$B$114:$C$126,2,FALSE)</f>
        <v>_low_5_</v>
      </c>
      <c r="FO54" s="37" t="str">
        <f t="shared" si="795"/>
        <v>_low_1_</v>
      </c>
      <c r="FP54" s="37" t="str">
        <f t="shared" si="795"/>
        <v>_HIG_3_</v>
      </c>
      <c r="FQ54" s="37" t="str">
        <f t="shared" si="795"/>
        <v>_COI_1_</v>
      </c>
      <c r="FR54" s="37" t="str">
        <f t="shared" si="795"/>
        <v>_low_4_</v>
      </c>
      <c r="FU54" s="37">
        <v>1</v>
      </c>
      <c r="FV54" s="37">
        <v>1</v>
      </c>
      <c r="FW54" s="37">
        <v>20</v>
      </c>
      <c r="FX54" s="37">
        <v>1</v>
      </c>
      <c r="FY54" s="37">
        <v>20</v>
      </c>
      <c r="GB54" s="37" t="str">
        <f t="shared" ref="GB54:GF54" si="796">VLOOKUP(GB109,$B$114:$C$126,2,FALSE)</f>
        <v>_low_5_</v>
      </c>
      <c r="GC54" s="37" t="str">
        <f t="shared" si="796"/>
        <v>_low_1_</v>
      </c>
      <c r="GD54" s="37" t="str">
        <f t="shared" si="796"/>
        <v>_HIG_3_</v>
      </c>
      <c r="GE54" s="37" t="str">
        <f t="shared" si="796"/>
        <v>_COI_1_</v>
      </c>
      <c r="GF54" s="37" t="str">
        <f t="shared" si="796"/>
        <v>_low_4_</v>
      </c>
      <c r="GI54" s="37">
        <v>1</v>
      </c>
      <c r="GJ54" s="37">
        <v>1</v>
      </c>
      <c r="GK54" s="37">
        <v>20</v>
      </c>
      <c r="GL54" s="37">
        <v>1</v>
      </c>
      <c r="GM54" s="37">
        <v>20</v>
      </c>
      <c r="GP54" s="37" t="str">
        <f t="shared" ref="GP54:GT54" si="797">VLOOKUP(GP109,$B$114:$C$126,2,FALSE)</f>
        <v>_low_5_</v>
      </c>
      <c r="GQ54" s="37" t="str">
        <f t="shared" si="797"/>
        <v>_low_1_</v>
      </c>
      <c r="GR54" s="37" t="str">
        <f t="shared" si="797"/>
        <v>_HIG_3_</v>
      </c>
      <c r="GS54" s="37" t="str">
        <f t="shared" si="797"/>
        <v>_COI_1_</v>
      </c>
      <c r="GT54" s="37" t="str">
        <f t="shared" si="797"/>
        <v>_low_4_</v>
      </c>
      <c r="GW54" s="37">
        <v>1</v>
      </c>
      <c r="GX54" s="37">
        <v>1</v>
      </c>
      <c r="GY54" s="37">
        <v>20</v>
      </c>
      <c r="GZ54" s="37">
        <v>1</v>
      </c>
      <c r="HA54" s="37">
        <v>20</v>
      </c>
      <c r="HD54" s="37" t="str">
        <f t="shared" ref="HD54:HH54" si="798">VLOOKUP(HD109,$B$114:$C$126,2,FALSE)</f>
        <v>_low_5_</v>
      </c>
      <c r="HE54" s="37" t="str">
        <f t="shared" si="798"/>
        <v>_low_1_</v>
      </c>
      <c r="HF54" s="37" t="str">
        <f t="shared" si="798"/>
        <v>_HIG_3_</v>
      </c>
      <c r="HG54" s="37" t="str">
        <f t="shared" si="798"/>
        <v>_COI_1_</v>
      </c>
      <c r="HH54" s="37" t="str">
        <f t="shared" si="798"/>
        <v>_low_4_</v>
      </c>
      <c r="HK54" s="37">
        <v>1</v>
      </c>
      <c r="HL54" s="37">
        <v>1</v>
      </c>
      <c r="HM54" s="37">
        <v>20</v>
      </c>
      <c r="HN54" s="37">
        <v>1</v>
      </c>
      <c r="HO54" s="37">
        <v>20</v>
      </c>
    </row>
    <row r="55" spans="1:223" x14ac:dyDescent="0.35">
      <c r="B55" s="37">
        <f>COUNTIF(B5:B53,$B$47)</f>
        <v>6</v>
      </c>
      <c r="C55" s="37">
        <f t="shared" ref="C55:F55" si="799">COUNTIF(C5:C53,$B$47)</f>
        <v>4</v>
      </c>
      <c r="D55" s="37">
        <f t="shared" si="799"/>
        <v>4</v>
      </c>
      <c r="E55" s="37">
        <f t="shared" si="799"/>
        <v>3</v>
      </c>
      <c r="F55" s="37">
        <f t="shared" si="799"/>
        <v>6</v>
      </c>
      <c r="I55" s="37">
        <f>SUM(I5:I53)</f>
        <v>524</v>
      </c>
      <c r="J55" s="37">
        <f t="shared" ref="J55:M55" si="800">SUM(J5:J53)</f>
        <v>513</v>
      </c>
      <c r="K55" s="37">
        <f t="shared" si="800"/>
        <v>523</v>
      </c>
      <c r="L55" s="37">
        <f t="shared" si="800"/>
        <v>480</v>
      </c>
      <c r="M55" s="37">
        <f t="shared" si="800"/>
        <v>524</v>
      </c>
    </row>
    <row r="57" spans="1:223" x14ac:dyDescent="0.35">
      <c r="B57" s="37" t="s">
        <v>66</v>
      </c>
      <c r="C57" s="37">
        <v>1</v>
      </c>
      <c r="P57" s="37" t="s">
        <v>66</v>
      </c>
      <c r="Q57" s="37">
        <v>2</v>
      </c>
      <c r="AD57" s="37" t="s">
        <v>66</v>
      </c>
      <c r="AE57" s="37">
        <v>3</v>
      </c>
      <c r="AR57" s="37" t="s">
        <v>66</v>
      </c>
      <c r="AS57" s="37">
        <v>4</v>
      </c>
      <c r="BF57" s="37" t="s">
        <v>66</v>
      </c>
      <c r="BG57" s="37">
        <v>5</v>
      </c>
      <c r="BT57" s="37" t="s">
        <v>66</v>
      </c>
      <c r="BU57" s="37">
        <v>6</v>
      </c>
      <c r="CH57" s="37" t="s">
        <v>66</v>
      </c>
      <c r="CI57" s="37">
        <v>7</v>
      </c>
      <c r="CV57" s="37" t="s">
        <v>66</v>
      </c>
      <c r="CW57" s="37">
        <v>8</v>
      </c>
      <c r="DJ57" s="37" t="s">
        <v>66</v>
      </c>
      <c r="DK57" s="37">
        <v>9</v>
      </c>
      <c r="DX57" s="37" t="s">
        <v>66</v>
      </c>
      <c r="DY57" s="37">
        <v>10</v>
      </c>
      <c r="EL57" s="37" t="s">
        <v>66</v>
      </c>
      <c r="EM57" s="37">
        <v>11</v>
      </c>
      <c r="EZ57" s="37" t="s">
        <v>66</v>
      </c>
      <c r="FA57" s="37">
        <v>12</v>
      </c>
      <c r="FN57" s="37" t="s">
        <v>66</v>
      </c>
      <c r="FO57" s="37">
        <v>13</v>
      </c>
      <c r="GB57" s="37" t="s">
        <v>66</v>
      </c>
      <c r="GC57" s="37">
        <v>14</v>
      </c>
      <c r="GP57" s="37" t="s">
        <v>66</v>
      </c>
      <c r="GQ57" s="37">
        <v>15</v>
      </c>
      <c r="HD57" s="37" t="s">
        <v>66</v>
      </c>
      <c r="HE57" s="37">
        <v>16</v>
      </c>
    </row>
    <row r="58" spans="1:223" x14ac:dyDescent="0.35">
      <c r="B58" s="37" t="s">
        <v>79</v>
      </c>
      <c r="I58" s="37" t="s">
        <v>80</v>
      </c>
      <c r="P58" s="37" t="s">
        <v>81</v>
      </c>
      <c r="W58" s="37" t="s">
        <v>82</v>
      </c>
      <c r="AD58" s="37" t="s">
        <v>83</v>
      </c>
      <c r="AK58" s="37" t="s">
        <v>84</v>
      </c>
      <c r="AR58" s="37" t="s">
        <v>85</v>
      </c>
      <c r="AY58" s="37" t="s">
        <v>86</v>
      </c>
      <c r="BF58" s="37" t="s">
        <v>87</v>
      </c>
      <c r="BM58" s="37" t="s">
        <v>88</v>
      </c>
      <c r="BT58" s="37" t="s">
        <v>89</v>
      </c>
      <c r="CA58" s="37" t="s">
        <v>90</v>
      </c>
      <c r="CH58" s="37" t="s">
        <v>91</v>
      </c>
      <c r="CO58" s="37" t="s">
        <v>92</v>
      </c>
      <c r="CV58" s="37" t="s">
        <v>93</v>
      </c>
      <c r="DC58" s="37" t="s">
        <v>94</v>
      </c>
      <c r="DJ58" s="37" t="s">
        <v>95</v>
      </c>
      <c r="DQ58" s="37" t="s">
        <v>96</v>
      </c>
      <c r="DX58" s="37" t="s">
        <v>97</v>
      </c>
      <c r="EE58" s="37" t="s">
        <v>98</v>
      </c>
      <c r="EL58" s="37" t="s">
        <v>99</v>
      </c>
      <c r="ES58" s="37" t="s">
        <v>100</v>
      </c>
      <c r="EZ58" s="37" t="s">
        <v>101</v>
      </c>
      <c r="FG58" s="37" t="s">
        <v>102</v>
      </c>
      <c r="FN58" s="37" t="s">
        <v>103</v>
      </c>
      <c r="FU58" s="37" t="s">
        <v>104</v>
      </c>
      <c r="GB58" s="37" t="s">
        <v>105</v>
      </c>
      <c r="GI58" s="37" t="s">
        <v>106</v>
      </c>
      <c r="GP58" s="37" t="s">
        <v>107</v>
      </c>
      <c r="GW58" s="37" t="s">
        <v>108</v>
      </c>
      <c r="HD58" s="37" t="s">
        <v>109</v>
      </c>
      <c r="HK58" s="37" t="s">
        <v>110</v>
      </c>
    </row>
    <row r="60" spans="1:223" x14ac:dyDescent="0.35">
      <c r="B60" s="37" t="str" cm="1">
        <f t="array" ref="B60:F109">_xlfn.CHOOSECOLS('[1]BG Reel Strips'!$B$5:$K$54,_xlfn.SEQUENCE(1,5,1,2))</f>
        <v>F9</v>
      </c>
      <c r="C60" s="37" t="str">
        <v>F8</v>
      </c>
      <c r="D60" s="37" t="str">
        <v>M4</v>
      </c>
      <c r="E60" s="37" t="str">
        <v>M4</v>
      </c>
      <c r="F60" s="37" t="str">
        <v>F8</v>
      </c>
      <c r="I60" s="37" cm="1">
        <f t="array" ref="I60:M109">_xlfn.CHOOSECOLS('[1]BG Reel Strips'!$B$5:$K$54,_xlfn.SEQUENCE(1,5,2,2))</f>
        <v>20</v>
      </c>
      <c r="J60" s="37">
        <v>20</v>
      </c>
      <c r="K60" s="37">
        <v>20</v>
      </c>
      <c r="L60" s="37">
        <v>1</v>
      </c>
      <c r="M60" s="37">
        <v>20</v>
      </c>
      <c r="P60" s="37" t="str" cm="1">
        <f t="array" ref="P60:T109">_xlfn.CHOOSECOLS('[1]BG Reel Strips'!$M$5:$V$54,_xlfn.SEQUENCE(1,5,1,2))</f>
        <v>F9</v>
      </c>
      <c r="Q60" s="37" t="str">
        <v>F8</v>
      </c>
      <c r="R60" s="37" t="str">
        <v>M4</v>
      </c>
      <c r="S60" s="37" t="str">
        <v>M4</v>
      </c>
      <c r="T60" s="37" t="str">
        <v>F8</v>
      </c>
      <c r="W60" s="37" cm="1">
        <f t="array" ref="W60:AA109">_xlfn.CHOOSECOLS('[1]BG Reel Strips'!$M$5:$V$54,_xlfn.SEQUENCE(1,5,2,2))</f>
        <v>20</v>
      </c>
      <c r="X60" s="37">
        <v>20</v>
      </c>
      <c r="Y60" s="37">
        <v>20</v>
      </c>
      <c r="Z60" s="37">
        <v>1</v>
      </c>
      <c r="AA60" s="37">
        <v>20</v>
      </c>
      <c r="AD60" s="37" t="str" cm="1">
        <f t="array" ref="AD60:AH109">_xlfn.CHOOSECOLS('[1]BG Reel Strips'!$X$5:$AG$54,_xlfn.SEQUENCE(1,5,1,2))</f>
        <v>F9</v>
      </c>
      <c r="AE60" s="37" t="str">
        <v>F8</v>
      </c>
      <c r="AF60" s="37" t="str">
        <v>M4</v>
      </c>
      <c r="AG60" s="37" t="str">
        <v>M4</v>
      </c>
      <c r="AH60" s="37" t="str">
        <v>F8</v>
      </c>
      <c r="AK60" s="37" cm="1">
        <f t="array" ref="AK60:AO109">_xlfn.CHOOSECOLS('[1]BG Reel Strips'!$X$5:$AG$54,_xlfn.SEQUENCE(1,5,2,2))</f>
        <v>20</v>
      </c>
      <c r="AL60" s="37">
        <v>20</v>
      </c>
      <c r="AM60" s="37">
        <v>20</v>
      </c>
      <c r="AN60" s="37">
        <v>1</v>
      </c>
      <c r="AO60" s="37">
        <v>20</v>
      </c>
      <c r="AR60" s="37" t="str" cm="1">
        <f t="array" ref="AR60:AV109">_xlfn.CHOOSECOLS('[1]BG Reel Strips'!$AI$5:$AR$54,_xlfn.SEQUENCE(1,5,1,2))</f>
        <v>F9</v>
      </c>
      <c r="AS60" s="37" t="str">
        <v>F8</v>
      </c>
      <c r="AT60" s="37" t="str">
        <v>M4</v>
      </c>
      <c r="AU60" s="37" t="str">
        <v>M4</v>
      </c>
      <c r="AV60" s="37" t="str">
        <v>F8</v>
      </c>
      <c r="AY60" s="37" cm="1">
        <f t="array" ref="AY60:BC109">_xlfn.CHOOSECOLS('[1]BG Reel Strips'!$AI$5:$AR$54,_xlfn.SEQUENCE(1,5,2,2))</f>
        <v>20</v>
      </c>
      <c r="AZ60" s="37">
        <v>20</v>
      </c>
      <c r="BA60" s="37">
        <v>20</v>
      </c>
      <c r="BB60" s="37">
        <v>1</v>
      </c>
      <c r="BC60" s="37">
        <v>20</v>
      </c>
      <c r="BF60" s="37" t="str" cm="1">
        <f t="array" ref="BF60:BJ109">_xlfn.CHOOSECOLS('[1]BG Reel Strips'!$AT$5:$BC$54,_xlfn.SEQUENCE(1,5,1,2))</f>
        <v>F9</v>
      </c>
      <c r="BG60" s="37" t="str">
        <v>F8</v>
      </c>
      <c r="BH60" s="37" t="str">
        <v>M4</v>
      </c>
      <c r="BI60" s="37" t="str">
        <v>M4</v>
      </c>
      <c r="BJ60" s="37" t="str">
        <v>F8</v>
      </c>
      <c r="BM60" s="37" cm="1">
        <f t="array" ref="BM60:BQ109">_xlfn.CHOOSECOLS('[1]BG Reel Strips'!$AT$5:$BC$54,_xlfn.SEQUENCE(1,5,2,2))</f>
        <v>20</v>
      </c>
      <c r="BN60" s="37">
        <v>20</v>
      </c>
      <c r="BO60" s="37">
        <v>20</v>
      </c>
      <c r="BP60" s="37">
        <v>1</v>
      </c>
      <c r="BQ60" s="37">
        <v>20</v>
      </c>
      <c r="BT60" s="37" t="str" cm="1">
        <f t="array" ref="BT60:BX109">_xlfn.CHOOSECOLS('[1]BG Reel Strips'!$BE$5:$BN$54,_xlfn.SEQUENCE(1,5,1,2))</f>
        <v>F9</v>
      </c>
      <c r="BU60" s="37" t="str">
        <v>F8</v>
      </c>
      <c r="BV60" s="37" t="str">
        <v>M4</v>
      </c>
      <c r="BW60" s="37" t="str">
        <v>M4</v>
      </c>
      <c r="BX60" s="37" t="str">
        <v>F8</v>
      </c>
      <c r="CA60" s="37" cm="1">
        <f t="array" ref="CA60:CE109">_xlfn.CHOOSECOLS('[1]BG Reel Strips'!$BE$5:$BN$54,_xlfn.SEQUENCE(1,5,2,2))</f>
        <v>20</v>
      </c>
      <c r="CB60" s="37">
        <v>20</v>
      </c>
      <c r="CC60" s="37">
        <v>20</v>
      </c>
      <c r="CD60" s="37">
        <v>1</v>
      </c>
      <c r="CE60" s="37">
        <v>20</v>
      </c>
      <c r="CH60" s="37" t="str" cm="1">
        <f t="array" ref="CH60:CL109">_xlfn.CHOOSECOLS('[1]BG Reel Strips'!$BP$5:$BY$54,_xlfn.SEQUENCE(1,5,1,2))</f>
        <v>F9</v>
      </c>
      <c r="CI60" s="37" t="str">
        <v>F8</v>
      </c>
      <c r="CJ60" s="37" t="str">
        <v>M4</v>
      </c>
      <c r="CK60" s="37" t="str">
        <v>M4</v>
      </c>
      <c r="CL60" s="37" t="str">
        <v>F8</v>
      </c>
      <c r="CO60" s="37" cm="1">
        <f t="array" ref="CO60:CS109">_xlfn.CHOOSECOLS('[1]BG Reel Strips'!$BP$5:$BY$54,_xlfn.SEQUENCE(1,5,2,2))</f>
        <v>20</v>
      </c>
      <c r="CP60" s="37">
        <v>20</v>
      </c>
      <c r="CQ60" s="37">
        <v>20</v>
      </c>
      <c r="CR60" s="37">
        <v>1</v>
      </c>
      <c r="CS60" s="37">
        <v>20</v>
      </c>
      <c r="CV60" s="37" t="str" cm="1">
        <f t="array" ref="CV60:CZ109">_xlfn.CHOOSECOLS('[1]BG Reel Strips'!$CA$5:$CJ$54,_xlfn.SEQUENCE(1,5,1,2))</f>
        <v>F9</v>
      </c>
      <c r="CW60" s="37" t="str">
        <v>F8</v>
      </c>
      <c r="CX60" s="37" t="str">
        <v>M4</v>
      </c>
      <c r="CY60" s="37" t="str">
        <v>M4</v>
      </c>
      <c r="CZ60" s="37" t="str">
        <v>F8</v>
      </c>
      <c r="DC60" s="37" cm="1">
        <f t="array" ref="DC60:DG109">_xlfn.CHOOSECOLS('[1]BG Reel Strips'!$CA$5:$CJ$54,_xlfn.SEQUENCE(1,5,2,2))</f>
        <v>20</v>
      </c>
      <c r="DD60" s="37">
        <v>20</v>
      </c>
      <c r="DE60" s="37">
        <v>20</v>
      </c>
      <c r="DF60" s="37">
        <v>1</v>
      </c>
      <c r="DG60" s="37">
        <v>20</v>
      </c>
      <c r="DJ60" s="37" t="str" cm="1">
        <f t="array" ref="DJ60:DN109">_xlfn.CHOOSECOLS('[1]BG Reel Strips'!$CL$5:$CU$54,_xlfn.SEQUENCE(1,5,1,2))</f>
        <v>F9</v>
      </c>
      <c r="DK60" s="37" t="str">
        <v>F8</v>
      </c>
      <c r="DL60" s="37" t="str">
        <v>M4</v>
      </c>
      <c r="DM60" s="37" t="str">
        <v>M4</v>
      </c>
      <c r="DN60" s="37" t="str">
        <v>F8</v>
      </c>
      <c r="DQ60" s="37" cm="1">
        <f t="array" ref="DQ60:DU109">_xlfn.CHOOSECOLS('[1]BG Reel Strips'!$CL$5:$CU$54,_xlfn.SEQUENCE(1,5,2,2))</f>
        <v>20</v>
      </c>
      <c r="DR60" s="37">
        <v>20</v>
      </c>
      <c r="DS60" s="37">
        <v>20</v>
      </c>
      <c r="DT60" s="37">
        <v>1</v>
      </c>
      <c r="DU60" s="37">
        <v>20</v>
      </c>
      <c r="DX60" s="37" t="str" cm="1">
        <f t="array" ref="DX60:EB109">_xlfn.CHOOSECOLS('[1]BG Reel Strips'!$CW$5:$DF$54,_xlfn.SEQUENCE(1,5,1,2))</f>
        <v>F9</v>
      </c>
      <c r="DY60" s="37" t="str">
        <v>F8</v>
      </c>
      <c r="DZ60" s="37" t="str">
        <v>M4</v>
      </c>
      <c r="EA60" s="37" t="str">
        <v>M4</v>
      </c>
      <c r="EB60" s="37" t="str">
        <v>F8</v>
      </c>
      <c r="EE60" s="37" cm="1">
        <f t="array" ref="EE60:EI109">_xlfn.CHOOSECOLS('[1]BG Reel Strips'!$CW$5:$DF$54,_xlfn.SEQUENCE(1,5,2,2))</f>
        <v>20</v>
      </c>
      <c r="EF60" s="37">
        <v>20</v>
      </c>
      <c r="EG60" s="37">
        <v>20</v>
      </c>
      <c r="EH60" s="37">
        <v>1</v>
      </c>
      <c r="EI60" s="37">
        <v>20</v>
      </c>
      <c r="EL60" s="37" t="str" cm="1">
        <f t="array" ref="EL60:EP109">_xlfn.CHOOSECOLS('[1]BG Reel Strips'!$DH$5:$DQ$54,_xlfn.SEQUENCE(1,5,1,2))</f>
        <v>F9</v>
      </c>
      <c r="EM60" s="37" t="str">
        <v>F8</v>
      </c>
      <c r="EN60" s="37" t="str">
        <v>M4</v>
      </c>
      <c r="EO60" s="37" t="str">
        <v>M4</v>
      </c>
      <c r="EP60" s="37" t="str">
        <v>F8</v>
      </c>
      <c r="ES60" s="37" cm="1">
        <f t="array" ref="ES60:EW109">_xlfn.CHOOSECOLS('[1]BG Reel Strips'!$DH$5:$DQ$54,_xlfn.SEQUENCE(1,5,2,2))</f>
        <v>20</v>
      </c>
      <c r="ET60" s="37">
        <v>20</v>
      </c>
      <c r="EU60" s="37">
        <v>20</v>
      </c>
      <c r="EV60" s="37">
        <v>1</v>
      </c>
      <c r="EW60" s="37">
        <v>20</v>
      </c>
      <c r="EZ60" s="37" t="str" cm="1">
        <f t="array" ref="EZ60:FD109">_xlfn.CHOOSECOLS('[1]BG Reel Strips'!$DS$5:$EB$54,_xlfn.SEQUENCE(1,5,1,2))</f>
        <v>F9</v>
      </c>
      <c r="FA60" s="37" t="str">
        <v>F8</v>
      </c>
      <c r="FB60" s="37" t="str">
        <v>M4</v>
      </c>
      <c r="FC60" s="37" t="str">
        <v>M4</v>
      </c>
      <c r="FD60" s="37" t="str">
        <v>F8</v>
      </c>
      <c r="FG60" s="37" cm="1">
        <f t="array" ref="FG60:FK109">_xlfn.CHOOSECOLS('[1]BG Reel Strips'!$DS$5:$EB$54,_xlfn.SEQUENCE(1,5,2,2))</f>
        <v>20</v>
      </c>
      <c r="FH60" s="37">
        <v>20</v>
      </c>
      <c r="FI60" s="37">
        <v>20</v>
      </c>
      <c r="FJ60" s="37">
        <v>1</v>
      </c>
      <c r="FK60" s="37">
        <v>20</v>
      </c>
      <c r="FN60" s="37" t="str" cm="1">
        <f t="array" ref="FN60:FR109">_xlfn.CHOOSECOLS('[1]BG Reel Strips'!$ED$5:$EM$54,_xlfn.SEQUENCE(1,5,1,2))</f>
        <v>F9</v>
      </c>
      <c r="FO60" s="37" t="str">
        <v>F8</v>
      </c>
      <c r="FP60" s="37" t="str">
        <v>M4</v>
      </c>
      <c r="FQ60" s="37" t="str">
        <v>M4</v>
      </c>
      <c r="FR60" s="37" t="str">
        <v>F8</v>
      </c>
      <c r="FU60" s="37" cm="1">
        <f t="array" ref="FU60:FY109">_xlfn.CHOOSECOLS('[1]BG Reel Strips'!$ED$5:$EM$54,_xlfn.SEQUENCE(1,5,2,2))</f>
        <v>20</v>
      </c>
      <c r="FV60" s="37">
        <v>20</v>
      </c>
      <c r="FW60" s="37">
        <v>20</v>
      </c>
      <c r="FX60" s="37">
        <v>1</v>
      </c>
      <c r="FY60" s="37">
        <v>20</v>
      </c>
      <c r="GB60" s="37" t="str" cm="1">
        <f t="array" ref="GB60:GF109">_xlfn.CHOOSECOLS('[1]BG Reel Strips'!$EO$5:$EX$54,_xlfn.SEQUENCE(1,5,1,2))</f>
        <v>F9</v>
      </c>
      <c r="GC60" s="37" t="str">
        <v>F8</v>
      </c>
      <c r="GD60" s="37" t="str">
        <v>M4</v>
      </c>
      <c r="GE60" s="37" t="str">
        <v>M4</v>
      </c>
      <c r="GF60" s="37" t="str">
        <v>F8</v>
      </c>
      <c r="GI60" s="37" cm="1">
        <f t="array" ref="GI60:GM109">_xlfn.CHOOSECOLS('[1]BG Reel Strips'!$EO$5:$EX$54,_xlfn.SEQUENCE(1,5,2,2))</f>
        <v>20</v>
      </c>
      <c r="GJ60" s="37">
        <v>20</v>
      </c>
      <c r="GK60" s="37">
        <v>20</v>
      </c>
      <c r="GL60" s="37">
        <v>1</v>
      </c>
      <c r="GM60" s="37">
        <v>20</v>
      </c>
      <c r="GP60" s="37" t="str" cm="1">
        <f t="array" ref="GP60:GT109">_xlfn.CHOOSECOLS('[1]BG Reel Strips'!$EZ$5:$FI$54,_xlfn.SEQUENCE(1,5,1,2))</f>
        <v>F9</v>
      </c>
      <c r="GQ60" s="37" t="str">
        <v>F8</v>
      </c>
      <c r="GR60" s="37" t="str">
        <v>M4</v>
      </c>
      <c r="GS60" s="37" t="str">
        <v>M4</v>
      </c>
      <c r="GT60" s="37" t="str">
        <v>F8</v>
      </c>
      <c r="GW60" s="37" cm="1">
        <f t="array" ref="GW60:HA109">_xlfn.CHOOSECOLS('[1]BG Reel Strips'!$EZ$5:$FI$54,_xlfn.SEQUENCE(1,5,2,2))</f>
        <v>20</v>
      </c>
      <c r="GX60" s="37">
        <v>20</v>
      </c>
      <c r="GY60" s="37">
        <v>20</v>
      </c>
      <c r="GZ60" s="37">
        <v>1</v>
      </c>
      <c r="HA60" s="37">
        <v>20</v>
      </c>
      <c r="HD60" s="37" t="str" cm="1">
        <f t="array" ref="HD60:HH109">_xlfn.CHOOSECOLS('[1]BG Reel Strips'!$FK$5:$FT$54,_xlfn.SEQUENCE(1,5,1,2))</f>
        <v>F9</v>
      </c>
      <c r="HE60" s="37" t="str">
        <v>F8</v>
      </c>
      <c r="HF60" s="37" t="str">
        <v>M4</v>
      </c>
      <c r="HG60" s="37" t="str">
        <v>M4</v>
      </c>
      <c r="HH60" s="37" t="str">
        <v>F8</v>
      </c>
      <c r="HK60" s="37" cm="1">
        <f t="array" ref="HK60:HO109">_xlfn.CHOOSECOLS('[1]BG Reel Strips'!$FK$5:$FT$54,_xlfn.SEQUENCE(1,5,2,2))</f>
        <v>20</v>
      </c>
      <c r="HL60" s="37">
        <v>20</v>
      </c>
      <c r="HM60" s="37">
        <v>20</v>
      </c>
      <c r="HN60" s="37">
        <v>1</v>
      </c>
      <c r="HO60" s="37">
        <v>20</v>
      </c>
    </row>
    <row r="61" spans="1:223" x14ac:dyDescent="0.35">
      <c r="B61" s="37" t="str">
        <v>F8</v>
      </c>
      <c r="C61" s="37" t="str">
        <v>F8</v>
      </c>
      <c r="D61" s="37" t="str">
        <v>M4</v>
      </c>
      <c r="E61" s="37" t="str">
        <v>F7</v>
      </c>
      <c r="F61" s="37" t="str">
        <v>F5</v>
      </c>
      <c r="I61" s="37">
        <v>20</v>
      </c>
      <c r="J61" s="37">
        <v>20</v>
      </c>
      <c r="K61" s="37">
        <v>20</v>
      </c>
      <c r="L61" s="37">
        <v>20</v>
      </c>
      <c r="M61" s="37">
        <v>20</v>
      </c>
      <c r="P61" s="37" t="str">
        <v>F8</v>
      </c>
      <c r="Q61" s="37" t="str">
        <v>F8</v>
      </c>
      <c r="R61" s="37" t="str">
        <v>M4</v>
      </c>
      <c r="S61" s="37" t="str">
        <v>F7</v>
      </c>
      <c r="T61" s="37" t="str">
        <v>F5</v>
      </c>
      <c r="W61" s="37">
        <v>1</v>
      </c>
      <c r="X61" s="37">
        <v>20</v>
      </c>
      <c r="Y61" s="37">
        <v>20</v>
      </c>
      <c r="Z61" s="37">
        <v>20</v>
      </c>
      <c r="AA61" s="37">
        <v>20</v>
      </c>
      <c r="AD61" s="37" t="str">
        <v>F8</v>
      </c>
      <c r="AE61" s="37" t="str">
        <v>F8</v>
      </c>
      <c r="AF61" s="37" t="str">
        <v>M4</v>
      </c>
      <c r="AG61" s="37" t="str">
        <v>F7</v>
      </c>
      <c r="AH61" s="37" t="str">
        <v>F5</v>
      </c>
      <c r="AK61" s="37">
        <v>20</v>
      </c>
      <c r="AL61" s="37">
        <v>20</v>
      </c>
      <c r="AM61" s="37">
        <v>20</v>
      </c>
      <c r="AN61" s="37">
        <v>20</v>
      </c>
      <c r="AO61" s="37">
        <v>20</v>
      </c>
      <c r="AR61" s="37" t="str">
        <v>F8</v>
      </c>
      <c r="AS61" s="37" t="str">
        <v>F8</v>
      </c>
      <c r="AT61" s="37" t="str">
        <v>M4</v>
      </c>
      <c r="AU61" s="37" t="str">
        <v>F7</v>
      </c>
      <c r="AV61" s="37" t="str">
        <v>F5</v>
      </c>
      <c r="AY61" s="37">
        <v>20</v>
      </c>
      <c r="AZ61" s="37">
        <v>20</v>
      </c>
      <c r="BA61" s="37">
        <v>20</v>
      </c>
      <c r="BB61" s="37">
        <v>20</v>
      </c>
      <c r="BC61" s="37">
        <v>20</v>
      </c>
      <c r="BF61" s="37" t="str">
        <v>F8</v>
      </c>
      <c r="BG61" s="37" t="str">
        <v>F8</v>
      </c>
      <c r="BH61" s="37" t="str">
        <v>M4</v>
      </c>
      <c r="BI61" s="37" t="str">
        <v>F7</v>
      </c>
      <c r="BJ61" s="37" t="str">
        <v>F5</v>
      </c>
      <c r="BM61" s="37">
        <v>20</v>
      </c>
      <c r="BN61" s="37">
        <v>20</v>
      </c>
      <c r="BO61" s="37">
        <v>20</v>
      </c>
      <c r="BP61" s="37">
        <v>20</v>
      </c>
      <c r="BQ61" s="37">
        <v>20</v>
      </c>
      <c r="BT61" s="37" t="str">
        <v>F8</v>
      </c>
      <c r="BU61" s="37" t="str">
        <v>F8</v>
      </c>
      <c r="BV61" s="37" t="str">
        <v>M4</v>
      </c>
      <c r="BW61" s="37" t="str">
        <v>F7</v>
      </c>
      <c r="BX61" s="37" t="str">
        <v>F5</v>
      </c>
      <c r="CA61" s="37">
        <v>20</v>
      </c>
      <c r="CB61" s="37">
        <v>20</v>
      </c>
      <c r="CC61" s="37">
        <v>20</v>
      </c>
      <c r="CD61" s="37">
        <v>20</v>
      </c>
      <c r="CE61" s="37">
        <v>20</v>
      </c>
      <c r="CH61" s="37" t="str">
        <v>F8</v>
      </c>
      <c r="CI61" s="37" t="str">
        <v>F8</v>
      </c>
      <c r="CJ61" s="37" t="str">
        <v>M4</v>
      </c>
      <c r="CK61" s="37" t="str">
        <v>F7</v>
      </c>
      <c r="CL61" s="37" t="str">
        <v>F5</v>
      </c>
      <c r="CO61" s="37">
        <v>20</v>
      </c>
      <c r="CP61" s="37">
        <v>20</v>
      </c>
      <c r="CQ61" s="37">
        <v>20</v>
      </c>
      <c r="CR61" s="37">
        <v>20</v>
      </c>
      <c r="CS61" s="37">
        <v>20</v>
      </c>
      <c r="CV61" s="37" t="str">
        <v>F8</v>
      </c>
      <c r="CW61" s="37" t="str">
        <v>F8</v>
      </c>
      <c r="CX61" s="37" t="str">
        <v>M4</v>
      </c>
      <c r="CY61" s="37" t="str">
        <v>F7</v>
      </c>
      <c r="CZ61" s="37" t="str">
        <v>F5</v>
      </c>
      <c r="DC61" s="37">
        <v>20</v>
      </c>
      <c r="DD61" s="37">
        <v>20</v>
      </c>
      <c r="DE61" s="37">
        <v>20</v>
      </c>
      <c r="DF61" s="37">
        <v>20</v>
      </c>
      <c r="DG61" s="37">
        <v>20</v>
      </c>
      <c r="DJ61" s="37" t="str">
        <v>F8</v>
      </c>
      <c r="DK61" s="37" t="str">
        <v>F8</v>
      </c>
      <c r="DL61" s="37" t="str">
        <v>M4</v>
      </c>
      <c r="DM61" s="37" t="str">
        <v>F7</v>
      </c>
      <c r="DN61" s="37" t="str">
        <v>F5</v>
      </c>
      <c r="DQ61" s="37">
        <v>20</v>
      </c>
      <c r="DR61" s="37">
        <v>20</v>
      </c>
      <c r="DS61" s="37">
        <v>20</v>
      </c>
      <c r="DT61" s="37">
        <v>20</v>
      </c>
      <c r="DU61" s="37">
        <v>20</v>
      </c>
      <c r="DX61" s="37" t="str">
        <v>F8</v>
      </c>
      <c r="DY61" s="37" t="str">
        <v>F8</v>
      </c>
      <c r="DZ61" s="37" t="str">
        <v>M4</v>
      </c>
      <c r="EA61" s="37" t="str">
        <v>F7</v>
      </c>
      <c r="EB61" s="37" t="str">
        <v>F5</v>
      </c>
      <c r="EE61" s="37">
        <v>20</v>
      </c>
      <c r="EF61" s="37">
        <v>20</v>
      </c>
      <c r="EG61" s="37">
        <v>20</v>
      </c>
      <c r="EH61" s="37">
        <v>20</v>
      </c>
      <c r="EI61" s="37">
        <v>20</v>
      </c>
      <c r="EL61" s="37" t="str">
        <v>F8</v>
      </c>
      <c r="EM61" s="37" t="str">
        <v>F8</v>
      </c>
      <c r="EN61" s="37" t="str">
        <v>M4</v>
      </c>
      <c r="EO61" s="37" t="str">
        <v>F7</v>
      </c>
      <c r="EP61" s="37" t="str">
        <v>F5</v>
      </c>
      <c r="ES61" s="37">
        <v>20</v>
      </c>
      <c r="ET61" s="37">
        <v>20</v>
      </c>
      <c r="EU61" s="37">
        <v>20</v>
      </c>
      <c r="EV61" s="37">
        <v>20</v>
      </c>
      <c r="EW61" s="37">
        <v>20</v>
      </c>
      <c r="EZ61" s="37" t="str">
        <v>F8</v>
      </c>
      <c r="FA61" s="37" t="str">
        <v>F8</v>
      </c>
      <c r="FB61" s="37" t="str">
        <v>M4</v>
      </c>
      <c r="FC61" s="37" t="str">
        <v>F7</v>
      </c>
      <c r="FD61" s="37" t="str">
        <v>F5</v>
      </c>
      <c r="FG61" s="37">
        <v>20</v>
      </c>
      <c r="FH61" s="37">
        <v>20</v>
      </c>
      <c r="FI61" s="37">
        <v>20</v>
      </c>
      <c r="FJ61" s="37">
        <v>20</v>
      </c>
      <c r="FK61" s="37">
        <v>20</v>
      </c>
      <c r="FN61" s="37" t="str">
        <v>F8</v>
      </c>
      <c r="FO61" s="37" t="str">
        <v>F8</v>
      </c>
      <c r="FP61" s="37" t="str">
        <v>M4</v>
      </c>
      <c r="FQ61" s="37" t="str">
        <v>F7</v>
      </c>
      <c r="FR61" s="37" t="str">
        <v>F5</v>
      </c>
      <c r="FU61" s="37">
        <v>20</v>
      </c>
      <c r="FV61" s="37">
        <v>20</v>
      </c>
      <c r="FW61" s="37">
        <v>20</v>
      </c>
      <c r="FX61" s="37">
        <v>20</v>
      </c>
      <c r="FY61" s="37">
        <v>20</v>
      </c>
      <c r="GB61" s="37" t="str">
        <v>F8</v>
      </c>
      <c r="GC61" s="37" t="str">
        <v>F8</v>
      </c>
      <c r="GD61" s="37" t="str">
        <v>M4</v>
      </c>
      <c r="GE61" s="37" t="str">
        <v>F7</v>
      </c>
      <c r="GF61" s="37" t="str">
        <v>F5</v>
      </c>
      <c r="GI61" s="37">
        <v>20</v>
      </c>
      <c r="GJ61" s="37">
        <v>20</v>
      </c>
      <c r="GK61" s="37">
        <v>20</v>
      </c>
      <c r="GL61" s="37">
        <v>20</v>
      </c>
      <c r="GM61" s="37">
        <v>20</v>
      </c>
      <c r="GP61" s="37" t="str">
        <v>F8</v>
      </c>
      <c r="GQ61" s="37" t="str">
        <v>F8</v>
      </c>
      <c r="GR61" s="37" t="str">
        <v>M4</v>
      </c>
      <c r="GS61" s="37" t="str">
        <v>F7</v>
      </c>
      <c r="GT61" s="37" t="str">
        <v>F5</v>
      </c>
      <c r="GW61" s="37">
        <v>20</v>
      </c>
      <c r="GX61" s="37">
        <v>20</v>
      </c>
      <c r="GY61" s="37">
        <v>20</v>
      </c>
      <c r="GZ61" s="37">
        <v>20</v>
      </c>
      <c r="HA61" s="37">
        <v>20</v>
      </c>
      <c r="HD61" s="37" t="str">
        <v>F8</v>
      </c>
      <c r="HE61" s="37" t="str">
        <v>F8</v>
      </c>
      <c r="HF61" s="37" t="str">
        <v>M4</v>
      </c>
      <c r="HG61" s="37" t="str">
        <v>F7</v>
      </c>
      <c r="HH61" s="37" t="str">
        <v>F5</v>
      </c>
      <c r="HK61" s="37">
        <v>20</v>
      </c>
      <c r="HL61" s="37">
        <v>20</v>
      </c>
      <c r="HM61" s="37">
        <v>20</v>
      </c>
      <c r="HN61" s="37">
        <v>20</v>
      </c>
      <c r="HO61" s="37">
        <v>20</v>
      </c>
    </row>
    <row r="62" spans="1:223" x14ac:dyDescent="0.35">
      <c r="B62" s="37" t="str">
        <v>F7</v>
      </c>
      <c r="C62" s="37" t="str">
        <v>F6</v>
      </c>
      <c r="D62" s="37" t="str">
        <v>F5</v>
      </c>
      <c r="E62" s="37" t="str">
        <v>M2</v>
      </c>
      <c r="F62" s="37" t="str">
        <v>F5</v>
      </c>
      <c r="I62" s="37">
        <v>20</v>
      </c>
      <c r="J62" s="37">
        <v>1</v>
      </c>
      <c r="K62" s="37">
        <v>1</v>
      </c>
      <c r="L62" s="37">
        <v>20</v>
      </c>
      <c r="M62" s="37">
        <v>20</v>
      </c>
      <c r="P62" s="37" t="str">
        <v>F7</v>
      </c>
      <c r="Q62" s="37" t="str">
        <v>F6</v>
      </c>
      <c r="R62" s="37" t="str">
        <v>F5</v>
      </c>
      <c r="S62" s="37" t="str">
        <v>M2</v>
      </c>
      <c r="T62" s="37" t="str">
        <v>F5</v>
      </c>
      <c r="W62" s="37">
        <v>20</v>
      </c>
      <c r="X62" s="37">
        <v>1</v>
      </c>
      <c r="Y62" s="37">
        <v>1</v>
      </c>
      <c r="Z62" s="37">
        <v>20</v>
      </c>
      <c r="AA62" s="37">
        <v>20</v>
      </c>
      <c r="AD62" s="37" t="str">
        <v>F7</v>
      </c>
      <c r="AE62" s="37" t="str">
        <v>F6</v>
      </c>
      <c r="AF62" s="37" t="str">
        <v>F5</v>
      </c>
      <c r="AG62" s="37" t="str">
        <v>M2</v>
      </c>
      <c r="AH62" s="37" t="str">
        <v>F5</v>
      </c>
      <c r="AK62" s="37">
        <v>20</v>
      </c>
      <c r="AL62" s="37">
        <v>2000</v>
      </c>
      <c r="AM62" s="37">
        <v>1</v>
      </c>
      <c r="AN62" s="37">
        <v>20</v>
      </c>
      <c r="AO62" s="37">
        <v>20</v>
      </c>
      <c r="AR62" s="37" t="str">
        <v>F7</v>
      </c>
      <c r="AS62" s="37" t="str">
        <v>F6</v>
      </c>
      <c r="AT62" s="37" t="str">
        <v>F5</v>
      </c>
      <c r="AU62" s="37" t="str">
        <v>M2</v>
      </c>
      <c r="AV62" s="37" t="str">
        <v>F5</v>
      </c>
      <c r="AY62" s="37">
        <v>20</v>
      </c>
      <c r="AZ62" s="37">
        <v>4000</v>
      </c>
      <c r="BA62" s="37">
        <v>1</v>
      </c>
      <c r="BB62" s="37">
        <v>20</v>
      </c>
      <c r="BC62" s="37">
        <v>20</v>
      </c>
      <c r="BF62" s="37" t="str">
        <v>F7</v>
      </c>
      <c r="BG62" s="37" t="str">
        <v>F6</v>
      </c>
      <c r="BH62" s="37" t="str">
        <v>F5</v>
      </c>
      <c r="BI62" s="37" t="str">
        <v>M2</v>
      </c>
      <c r="BJ62" s="37" t="str">
        <v>F5</v>
      </c>
      <c r="BM62" s="37">
        <v>20</v>
      </c>
      <c r="BN62" s="37">
        <v>5000</v>
      </c>
      <c r="BO62" s="37">
        <v>5000</v>
      </c>
      <c r="BP62" s="37">
        <v>20</v>
      </c>
      <c r="BQ62" s="37">
        <v>20</v>
      </c>
      <c r="BT62" s="37" t="str">
        <v>F7</v>
      </c>
      <c r="BU62" s="37" t="str">
        <v>F6</v>
      </c>
      <c r="BV62" s="37" t="str">
        <v>F5</v>
      </c>
      <c r="BW62" s="37" t="str">
        <v>M2</v>
      </c>
      <c r="BX62" s="37" t="str">
        <v>F5</v>
      </c>
      <c r="CA62" s="37">
        <v>20</v>
      </c>
      <c r="CB62" s="37">
        <v>4000</v>
      </c>
      <c r="CC62" s="37">
        <v>1</v>
      </c>
      <c r="CD62" s="37">
        <v>20</v>
      </c>
      <c r="CE62" s="37">
        <v>20</v>
      </c>
      <c r="CH62" s="37" t="str">
        <v>F7</v>
      </c>
      <c r="CI62" s="37" t="str">
        <v>F6</v>
      </c>
      <c r="CJ62" s="37" t="str">
        <v>F5</v>
      </c>
      <c r="CK62" s="37" t="str">
        <v>M2</v>
      </c>
      <c r="CL62" s="37" t="str">
        <v>F5</v>
      </c>
      <c r="CO62" s="37">
        <v>20</v>
      </c>
      <c r="CP62" s="37">
        <v>1</v>
      </c>
      <c r="CQ62" s="37">
        <v>1</v>
      </c>
      <c r="CR62" s="37">
        <v>20</v>
      </c>
      <c r="CS62" s="37">
        <v>20</v>
      </c>
      <c r="CV62" s="37" t="str">
        <v>F7</v>
      </c>
      <c r="CW62" s="37" t="str">
        <v>F6</v>
      </c>
      <c r="CX62" s="37" t="str">
        <v>F5</v>
      </c>
      <c r="CY62" s="37" t="str">
        <v>M2</v>
      </c>
      <c r="CZ62" s="37" t="str">
        <v>F5</v>
      </c>
      <c r="DC62" s="37">
        <v>20</v>
      </c>
      <c r="DD62" s="37">
        <v>4000</v>
      </c>
      <c r="DE62" s="37">
        <v>1</v>
      </c>
      <c r="DF62" s="37">
        <v>20</v>
      </c>
      <c r="DG62" s="37">
        <v>20</v>
      </c>
      <c r="DJ62" s="37" t="str">
        <v>F7</v>
      </c>
      <c r="DK62" s="37" t="str">
        <v>F6</v>
      </c>
      <c r="DL62" s="37" t="str">
        <v>F5</v>
      </c>
      <c r="DM62" s="37" t="str">
        <v>M2</v>
      </c>
      <c r="DN62" s="37" t="str">
        <v>F5</v>
      </c>
      <c r="DQ62" s="37">
        <v>20</v>
      </c>
      <c r="DR62" s="37">
        <v>1</v>
      </c>
      <c r="DS62" s="37">
        <v>4000</v>
      </c>
      <c r="DT62" s="37">
        <v>20</v>
      </c>
      <c r="DU62" s="37">
        <v>20</v>
      </c>
      <c r="DX62" s="37" t="str">
        <v>F7</v>
      </c>
      <c r="DY62" s="37" t="str">
        <v>F6</v>
      </c>
      <c r="DZ62" s="37" t="str">
        <v>F5</v>
      </c>
      <c r="EA62" s="37" t="str">
        <v>M2</v>
      </c>
      <c r="EB62" s="37" t="str">
        <v>F5</v>
      </c>
      <c r="EE62" s="37">
        <v>20</v>
      </c>
      <c r="EF62" s="37">
        <v>1</v>
      </c>
      <c r="EG62" s="37">
        <v>1</v>
      </c>
      <c r="EH62" s="37">
        <v>20</v>
      </c>
      <c r="EI62" s="37">
        <v>20</v>
      </c>
      <c r="EL62" s="37" t="str">
        <v>F7</v>
      </c>
      <c r="EM62" s="37" t="str">
        <v>F6</v>
      </c>
      <c r="EN62" s="37" t="str">
        <v>F5</v>
      </c>
      <c r="EO62" s="37" t="str">
        <v>M2</v>
      </c>
      <c r="EP62" s="37" t="str">
        <v>F5</v>
      </c>
      <c r="ES62" s="37">
        <v>20</v>
      </c>
      <c r="ET62" s="37">
        <v>1</v>
      </c>
      <c r="EU62" s="37">
        <v>1</v>
      </c>
      <c r="EV62" s="37">
        <v>20</v>
      </c>
      <c r="EW62" s="37">
        <v>20</v>
      </c>
      <c r="EZ62" s="37" t="str">
        <v>F7</v>
      </c>
      <c r="FA62" s="37" t="str">
        <v>F6</v>
      </c>
      <c r="FB62" s="37" t="str">
        <v>F5</v>
      </c>
      <c r="FC62" s="37" t="str">
        <v>M2</v>
      </c>
      <c r="FD62" s="37" t="str">
        <v>F5</v>
      </c>
      <c r="FG62" s="37">
        <v>20</v>
      </c>
      <c r="FH62" s="37">
        <v>1</v>
      </c>
      <c r="FI62" s="37">
        <v>1</v>
      </c>
      <c r="FJ62" s="37">
        <v>20</v>
      </c>
      <c r="FK62" s="37">
        <v>20</v>
      </c>
      <c r="FN62" s="37" t="str">
        <v>F7</v>
      </c>
      <c r="FO62" s="37" t="str">
        <v>F6</v>
      </c>
      <c r="FP62" s="37" t="str">
        <v>F5</v>
      </c>
      <c r="FQ62" s="37" t="str">
        <v>M2</v>
      </c>
      <c r="FR62" s="37" t="str">
        <v>F5</v>
      </c>
      <c r="FU62" s="37">
        <v>20</v>
      </c>
      <c r="FV62" s="37">
        <v>4000</v>
      </c>
      <c r="FW62" s="37">
        <v>1</v>
      </c>
      <c r="FX62" s="37">
        <v>20</v>
      </c>
      <c r="FY62" s="37">
        <v>20</v>
      </c>
      <c r="GB62" s="37" t="str">
        <v>F7</v>
      </c>
      <c r="GC62" s="37" t="str">
        <v>F6</v>
      </c>
      <c r="GD62" s="37" t="str">
        <v>F5</v>
      </c>
      <c r="GE62" s="37" t="str">
        <v>M2</v>
      </c>
      <c r="GF62" s="37" t="str">
        <v>F5</v>
      </c>
      <c r="GI62" s="37">
        <v>20</v>
      </c>
      <c r="GJ62" s="37">
        <v>1</v>
      </c>
      <c r="GK62" s="37">
        <v>1</v>
      </c>
      <c r="GL62" s="37">
        <v>20</v>
      </c>
      <c r="GM62" s="37">
        <v>20</v>
      </c>
      <c r="GP62" s="37" t="str">
        <v>F7</v>
      </c>
      <c r="GQ62" s="37" t="str">
        <v>F6</v>
      </c>
      <c r="GR62" s="37" t="str">
        <v>F5</v>
      </c>
      <c r="GS62" s="37" t="str">
        <v>M2</v>
      </c>
      <c r="GT62" s="37" t="str">
        <v>F5</v>
      </c>
      <c r="GW62" s="37">
        <v>20</v>
      </c>
      <c r="GX62" s="37">
        <v>1</v>
      </c>
      <c r="GY62" s="37">
        <v>1</v>
      </c>
      <c r="GZ62" s="37">
        <v>20</v>
      </c>
      <c r="HA62" s="37">
        <v>20</v>
      </c>
      <c r="HD62" s="37" t="str">
        <v>F7</v>
      </c>
      <c r="HE62" s="37" t="str">
        <v>F6</v>
      </c>
      <c r="HF62" s="37" t="str">
        <v>F5</v>
      </c>
      <c r="HG62" s="37" t="str">
        <v>M2</v>
      </c>
      <c r="HH62" s="37" t="str">
        <v>F5</v>
      </c>
      <c r="HK62" s="37">
        <v>20</v>
      </c>
      <c r="HL62" s="37">
        <v>1</v>
      </c>
      <c r="HM62" s="37">
        <v>1</v>
      </c>
      <c r="HN62" s="37">
        <v>20</v>
      </c>
      <c r="HO62" s="37">
        <v>20</v>
      </c>
    </row>
    <row r="63" spans="1:223" x14ac:dyDescent="0.35">
      <c r="B63" s="37" t="str">
        <v>F8</v>
      </c>
      <c r="C63" s="37" t="str">
        <v>MB</v>
      </c>
      <c r="D63" s="37" t="str">
        <v>MB</v>
      </c>
      <c r="E63" s="37" t="str">
        <v>F6</v>
      </c>
      <c r="F63" s="37" t="str">
        <v>M4</v>
      </c>
      <c r="I63" s="37">
        <v>1</v>
      </c>
      <c r="J63" s="37">
        <v>1</v>
      </c>
      <c r="K63" s="37">
        <v>1</v>
      </c>
      <c r="L63" s="37">
        <v>1</v>
      </c>
      <c r="M63" s="37">
        <v>1</v>
      </c>
      <c r="P63" s="37" t="str">
        <v>F8</v>
      </c>
      <c r="Q63" s="37" t="str">
        <v>MB</v>
      </c>
      <c r="R63" s="37" t="str">
        <v>MB</v>
      </c>
      <c r="S63" s="37" t="str">
        <v>F6</v>
      </c>
      <c r="T63" s="37" t="str">
        <v>M4</v>
      </c>
      <c r="W63" s="37">
        <v>1</v>
      </c>
      <c r="X63" s="37">
        <v>1</v>
      </c>
      <c r="Y63" s="37">
        <v>1</v>
      </c>
      <c r="Z63" s="37">
        <v>1</v>
      </c>
      <c r="AA63" s="37">
        <v>2000</v>
      </c>
      <c r="AD63" s="37" t="str">
        <v>F8</v>
      </c>
      <c r="AE63" s="37" t="str">
        <v>MB</v>
      </c>
      <c r="AF63" s="37" t="str">
        <v>MB</v>
      </c>
      <c r="AG63" s="37" t="str">
        <v>F6</v>
      </c>
      <c r="AH63" s="37" t="str">
        <v>M4</v>
      </c>
      <c r="AK63" s="37">
        <v>1</v>
      </c>
      <c r="AL63" s="37">
        <v>2000</v>
      </c>
      <c r="AM63" s="37">
        <v>1</v>
      </c>
      <c r="AN63" s="37">
        <v>1</v>
      </c>
      <c r="AO63" s="37">
        <v>1</v>
      </c>
      <c r="AR63" s="37" t="str">
        <v>F8</v>
      </c>
      <c r="AS63" s="37" t="str">
        <v>MB</v>
      </c>
      <c r="AT63" s="37" t="str">
        <v>MB</v>
      </c>
      <c r="AU63" s="37" t="str">
        <v>F6</v>
      </c>
      <c r="AV63" s="37" t="str">
        <v>M4</v>
      </c>
      <c r="AY63" s="37">
        <v>1</v>
      </c>
      <c r="AZ63" s="37">
        <v>4000</v>
      </c>
      <c r="BA63" s="37">
        <v>1</v>
      </c>
      <c r="BB63" s="37">
        <v>1</v>
      </c>
      <c r="BC63" s="37">
        <v>1</v>
      </c>
      <c r="BF63" s="37" t="str">
        <v>F8</v>
      </c>
      <c r="BG63" s="37" t="str">
        <v>MB</v>
      </c>
      <c r="BH63" s="37" t="str">
        <v>MB</v>
      </c>
      <c r="BI63" s="37" t="str">
        <v>F6</v>
      </c>
      <c r="BJ63" s="37" t="str">
        <v>M4</v>
      </c>
      <c r="BM63" s="37">
        <v>5000</v>
      </c>
      <c r="BN63" s="37">
        <v>5000</v>
      </c>
      <c r="BO63" s="37">
        <v>5000</v>
      </c>
      <c r="BP63" s="37">
        <v>1</v>
      </c>
      <c r="BQ63" s="37">
        <v>5000</v>
      </c>
      <c r="BT63" s="37" t="str">
        <v>F8</v>
      </c>
      <c r="BU63" s="37" t="str">
        <v>MB</v>
      </c>
      <c r="BV63" s="37" t="str">
        <v>MB</v>
      </c>
      <c r="BW63" s="37" t="str">
        <v>F6</v>
      </c>
      <c r="BX63" s="37" t="str">
        <v>M4</v>
      </c>
      <c r="CA63" s="37">
        <v>1</v>
      </c>
      <c r="CB63" s="37">
        <v>4000</v>
      </c>
      <c r="CC63" s="37">
        <v>1</v>
      </c>
      <c r="CD63" s="37">
        <v>1</v>
      </c>
      <c r="CE63" s="37">
        <v>4000</v>
      </c>
      <c r="CH63" s="37" t="str">
        <v>F8</v>
      </c>
      <c r="CI63" s="37" t="str">
        <v>MB</v>
      </c>
      <c r="CJ63" s="37" t="str">
        <v>MB</v>
      </c>
      <c r="CK63" s="37" t="str">
        <v>F6</v>
      </c>
      <c r="CL63" s="37" t="str">
        <v>M4</v>
      </c>
      <c r="CO63" s="37">
        <v>1</v>
      </c>
      <c r="CP63" s="37">
        <v>1</v>
      </c>
      <c r="CQ63" s="37">
        <v>1</v>
      </c>
      <c r="CR63" s="37">
        <v>1</v>
      </c>
      <c r="CS63" s="37">
        <v>4000</v>
      </c>
      <c r="CV63" s="37" t="str">
        <v>F8</v>
      </c>
      <c r="CW63" s="37" t="str">
        <v>MB</v>
      </c>
      <c r="CX63" s="37" t="str">
        <v>MB</v>
      </c>
      <c r="CY63" s="37" t="str">
        <v>F6</v>
      </c>
      <c r="CZ63" s="37" t="str">
        <v>M4</v>
      </c>
      <c r="DC63" s="37">
        <v>1</v>
      </c>
      <c r="DD63" s="37">
        <v>4000</v>
      </c>
      <c r="DE63" s="37">
        <v>1</v>
      </c>
      <c r="DF63" s="37">
        <v>1</v>
      </c>
      <c r="DG63" s="37">
        <v>1</v>
      </c>
      <c r="DJ63" s="37" t="str">
        <v>F8</v>
      </c>
      <c r="DK63" s="37" t="str">
        <v>MB</v>
      </c>
      <c r="DL63" s="37" t="str">
        <v>MB</v>
      </c>
      <c r="DM63" s="37" t="str">
        <v>F6</v>
      </c>
      <c r="DN63" s="37" t="str">
        <v>M4</v>
      </c>
      <c r="DQ63" s="37">
        <v>4000</v>
      </c>
      <c r="DR63" s="37">
        <v>1</v>
      </c>
      <c r="DS63" s="37">
        <v>4000</v>
      </c>
      <c r="DT63" s="37">
        <v>1</v>
      </c>
      <c r="DU63" s="37">
        <v>4000</v>
      </c>
      <c r="DX63" s="37" t="str">
        <v>F8</v>
      </c>
      <c r="DY63" s="37" t="str">
        <v>MB</v>
      </c>
      <c r="DZ63" s="37" t="str">
        <v>MB</v>
      </c>
      <c r="EA63" s="37" t="str">
        <v>F6</v>
      </c>
      <c r="EB63" s="37" t="str">
        <v>M4</v>
      </c>
      <c r="EE63" s="37">
        <v>8000</v>
      </c>
      <c r="EF63" s="37">
        <v>1</v>
      </c>
      <c r="EG63" s="37">
        <v>1</v>
      </c>
      <c r="EH63" s="37">
        <v>1</v>
      </c>
      <c r="EI63" s="37">
        <v>1</v>
      </c>
      <c r="EL63" s="37" t="str">
        <v>F8</v>
      </c>
      <c r="EM63" s="37" t="str">
        <v>MB</v>
      </c>
      <c r="EN63" s="37" t="str">
        <v>MB</v>
      </c>
      <c r="EO63" s="37" t="str">
        <v>F6</v>
      </c>
      <c r="EP63" s="37" t="str">
        <v>M4</v>
      </c>
      <c r="ES63" s="37">
        <v>1</v>
      </c>
      <c r="ET63" s="37">
        <v>1</v>
      </c>
      <c r="EU63" s="37">
        <v>1</v>
      </c>
      <c r="EV63" s="37">
        <v>1</v>
      </c>
      <c r="EW63" s="37">
        <v>1</v>
      </c>
      <c r="EZ63" s="37" t="str">
        <v>F8</v>
      </c>
      <c r="FA63" s="37" t="str">
        <v>MB</v>
      </c>
      <c r="FB63" s="37" t="str">
        <v>MB</v>
      </c>
      <c r="FC63" s="37" t="str">
        <v>F6</v>
      </c>
      <c r="FD63" s="37" t="str">
        <v>M4</v>
      </c>
      <c r="FG63" s="37">
        <v>1</v>
      </c>
      <c r="FH63" s="37">
        <v>1</v>
      </c>
      <c r="FI63" s="37">
        <v>1</v>
      </c>
      <c r="FJ63" s="37">
        <v>1</v>
      </c>
      <c r="FK63" s="37">
        <v>1</v>
      </c>
      <c r="FN63" s="37" t="str">
        <v>F8</v>
      </c>
      <c r="FO63" s="37" t="str">
        <v>MB</v>
      </c>
      <c r="FP63" s="37" t="str">
        <v>MB</v>
      </c>
      <c r="FQ63" s="37" t="str">
        <v>F6</v>
      </c>
      <c r="FR63" s="37" t="str">
        <v>M4</v>
      </c>
      <c r="FU63" s="37">
        <v>1</v>
      </c>
      <c r="FV63" s="37">
        <v>4000</v>
      </c>
      <c r="FW63" s="37">
        <v>1</v>
      </c>
      <c r="FX63" s="37">
        <v>1</v>
      </c>
      <c r="FY63" s="37">
        <v>1</v>
      </c>
      <c r="GB63" s="37" t="str">
        <v>F8</v>
      </c>
      <c r="GC63" s="37" t="str">
        <v>MB</v>
      </c>
      <c r="GD63" s="37" t="str">
        <v>MB</v>
      </c>
      <c r="GE63" s="37" t="str">
        <v>F6</v>
      </c>
      <c r="GF63" s="37" t="str">
        <v>M4</v>
      </c>
      <c r="GI63" s="37">
        <v>1</v>
      </c>
      <c r="GJ63" s="37">
        <v>1</v>
      </c>
      <c r="GK63" s="37">
        <v>1</v>
      </c>
      <c r="GL63" s="37">
        <v>1</v>
      </c>
      <c r="GM63" s="37">
        <v>1</v>
      </c>
      <c r="GP63" s="37" t="str">
        <v>F8</v>
      </c>
      <c r="GQ63" s="37" t="str">
        <v>MB</v>
      </c>
      <c r="GR63" s="37" t="str">
        <v>MB</v>
      </c>
      <c r="GS63" s="37" t="str">
        <v>F6</v>
      </c>
      <c r="GT63" s="37" t="str">
        <v>M4</v>
      </c>
      <c r="GW63" s="37">
        <v>1</v>
      </c>
      <c r="GX63" s="37">
        <v>1</v>
      </c>
      <c r="GY63" s="37">
        <v>1</v>
      </c>
      <c r="GZ63" s="37">
        <v>1</v>
      </c>
      <c r="HA63" s="37">
        <v>1</v>
      </c>
      <c r="HD63" s="37" t="str">
        <v>F8</v>
      </c>
      <c r="HE63" s="37" t="str">
        <v>MB</v>
      </c>
      <c r="HF63" s="37" t="str">
        <v>MB</v>
      </c>
      <c r="HG63" s="37" t="str">
        <v>F6</v>
      </c>
      <c r="HH63" s="37" t="str">
        <v>M4</v>
      </c>
      <c r="HK63" s="37">
        <v>1</v>
      </c>
      <c r="HL63" s="37">
        <v>1</v>
      </c>
      <c r="HM63" s="37">
        <v>1</v>
      </c>
      <c r="HN63" s="37">
        <v>1</v>
      </c>
      <c r="HO63" s="37">
        <v>1</v>
      </c>
    </row>
    <row r="64" spans="1:223" x14ac:dyDescent="0.35">
      <c r="B64" s="37" t="str">
        <v>MB</v>
      </c>
      <c r="C64" s="37" t="str">
        <v>F6</v>
      </c>
      <c r="D64" s="37" t="str">
        <v>M2</v>
      </c>
      <c r="E64" s="37" t="str">
        <v>MB</v>
      </c>
      <c r="F64" s="37" t="str">
        <v>MB</v>
      </c>
      <c r="I64" s="37">
        <v>1</v>
      </c>
      <c r="J64" s="37">
        <v>1</v>
      </c>
      <c r="K64" s="37">
        <v>1</v>
      </c>
      <c r="L64" s="37">
        <v>1</v>
      </c>
      <c r="M64" s="37">
        <v>1</v>
      </c>
      <c r="P64" s="37" t="str">
        <v>MB</v>
      </c>
      <c r="Q64" s="37" t="str">
        <v>F6</v>
      </c>
      <c r="R64" s="37" t="str">
        <v>M2</v>
      </c>
      <c r="S64" s="37" t="str">
        <v>MB</v>
      </c>
      <c r="T64" s="37" t="str">
        <v>MB</v>
      </c>
      <c r="W64" s="37">
        <v>1</v>
      </c>
      <c r="X64" s="37">
        <v>1</v>
      </c>
      <c r="Y64" s="37">
        <v>1</v>
      </c>
      <c r="Z64" s="37">
        <v>1</v>
      </c>
      <c r="AA64" s="37">
        <v>2000</v>
      </c>
      <c r="AD64" s="37" t="str">
        <v>MB</v>
      </c>
      <c r="AE64" s="37" t="str">
        <v>F6</v>
      </c>
      <c r="AF64" s="37" t="str">
        <v>M2</v>
      </c>
      <c r="AG64" s="37" t="str">
        <v>MB</v>
      </c>
      <c r="AH64" s="37" t="str">
        <v>MB</v>
      </c>
      <c r="AK64" s="37">
        <v>1</v>
      </c>
      <c r="AL64" s="37">
        <v>2000</v>
      </c>
      <c r="AM64" s="37">
        <v>1</v>
      </c>
      <c r="AN64" s="37">
        <v>1</v>
      </c>
      <c r="AO64" s="37">
        <v>1</v>
      </c>
      <c r="AR64" s="37" t="str">
        <v>MB</v>
      </c>
      <c r="AS64" s="37" t="str">
        <v>F6</v>
      </c>
      <c r="AT64" s="37" t="str">
        <v>M2</v>
      </c>
      <c r="AU64" s="37" t="str">
        <v>MB</v>
      </c>
      <c r="AV64" s="37" t="str">
        <v>MB</v>
      </c>
      <c r="AY64" s="37">
        <v>1</v>
      </c>
      <c r="AZ64" s="37">
        <v>4000</v>
      </c>
      <c r="BA64" s="37">
        <v>1</v>
      </c>
      <c r="BB64" s="37">
        <v>4000</v>
      </c>
      <c r="BC64" s="37">
        <v>1</v>
      </c>
      <c r="BF64" s="37" t="str">
        <v>MB</v>
      </c>
      <c r="BG64" s="37" t="str">
        <v>F6</v>
      </c>
      <c r="BH64" s="37" t="str">
        <v>M2</v>
      </c>
      <c r="BI64" s="37" t="str">
        <v>MB</v>
      </c>
      <c r="BJ64" s="37" t="str">
        <v>MB</v>
      </c>
      <c r="BM64" s="37">
        <v>5000</v>
      </c>
      <c r="BN64" s="37">
        <v>5000</v>
      </c>
      <c r="BO64" s="37">
        <v>5000</v>
      </c>
      <c r="BP64" s="37">
        <v>1</v>
      </c>
      <c r="BQ64" s="37">
        <v>5000</v>
      </c>
      <c r="BT64" s="37" t="str">
        <v>MB</v>
      </c>
      <c r="BU64" s="37" t="str">
        <v>F6</v>
      </c>
      <c r="BV64" s="37" t="str">
        <v>M2</v>
      </c>
      <c r="BW64" s="37" t="str">
        <v>MB</v>
      </c>
      <c r="BX64" s="37" t="str">
        <v>MB</v>
      </c>
      <c r="CA64" s="37">
        <v>1</v>
      </c>
      <c r="CB64" s="37">
        <v>4000</v>
      </c>
      <c r="CC64" s="37">
        <v>1</v>
      </c>
      <c r="CD64" s="37">
        <v>1</v>
      </c>
      <c r="CE64" s="37">
        <v>4000</v>
      </c>
      <c r="CH64" s="37" t="str">
        <v>MB</v>
      </c>
      <c r="CI64" s="37" t="str">
        <v>F6</v>
      </c>
      <c r="CJ64" s="37" t="str">
        <v>M2</v>
      </c>
      <c r="CK64" s="37" t="str">
        <v>MB</v>
      </c>
      <c r="CL64" s="37" t="str">
        <v>MB</v>
      </c>
      <c r="CO64" s="37">
        <v>1</v>
      </c>
      <c r="CP64" s="37">
        <v>1</v>
      </c>
      <c r="CQ64" s="37">
        <v>1</v>
      </c>
      <c r="CR64" s="37">
        <v>1</v>
      </c>
      <c r="CS64" s="37">
        <v>4000</v>
      </c>
      <c r="CV64" s="37" t="str">
        <v>MB</v>
      </c>
      <c r="CW64" s="37" t="str">
        <v>F6</v>
      </c>
      <c r="CX64" s="37" t="str">
        <v>M2</v>
      </c>
      <c r="CY64" s="37" t="str">
        <v>MB</v>
      </c>
      <c r="CZ64" s="37" t="str">
        <v>MB</v>
      </c>
      <c r="DC64" s="37">
        <v>1</v>
      </c>
      <c r="DD64" s="37">
        <v>4000</v>
      </c>
      <c r="DE64" s="37">
        <v>1</v>
      </c>
      <c r="DF64" s="37">
        <v>1</v>
      </c>
      <c r="DG64" s="37">
        <v>1</v>
      </c>
      <c r="DJ64" s="37" t="str">
        <v>MB</v>
      </c>
      <c r="DK64" s="37" t="str">
        <v>F6</v>
      </c>
      <c r="DL64" s="37" t="str">
        <v>M2</v>
      </c>
      <c r="DM64" s="37" t="str">
        <v>MB</v>
      </c>
      <c r="DN64" s="37" t="str">
        <v>MB</v>
      </c>
      <c r="DQ64" s="37">
        <v>4000</v>
      </c>
      <c r="DR64" s="37">
        <v>1</v>
      </c>
      <c r="DS64" s="37">
        <v>4000</v>
      </c>
      <c r="DT64" s="37">
        <v>1</v>
      </c>
      <c r="DU64" s="37">
        <v>4000</v>
      </c>
      <c r="DX64" s="37" t="str">
        <v>MB</v>
      </c>
      <c r="DY64" s="37" t="str">
        <v>F6</v>
      </c>
      <c r="DZ64" s="37" t="str">
        <v>M2</v>
      </c>
      <c r="EA64" s="37" t="str">
        <v>MB</v>
      </c>
      <c r="EB64" s="37" t="str">
        <v>MB</v>
      </c>
      <c r="EE64" s="37">
        <v>8000</v>
      </c>
      <c r="EF64" s="37">
        <v>1</v>
      </c>
      <c r="EG64" s="37">
        <v>1</v>
      </c>
      <c r="EH64" s="37">
        <v>1</v>
      </c>
      <c r="EI64" s="37">
        <v>1</v>
      </c>
      <c r="EL64" s="37" t="str">
        <v>MB</v>
      </c>
      <c r="EM64" s="37" t="str">
        <v>F6</v>
      </c>
      <c r="EN64" s="37" t="str">
        <v>M2</v>
      </c>
      <c r="EO64" s="37" t="str">
        <v>MB</v>
      </c>
      <c r="EP64" s="37" t="str">
        <v>MB</v>
      </c>
      <c r="ES64" s="37">
        <v>1</v>
      </c>
      <c r="ET64" s="37">
        <v>1</v>
      </c>
      <c r="EU64" s="37">
        <v>1</v>
      </c>
      <c r="EV64" s="37">
        <v>1</v>
      </c>
      <c r="EW64" s="37">
        <v>1</v>
      </c>
      <c r="EZ64" s="37" t="str">
        <v>MB</v>
      </c>
      <c r="FA64" s="37" t="str">
        <v>F6</v>
      </c>
      <c r="FB64" s="37" t="str">
        <v>M2</v>
      </c>
      <c r="FC64" s="37" t="str">
        <v>MB</v>
      </c>
      <c r="FD64" s="37" t="str">
        <v>MB</v>
      </c>
      <c r="FG64" s="37">
        <v>1</v>
      </c>
      <c r="FH64" s="37">
        <v>1</v>
      </c>
      <c r="FI64" s="37">
        <v>1</v>
      </c>
      <c r="FJ64" s="37">
        <v>1</v>
      </c>
      <c r="FK64" s="37">
        <v>1</v>
      </c>
      <c r="FN64" s="37" t="str">
        <v>MB</v>
      </c>
      <c r="FO64" s="37" t="str">
        <v>F6</v>
      </c>
      <c r="FP64" s="37" t="str">
        <v>M2</v>
      </c>
      <c r="FQ64" s="37" t="str">
        <v>MB</v>
      </c>
      <c r="FR64" s="37" t="str">
        <v>MB</v>
      </c>
      <c r="FU64" s="37">
        <v>1</v>
      </c>
      <c r="FV64" s="37">
        <v>4000</v>
      </c>
      <c r="FW64" s="37">
        <v>1</v>
      </c>
      <c r="FX64" s="37">
        <v>1</v>
      </c>
      <c r="FY64" s="37">
        <v>1</v>
      </c>
      <c r="GB64" s="37" t="str">
        <v>MB</v>
      </c>
      <c r="GC64" s="37" t="str">
        <v>F6</v>
      </c>
      <c r="GD64" s="37" t="str">
        <v>M2</v>
      </c>
      <c r="GE64" s="37" t="str">
        <v>MB</v>
      </c>
      <c r="GF64" s="37" t="str">
        <v>MB</v>
      </c>
      <c r="GI64" s="37">
        <v>1</v>
      </c>
      <c r="GJ64" s="37">
        <v>1</v>
      </c>
      <c r="GK64" s="37">
        <v>1</v>
      </c>
      <c r="GL64" s="37">
        <v>4000</v>
      </c>
      <c r="GM64" s="37">
        <v>1</v>
      </c>
      <c r="GP64" s="37" t="str">
        <v>MB</v>
      </c>
      <c r="GQ64" s="37" t="str">
        <v>F6</v>
      </c>
      <c r="GR64" s="37" t="str">
        <v>M2</v>
      </c>
      <c r="GS64" s="37" t="str">
        <v>MB</v>
      </c>
      <c r="GT64" s="37" t="str">
        <v>MB</v>
      </c>
      <c r="GW64" s="37">
        <v>1</v>
      </c>
      <c r="GX64" s="37">
        <v>1</v>
      </c>
      <c r="GY64" s="37">
        <v>1</v>
      </c>
      <c r="GZ64" s="37">
        <v>1</v>
      </c>
      <c r="HA64" s="37">
        <v>1</v>
      </c>
      <c r="HD64" s="37" t="str">
        <v>MB</v>
      </c>
      <c r="HE64" s="37" t="str">
        <v>F6</v>
      </c>
      <c r="HF64" s="37" t="str">
        <v>M2</v>
      </c>
      <c r="HG64" s="37" t="str">
        <v>MB</v>
      </c>
      <c r="HH64" s="37" t="str">
        <v>MB</v>
      </c>
      <c r="HK64" s="37">
        <v>1</v>
      </c>
      <c r="HL64" s="37">
        <v>1</v>
      </c>
      <c r="HM64" s="37">
        <v>1</v>
      </c>
      <c r="HN64" s="37">
        <v>1</v>
      </c>
      <c r="HO64" s="37">
        <v>1</v>
      </c>
    </row>
    <row r="65" spans="2:223" x14ac:dyDescent="0.35">
      <c r="B65" s="37" t="str">
        <v>F9</v>
      </c>
      <c r="C65" s="37" t="str">
        <v>F7</v>
      </c>
      <c r="D65" s="37" t="str">
        <v>F6</v>
      </c>
      <c r="E65" s="37" t="str">
        <v>MB</v>
      </c>
      <c r="F65" s="37" t="str">
        <v>F9</v>
      </c>
      <c r="I65" s="37">
        <v>1</v>
      </c>
      <c r="J65" s="37">
        <v>20</v>
      </c>
      <c r="K65" s="37">
        <v>20</v>
      </c>
      <c r="L65" s="37">
        <v>1</v>
      </c>
      <c r="M65" s="37">
        <v>1</v>
      </c>
      <c r="P65" s="37" t="str">
        <v>F9</v>
      </c>
      <c r="Q65" s="37" t="str">
        <v>F7</v>
      </c>
      <c r="R65" s="37" t="str">
        <v>F6</v>
      </c>
      <c r="S65" s="37" t="str">
        <v>MB</v>
      </c>
      <c r="T65" s="37" t="str">
        <v>F9</v>
      </c>
      <c r="W65" s="37">
        <v>1</v>
      </c>
      <c r="X65" s="37">
        <v>20</v>
      </c>
      <c r="Y65" s="37">
        <v>20</v>
      </c>
      <c r="Z65" s="37">
        <v>1</v>
      </c>
      <c r="AA65" s="37">
        <v>2000</v>
      </c>
      <c r="AD65" s="37" t="str">
        <v>F9</v>
      </c>
      <c r="AE65" s="37" t="str">
        <v>F7</v>
      </c>
      <c r="AF65" s="37" t="str">
        <v>F6</v>
      </c>
      <c r="AG65" s="37" t="str">
        <v>MB</v>
      </c>
      <c r="AH65" s="37" t="str">
        <v>F9</v>
      </c>
      <c r="AK65" s="37">
        <v>1</v>
      </c>
      <c r="AL65" s="37">
        <v>20</v>
      </c>
      <c r="AM65" s="37">
        <v>20</v>
      </c>
      <c r="AN65" s="37">
        <v>1</v>
      </c>
      <c r="AO65" s="37">
        <v>1</v>
      </c>
      <c r="AR65" s="37" t="str">
        <v>F9</v>
      </c>
      <c r="AS65" s="37" t="str">
        <v>F7</v>
      </c>
      <c r="AT65" s="37" t="str">
        <v>F6</v>
      </c>
      <c r="AU65" s="37" t="str">
        <v>MB</v>
      </c>
      <c r="AV65" s="37" t="str">
        <v>F9</v>
      </c>
      <c r="AY65" s="37">
        <v>1</v>
      </c>
      <c r="AZ65" s="37">
        <v>20</v>
      </c>
      <c r="BA65" s="37">
        <v>20</v>
      </c>
      <c r="BB65" s="37">
        <v>4000</v>
      </c>
      <c r="BC65" s="37">
        <v>1</v>
      </c>
      <c r="BF65" s="37" t="str">
        <v>F9</v>
      </c>
      <c r="BG65" s="37" t="str">
        <v>F7</v>
      </c>
      <c r="BH65" s="37" t="str">
        <v>F6</v>
      </c>
      <c r="BI65" s="37" t="str">
        <v>MB</v>
      </c>
      <c r="BJ65" s="37" t="str">
        <v>F9</v>
      </c>
      <c r="BM65" s="37">
        <v>5000</v>
      </c>
      <c r="BN65" s="37">
        <v>20</v>
      </c>
      <c r="BO65" s="37">
        <v>20</v>
      </c>
      <c r="BP65" s="37">
        <v>1</v>
      </c>
      <c r="BQ65" s="37">
        <v>5000</v>
      </c>
      <c r="BT65" s="37" t="str">
        <v>F9</v>
      </c>
      <c r="BU65" s="37" t="str">
        <v>F7</v>
      </c>
      <c r="BV65" s="37" t="str">
        <v>F6</v>
      </c>
      <c r="BW65" s="37" t="str">
        <v>MB</v>
      </c>
      <c r="BX65" s="37" t="str">
        <v>F9</v>
      </c>
      <c r="CA65" s="37">
        <v>1</v>
      </c>
      <c r="CB65" s="37">
        <v>20</v>
      </c>
      <c r="CC65" s="37">
        <v>20</v>
      </c>
      <c r="CD65" s="37">
        <v>1</v>
      </c>
      <c r="CE65" s="37">
        <v>4000</v>
      </c>
      <c r="CH65" s="37" t="str">
        <v>F9</v>
      </c>
      <c r="CI65" s="37" t="str">
        <v>F7</v>
      </c>
      <c r="CJ65" s="37" t="str">
        <v>F6</v>
      </c>
      <c r="CK65" s="37" t="str">
        <v>MB</v>
      </c>
      <c r="CL65" s="37" t="str">
        <v>F9</v>
      </c>
      <c r="CO65" s="37">
        <v>1</v>
      </c>
      <c r="CP65" s="37">
        <v>20</v>
      </c>
      <c r="CQ65" s="37">
        <v>20</v>
      </c>
      <c r="CR65" s="37">
        <v>1</v>
      </c>
      <c r="CS65" s="37">
        <v>4000</v>
      </c>
      <c r="CV65" s="37" t="str">
        <v>F9</v>
      </c>
      <c r="CW65" s="37" t="str">
        <v>F7</v>
      </c>
      <c r="CX65" s="37" t="str">
        <v>F6</v>
      </c>
      <c r="CY65" s="37" t="str">
        <v>MB</v>
      </c>
      <c r="CZ65" s="37" t="str">
        <v>F9</v>
      </c>
      <c r="DC65" s="37">
        <v>1</v>
      </c>
      <c r="DD65" s="37">
        <v>20</v>
      </c>
      <c r="DE65" s="37">
        <v>20</v>
      </c>
      <c r="DF65" s="37">
        <v>1</v>
      </c>
      <c r="DG65" s="37">
        <v>1</v>
      </c>
      <c r="DJ65" s="37" t="str">
        <v>F9</v>
      </c>
      <c r="DK65" s="37" t="str">
        <v>F7</v>
      </c>
      <c r="DL65" s="37" t="str">
        <v>F6</v>
      </c>
      <c r="DM65" s="37" t="str">
        <v>MB</v>
      </c>
      <c r="DN65" s="37" t="str">
        <v>F9</v>
      </c>
      <c r="DQ65" s="37">
        <v>4000</v>
      </c>
      <c r="DR65" s="37">
        <v>20</v>
      </c>
      <c r="DS65" s="37">
        <v>20</v>
      </c>
      <c r="DT65" s="37">
        <v>1</v>
      </c>
      <c r="DU65" s="37">
        <v>4000</v>
      </c>
      <c r="DX65" s="37" t="str">
        <v>F9</v>
      </c>
      <c r="DY65" s="37" t="str">
        <v>F7</v>
      </c>
      <c r="DZ65" s="37" t="str">
        <v>F6</v>
      </c>
      <c r="EA65" s="37" t="str">
        <v>MB</v>
      </c>
      <c r="EB65" s="37" t="str">
        <v>F9</v>
      </c>
      <c r="EE65" s="37">
        <v>8000</v>
      </c>
      <c r="EF65" s="37">
        <v>20</v>
      </c>
      <c r="EG65" s="37">
        <v>20</v>
      </c>
      <c r="EH65" s="37">
        <v>1</v>
      </c>
      <c r="EI65" s="37">
        <v>1</v>
      </c>
      <c r="EL65" s="37" t="str">
        <v>F9</v>
      </c>
      <c r="EM65" s="37" t="str">
        <v>F7</v>
      </c>
      <c r="EN65" s="37" t="str">
        <v>F6</v>
      </c>
      <c r="EO65" s="37" t="str">
        <v>MB</v>
      </c>
      <c r="EP65" s="37" t="str">
        <v>F9</v>
      </c>
      <c r="ES65" s="37">
        <v>1</v>
      </c>
      <c r="ET65" s="37">
        <v>20</v>
      </c>
      <c r="EU65" s="37">
        <v>20</v>
      </c>
      <c r="EV65" s="37">
        <v>1</v>
      </c>
      <c r="EW65" s="37">
        <v>1</v>
      </c>
      <c r="EZ65" s="37" t="str">
        <v>F9</v>
      </c>
      <c r="FA65" s="37" t="str">
        <v>F7</v>
      </c>
      <c r="FB65" s="37" t="str">
        <v>F6</v>
      </c>
      <c r="FC65" s="37" t="str">
        <v>MB</v>
      </c>
      <c r="FD65" s="37" t="str">
        <v>F9</v>
      </c>
      <c r="FG65" s="37">
        <v>1</v>
      </c>
      <c r="FH65" s="37">
        <v>20</v>
      </c>
      <c r="FI65" s="37">
        <v>20</v>
      </c>
      <c r="FJ65" s="37">
        <v>1</v>
      </c>
      <c r="FK65" s="37">
        <v>1</v>
      </c>
      <c r="FN65" s="37" t="str">
        <v>F9</v>
      </c>
      <c r="FO65" s="37" t="str">
        <v>F7</v>
      </c>
      <c r="FP65" s="37" t="str">
        <v>F6</v>
      </c>
      <c r="FQ65" s="37" t="str">
        <v>MB</v>
      </c>
      <c r="FR65" s="37" t="str">
        <v>F9</v>
      </c>
      <c r="FU65" s="37">
        <v>1</v>
      </c>
      <c r="FV65" s="37">
        <v>20</v>
      </c>
      <c r="FW65" s="37">
        <v>20</v>
      </c>
      <c r="FX65" s="37">
        <v>1</v>
      </c>
      <c r="FY65" s="37">
        <v>1</v>
      </c>
      <c r="GB65" s="37" t="str">
        <v>F9</v>
      </c>
      <c r="GC65" s="37" t="str">
        <v>F7</v>
      </c>
      <c r="GD65" s="37" t="str">
        <v>F6</v>
      </c>
      <c r="GE65" s="37" t="str">
        <v>MB</v>
      </c>
      <c r="GF65" s="37" t="str">
        <v>F9</v>
      </c>
      <c r="GI65" s="37">
        <v>1</v>
      </c>
      <c r="GJ65" s="37">
        <v>20</v>
      </c>
      <c r="GK65" s="37">
        <v>20</v>
      </c>
      <c r="GL65" s="37">
        <v>4000</v>
      </c>
      <c r="GM65" s="37">
        <v>1</v>
      </c>
      <c r="GP65" s="37" t="str">
        <v>F9</v>
      </c>
      <c r="GQ65" s="37" t="str">
        <v>F7</v>
      </c>
      <c r="GR65" s="37" t="str">
        <v>F6</v>
      </c>
      <c r="GS65" s="37" t="str">
        <v>MB</v>
      </c>
      <c r="GT65" s="37" t="str">
        <v>F9</v>
      </c>
      <c r="GW65" s="37">
        <v>1</v>
      </c>
      <c r="GX65" s="37">
        <v>20</v>
      </c>
      <c r="GY65" s="37">
        <v>20</v>
      </c>
      <c r="GZ65" s="37">
        <v>1</v>
      </c>
      <c r="HA65" s="37">
        <v>1</v>
      </c>
      <c r="HD65" s="37" t="str">
        <v>F9</v>
      </c>
      <c r="HE65" s="37" t="str">
        <v>F7</v>
      </c>
      <c r="HF65" s="37" t="str">
        <v>F6</v>
      </c>
      <c r="HG65" s="37" t="str">
        <v>MB</v>
      </c>
      <c r="HH65" s="37" t="str">
        <v>F9</v>
      </c>
      <c r="HK65" s="37">
        <v>1</v>
      </c>
      <c r="HL65" s="37">
        <v>20</v>
      </c>
      <c r="HM65" s="37">
        <v>20</v>
      </c>
      <c r="HN65" s="37">
        <v>1</v>
      </c>
      <c r="HO65" s="37">
        <v>1</v>
      </c>
    </row>
    <row r="66" spans="2:223" x14ac:dyDescent="0.35">
      <c r="B66" s="37" t="str">
        <v>M1</v>
      </c>
      <c r="C66" s="37" t="str">
        <v>M4</v>
      </c>
      <c r="D66" s="37" t="str">
        <v>F7</v>
      </c>
      <c r="E66" s="37" t="str">
        <v>M1</v>
      </c>
      <c r="F66" s="37" t="str">
        <v>F9</v>
      </c>
      <c r="I66" s="37">
        <v>20</v>
      </c>
      <c r="J66" s="37">
        <v>20</v>
      </c>
      <c r="K66" s="37">
        <v>20</v>
      </c>
      <c r="L66" s="37">
        <v>1</v>
      </c>
      <c r="M66" s="37">
        <v>20</v>
      </c>
      <c r="P66" s="37" t="str">
        <v>M1</v>
      </c>
      <c r="Q66" s="37" t="str">
        <v>M4</v>
      </c>
      <c r="R66" s="37" t="str">
        <v>F7</v>
      </c>
      <c r="S66" s="37" t="str">
        <v>M1</v>
      </c>
      <c r="T66" s="37" t="str">
        <v>F9</v>
      </c>
      <c r="W66" s="37">
        <v>20</v>
      </c>
      <c r="X66" s="37">
        <v>20</v>
      </c>
      <c r="Y66" s="37">
        <v>20</v>
      </c>
      <c r="Z66" s="37">
        <v>1</v>
      </c>
      <c r="AA66" s="37">
        <v>20</v>
      </c>
      <c r="AD66" s="37" t="str">
        <v>M1</v>
      </c>
      <c r="AE66" s="37" t="str">
        <v>M4</v>
      </c>
      <c r="AF66" s="37" t="str">
        <v>F7</v>
      </c>
      <c r="AG66" s="37" t="str">
        <v>M1</v>
      </c>
      <c r="AH66" s="37" t="str">
        <v>F9</v>
      </c>
      <c r="AK66" s="37">
        <v>20</v>
      </c>
      <c r="AL66" s="37">
        <v>20</v>
      </c>
      <c r="AM66" s="37">
        <v>20</v>
      </c>
      <c r="AN66" s="37">
        <v>1</v>
      </c>
      <c r="AO66" s="37">
        <v>20</v>
      </c>
      <c r="AR66" s="37" t="str">
        <v>M1</v>
      </c>
      <c r="AS66" s="37" t="str">
        <v>M4</v>
      </c>
      <c r="AT66" s="37" t="str">
        <v>F7</v>
      </c>
      <c r="AU66" s="37" t="str">
        <v>M1</v>
      </c>
      <c r="AV66" s="37" t="str">
        <v>F9</v>
      </c>
      <c r="AY66" s="37">
        <v>20</v>
      </c>
      <c r="AZ66" s="37">
        <v>20</v>
      </c>
      <c r="BA66" s="37">
        <v>20</v>
      </c>
      <c r="BB66" s="37">
        <v>1</v>
      </c>
      <c r="BC66" s="37">
        <v>20</v>
      </c>
      <c r="BF66" s="37" t="str">
        <v>M1</v>
      </c>
      <c r="BG66" s="37" t="str">
        <v>M4</v>
      </c>
      <c r="BH66" s="37" t="str">
        <v>F7</v>
      </c>
      <c r="BI66" s="37" t="str">
        <v>M1</v>
      </c>
      <c r="BJ66" s="37" t="str">
        <v>F9</v>
      </c>
      <c r="BM66" s="37">
        <v>20</v>
      </c>
      <c r="BN66" s="37">
        <v>20</v>
      </c>
      <c r="BO66" s="37">
        <v>20</v>
      </c>
      <c r="BP66" s="37">
        <v>1</v>
      </c>
      <c r="BQ66" s="37">
        <v>20</v>
      </c>
      <c r="BT66" s="37" t="str">
        <v>M1</v>
      </c>
      <c r="BU66" s="37" t="str">
        <v>M4</v>
      </c>
      <c r="BV66" s="37" t="str">
        <v>F7</v>
      </c>
      <c r="BW66" s="37" t="str">
        <v>M1</v>
      </c>
      <c r="BX66" s="37" t="str">
        <v>F9</v>
      </c>
      <c r="CA66" s="37">
        <v>20</v>
      </c>
      <c r="CB66" s="37">
        <v>20</v>
      </c>
      <c r="CC66" s="37">
        <v>20</v>
      </c>
      <c r="CD66" s="37">
        <v>1</v>
      </c>
      <c r="CE66" s="37">
        <v>20</v>
      </c>
      <c r="CH66" s="37" t="str">
        <v>M1</v>
      </c>
      <c r="CI66" s="37" t="str">
        <v>M4</v>
      </c>
      <c r="CJ66" s="37" t="str">
        <v>F7</v>
      </c>
      <c r="CK66" s="37" t="str">
        <v>M1</v>
      </c>
      <c r="CL66" s="37" t="str">
        <v>F9</v>
      </c>
      <c r="CO66" s="37">
        <v>20</v>
      </c>
      <c r="CP66" s="37">
        <v>20</v>
      </c>
      <c r="CQ66" s="37">
        <v>20</v>
      </c>
      <c r="CR66" s="37">
        <v>1</v>
      </c>
      <c r="CS66" s="37">
        <v>20</v>
      </c>
      <c r="CV66" s="37" t="str">
        <v>M1</v>
      </c>
      <c r="CW66" s="37" t="str">
        <v>M4</v>
      </c>
      <c r="CX66" s="37" t="str">
        <v>F7</v>
      </c>
      <c r="CY66" s="37" t="str">
        <v>M1</v>
      </c>
      <c r="CZ66" s="37" t="str">
        <v>F9</v>
      </c>
      <c r="DC66" s="37">
        <v>20</v>
      </c>
      <c r="DD66" s="37">
        <v>20</v>
      </c>
      <c r="DE66" s="37">
        <v>20</v>
      </c>
      <c r="DF66" s="37">
        <v>1</v>
      </c>
      <c r="DG66" s="37">
        <v>20</v>
      </c>
      <c r="DJ66" s="37" t="str">
        <v>M1</v>
      </c>
      <c r="DK66" s="37" t="str">
        <v>M4</v>
      </c>
      <c r="DL66" s="37" t="str">
        <v>F7</v>
      </c>
      <c r="DM66" s="37" t="str">
        <v>M1</v>
      </c>
      <c r="DN66" s="37" t="str">
        <v>F9</v>
      </c>
      <c r="DQ66" s="37">
        <v>20</v>
      </c>
      <c r="DR66" s="37">
        <v>20</v>
      </c>
      <c r="DS66" s="37">
        <v>20</v>
      </c>
      <c r="DT66" s="37">
        <v>1</v>
      </c>
      <c r="DU66" s="37">
        <v>20</v>
      </c>
      <c r="DX66" s="37" t="str">
        <v>M1</v>
      </c>
      <c r="DY66" s="37" t="str">
        <v>M4</v>
      </c>
      <c r="DZ66" s="37" t="str">
        <v>F7</v>
      </c>
      <c r="EA66" s="37" t="str">
        <v>M1</v>
      </c>
      <c r="EB66" s="37" t="str">
        <v>F9</v>
      </c>
      <c r="EE66" s="37">
        <v>20</v>
      </c>
      <c r="EF66" s="37">
        <v>20</v>
      </c>
      <c r="EG66" s="37">
        <v>20</v>
      </c>
      <c r="EH66" s="37">
        <v>1</v>
      </c>
      <c r="EI66" s="37">
        <v>20</v>
      </c>
      <c r="EL66" s="37" t="str">
        <v>M1</v>
      </c>
      <c r="EM66" s="37" t="str">
        <v>M4</v>
      </c>
      <c r="EN66" s="37" t="str">
        <v>F7</v>
      </c>
      <c r="EO66" s="37" t="str">
        <v>M1</v>
      </c>
      <c r="EP66" s="37" t="str">
        <v>F9</v>
      </c>
      <c r="ES66" s="37">
        <v>20</v>
      </c>
      <c r="ET66" s="37">
        <v>20</v>
      </c>
      <c r="EU66" s="37">
        <v>20</v>
      </c>
      <c r="EV66" s="37">
        <v>1</v>
      </c>
      <c r="EW66" s="37">
        <v>20</v>
      </c>
      <c r="EZ66" s="37" t="str">
        <v>M1</v>
      </c>
      <c r="FA66" s="37" t="str">
        <v>M4</v>
      </c>
      <c r="FB66" s="37" t="str">
        <v>F7</v>
      </c>
      <c r="FC66" s="37" t="str">
        <v>M1</v>
      </c>
      <c r="FD66" s="37" t="str">
        <v>F9</v>
      </c>
      <c r="FG66" s="37">
        <v>20</v>
      </c>
      <c r="FH66" s="37">
        <v>20</v>
      </c>
      <c r="FI66" s="37">
        <v>20</v>
      </c>
      <c r="FJ66" s="37">
        <v>1</v>
      </c>
      <c r="FK66" s="37">
        <v>20</v>
      </c>
      <c r="FN66" s="37" t="str">
        <v>M1</v>
      </c>
      <c r="FO66" s="37" t="str">
        <v>M4</v>
      </c>
      <c r="FP66" s="37" t="str">
        <v>F7</v>
      </c>
      <c r="FQ66" s="37" t="str">
        <v>M1</v>
      </c>
      <c r="FR66" s="37" t="str">
        <v>F9</v>
      </c>
      <c r="FU66" s="37">
        <v>20</v>
      </c>
      <c r="FV66" s="37">
        <v>20</v>
      </c>
      <c r="FW66" s="37">
        <v>20</v>
      </c>
      <c r="FX66" s="37">
        <v>1</v>
      </c>
      <c r="FY66" s="37">
        <v>20</v>
      </c>
      <c r="GB66" s="37" t="str">
        <v>M1</v>
      </c>
      <c r="GC66" s="37" t="str">
        <v>M4</v>
      </c>
      <c r="GD66" s="37" t="str">
        <v>F7</v>
      </c>
      <c r="GE66" s="37" t="str">
        <v>M1</v>
      </c>
      <c r="GF66" s="37" t="str">
        <v>F9</v>
      </c>
      <c r="GI66" s="37">
        <v>20</v>
      </c>
      <c r="GJ66" s="37">
        <v>20</v>
      </c>
      <c r="GK66" s="37">
        <v>20</v>
      </c>
      <c r="GL66" s="37">
        <v>1</v>
      </c>
      <c r="GM66" s="37">
        <v>20</v>
      </c>
      <c r="GP66" s="37" t="str">
        <v>M1</v>
      </c>
      <c r="GQ66" s="37" t="str">
        <v>M4</v>
      </c>
      <c r="GR66" s="37" t="str">
        <v>F7</v>
      </c>
      <c r="GS66" s="37" t="str">
        <v>M1</v>
      </c>
      <c r="GT66" s="37" t="str">
        <v>F9</v>
      </c>
      <c r="GW66" s="37">
        <v>20</v>
      </c>
      <c r="GX66" s="37">
        <v>20</v>
      </c>
      <c r="GY66" s="37">
        <v>20</v>
      </c>
      <c r="GZ66" s="37">
        <v>1</v>
      </c>
      <c r="HA66" s="37">
        <v>20</v>
      </c>
      <c r="HD66" s="37" t="str">
        <v>M1</v>
      </c>
      <c r="HE66" s="37" t="str">
        <v>M4</v>
      </c>
      <c r="HF66" s="37" t="str">
        <v>F7</v>
      </c>
      <c r="HG66" s="37" t="str">
        <v>M1</v>
      </c>
      <c r="HH66" s="37" t="str">
        <v>F9</v>
      </c>
      <c r="HK66" s="37">
        <v>20</v>
      </c>
      <c r="HL66" s="37">
        <v>20</v>
      </c>
      <c r="HM66" s="37">
        <v>20</v>
      </c>
      <c r="HN66" s="37">
        <v>1</v>
      </c>
      <c r="HO66" s="37">
        <v>20</v>
      </c>
    </row>
    <row r="67" spans="2:223" x14ac:dyDescent="0.35">
      <c r="B67" s="37" t="str">
        <v>M1</v>
      </c>
      <c r="C67" s="37" t="str">
        <v>F8</v>
      </c>
      <c r="D67" s="37" t="str">
        <v>WW</v>
      </c>
      <c r="E67" s="37" t="str">
        <v>F8</v>
      </c>
      <c r="F67" s="37" t="str">
        <v>F6</v>
      </c>
      <c r="I67" s="37">
        <v>20</v>
      </c>
      <c r="J67" s="37">
        <v>15</v>
      </c>
      <c r="K67" s="37">
        <v>20</v>
      </c>
      <c r="L67" s="37">
        <v>9</v>
      </c>
      <c r="M67" s="37">
        <v>20</v>
      </c>
      <c r="P67" s="37" t="str">
        <v>M1</v>
      </c>
      <c r="Q67" s="37" t="str">
        <v>F8</v>
      </c>
      <c r="R67" s="37" t="str">
        <v>WW</v>
      </c>
      <c r="S67" s="37" t="str">
        <v>F8</v>
      </c>
      <c r="T67" s="37" t="str">
        <v>F6</v>
      </c>
      <c r="W67" s="37">
        <v>20</v>
      </c>
      <c r="X67" s="37">
        <v>15</v>
      </c>
      <c r="Y67" s="37">
        <v>20</v>
      </c>
      <c r="Z67" s="37">
        <v>9</v>
      </c>
      <c r="AA67" s="37">
        <v>20</v>
      </c>
      <c r="AD67" s="37" t="str">
        <v>M1</v>
      </c>
      <c r="AE67" s="37" t="str">
        <v>F8</v>
      </c>
      <c r="AF67" s="37" t="str">
        <v>WW</v>
      </c>
      <c r="AG67" s="37" t="str">
        <v>F8</v>
      </c>
      <c r="AH67" s="37" t="str">
        <v>F6</v>
      </c>
      <c r="AK67" s="37">
        <v>20</v>
      </c>
      <c r="AL67" s="37">
        <v>15</v>
      </c>
      <c r="AM67" s="37">
        <v>20</v>
      </c>
      <c r="AN67" s="37">
        <v>9</v>
      </c>
      <c r="AO67" s="37">
        <v>20</v>
      </c>
      <c r="AR67" s="37" t="str">
        <v>M1</v>
      </c>
      <c r="AS67" s="37" t="str">
        <v>F8</v>
      </c>
      <c r="AT67" s="37" t="str">
        <v>WW</v>
      </c>
      <c r="AU67" s="37" t="str">
        <v>F8</v>
      </c>
      <c r="AV67" s="37" t="str">
        <v>F6</v>
      </c>
      <c r="AY67" s="37">
        <v>20</v>
      </c>
      <c r="AZ67" s="37">
        <v>15</v>
      </c>
      <c r="BA67" s="37">
        <v>20</v>
      </c>
      <c r="BB67" s="37">
        <v>9</v>
      </c>
      <c r="BC67" s="37">
        <v>20</v>
      </c>
      <c r="BF67" s="37" t="str">
        <v>M1</v>
      </c>
      <c r="BG67" s="37" t="str">
        <v>F8</v>
      </c>
      <c r="BH67" s="37" t="str">
        <v>WW</v>
      </c>
      <c r="BI67" s="37" t="str">
        <v>F8</v>
      </c>
      <c r="BJ67" s="37" t="str">
        <v>F6</v>
      </c>
      <c r="BM67" s="37">
        <v>20</v>
      </c>
      <c r="BN67" s="37">
        <v>15</v>
      </c>
      <c r="BO67" s="37">
        <v>20</v>
      </c>
      <c r="BP67" s="37">
        <v>9</v>
      </c>
      <c r="BQ67" s="37">
        <v>20</v>
      </c>
      <c r="BT67" s="37" t="str">
        <v>M1</v>
      </c>
      <c r="BU67" s="37" t="str">
        <v>F8</v>
      </c>
      <c r="BV67" s="37" t="str">
        <v>WW</v>
      </c>
      <c r="BW67" s="37" t="str">
        <v>F8</v>
      </c>
      <c r="BX67" s="37" t="str">
        <v>F6</v>
      </c>
      <c r="CA67" s="37">
        <v>20</v>
      </c>
      <c r="CB67" s="37">
        <v>15</v>
      </c>
      <c r="CC67" s="37">
        <v>20</v>
      </c>
      <c r="CD67" s="37">
        <v>9</v>
      </c>
      <c r="CE67" s="37">
        <v>20</v>
      </c>
      <c r="CH67" s="37" t="str">
        <v>M1</v>
      </c>
      <c r="CI67" s="37" t="str">
        <v>F8</v>
      </c>
      <c r="CJ67" s="37" t="str">
        <v>WW</v>
      </c>
      <c r="CK67" s="37" t="str">
        <v>F8</v>
      </c>
      <c r="CL67" s="37" t="str">
        <v>F6</v>
      </c>
      <c r="CO67" s="37">
        <v>20</v>
      </c>
      <c r="CP67" s="37">
        <v>15</v>
      </c>
      <c r="CQ67" s="37">
        <v>20</v>
      </c>
      <c r="CR67" s="37">
        <v>9</v>
      </c>
      <c r="CS67" s="37">
        <v>20</v>
      </c>
      <c r="CV67" s="37" t="str">
        <v>M1</v>
      </c>
      <c r="CW67" s="37" t="str">
        <v>F8</v>
      </c>
      <c r="CX67" s="37" t="str">
        <v>WW</v>
      </c>
      <c r="CY67" s="37" t="str">
        <v>F8</v>
      </c>
      <c r="CZ67" s="37" t="str">
        <v>F6</v>
      </c>
      <c r="DC67" s="37">
        <v>20</v>
      </c>
      <c r="DD67" s="37">
        <v>15</v>
      </c>
      <c r="DE67" s="37">
        <v>20</v>
      </c>
      <c r="DF67" s="37">
        <v>9</v>
      </c>
      <c r="DG67" s="37">
        <v>20</v>
      </c>
      <c r="DJ67" s="37" t="str">
        <v>M1</v>
      </c>
      <c r="DK67" s="37" t="str">
        <v>F8</v>
      </c>
      <c r="DL67" s="37" t="str">
        <v>WW</v>
      </c>
      <c r="DM67" s="37" t="str">
        <v>F8</v>
      </c>
      <c r="DN67" s="37" t="str">
        <v>F6</v>
      </c>
      <c r="DQ67" s="37">
        <v>20</v>
      </c>
      <c r="DR67" s="37">
        <v>15</v>
      </c>
      <c r="DS67" s="37">
        <v>20</v>
      </c>
      <c r="DT67" s="37">
        <v>9</v>
      </c>
      <c r="DU67" s="37">
        <v>20</v>
      </c>
      <c r="DX67" s="37" t="str">
        <v>M1</v>
      </c>
      <c r="DY67" s="37" t="str">
        <v>F8</v>
      </c>
      <c r="DZ67" s="37" t="str">
        <v>WW</v>
      </c>
      <c r="EA67" s="37" t="str">
        <v>F8</v>
      </c>
      <c r="EB67" s="37" t="str">
        <v>F6</v>
      </c>
      <c r="EE67" s="37">
        <v>20</v>
      </c>
      <c r="EF67" s="37">
        <v>15</v>
      </c>
      <c r="EG67" s="37">
        <v>20</v>
      </c>
      <c r="EH67" s="37">
        <v>9</v>
      </c>
      <c r="EI67" s="37">
        <v>20</v>
      </c>
      <c r="EL67" s="37" t="str">
        <v>M1</v>
      </c>
      <c r="EM67" s="37" t="str">
        <v>F8</v>
      </c>
      <c r="EN67" s="37" t="str">
        <v>WW</v>
      </c>
      <c r="EO67" s="37" t="str">
        <v>F8</v>
      </c>
      <c r="EP67" s="37" t="str">
        <v>F6</v>
      </c>
      <c r="ES67" s="37">
        <v>20</v>
      </c>
      <c r="ET67" s="37">
        <v>15</v>
      </c>
      <c r="EU67" s="37">
        <v>20</v>
      </c>
      <c r="EV67" s="37">
        <v>9</v>
      </c>
      <c r="EW67" s="37">
        <v>20</v>
      </c>
      <c r="EZ67" s="37" t="str">
        <v>M1</v>
      </c>
      <c r="FA67" s="37" t="str">
        <v>F8</v>
      </c>
      <c r="FB67" s="37" t="str">
        <v>WW</v>
      </c>
      <c r="FC67" s="37" t="str">
        <v>F8</v>
      </c>
      <c r="FD67" s="37" t="str">
        <v>F6</v>
      </c>
      <c r="FG67" s="37">
        <v>20</v>
      </c>
      <c r="FH67" s="37">
        <v>15</v>
      </c>
      <c r="FI67" s="37">
        <v>20</v>
      </c>
      <c r="FJ67" s="37">
        <v>9</v>
      </c>
      <c r="FK67" s="37">
        <v>20</v>
      </c>
      <c r="FN67" s="37" t="str">
        <v>M1</v>
      </c>
      <c r="FO67" s="37" t="str">
        <v>F8</v>
      </c>
      <c r="FP67" s="37" t="str">
        <v>WW</v>
      </c>
      <c r="FQ67" s="37" t="str">
        <v>F8</v>
      </c>
      <c r="FR67" s="37" t="str">
        <v>F6</v>
      </c>
      <c r="FU67" s="37">
        <v>20</v>
      </c>
      <c r="FV67" s="37">
        <v>15</v>
      </c>
      <c r="FW67" s="37">
        <v>20</v>
      </c>
      <c r="FX67" s="37">
        <v>9</v>
      </c>
      <c r="FY67" s="37">
        <v>20</v>
      </c>
      <c r="GB67" s="37" t="str">
        <v>M1</v>
      </c>
      <c r="GC67" s="37" t="str">
        <v>F8</v>
      </c>
      <c r="GD67" s="37" t="str">
        <v>WW</v>
      </c>
      <c r="GE67" s="37" t="str">
        <v>F8</v>
      </c>
      <c r="GF67" s="37" t="str">
        <v>F6</v>
      </c>
      <c r="GI67" s="37">
        <v>20</v>
      </c>
      <c r="GJ67" s="37">
        <v>15</v>
      </c>
      <c r="GK67" s="37">
        <v>20</v>
      </c>
      <c r="GL67" s="37">
        <v>9</v>
      </c>
      <c r="GM67" s="37">
        <v>20</v>
      </c>
      <c r="GP67" s="37" t="str">
        <v>M1</v>
      </c>
      <c r="GQ67" s="37" t="str">
        <v>F8</v>
      </c>
      <c r="GR67" s="37" t="str">
        <v>WW</v>
      </c>
      <c r="GS67" s="37" t="str">
        <v>F8</v>
      </c>
      <c r="GT67" s="37" t="str">
        <v>F6</v>
      </c>
      <c r="GW67" s="37">
        <v>20</v>
      </c>
      <c r="GX67" s="37">
        <v>15</v>
      </c>
      <c r="GY67" s="37">
        <v>20</v>
      </c>
      <c r="GZ67" s="37">
        <v>9</v>
      </c>
      <c r="HA67" s="37">
        <v>20</v>
      </c>
      <c r="HD67" s="37" t="str">
        <v>M1</v>
      </c>
      <c r="HE67" s="37" t="str">
        <v>F8</v>
      </c>
      <c r="HF67" s="37" t="str">
        <v>WW</v>
      </c>
      <c r="HG67" s="37" t="str">
        <v>F8</v>
      </c>
      <c r="HH67" s="37" t="str">
        <v>F6</v>
      </c>
      <c r="HK67" s="37">
        <v>20</v>
      </c>
      <c r="HL67" s="37">
        <v>15</v>
      </c>
      <c r="HM67" s="37">
        <v>20</v>
      </c>
      <c r="HN67" s="37">
        <v>9</v>
      </c>
      <c r="HO67" s="37">
        <v>20</v>
      </c>
    </row>
    <row r="68" spans="2:223" x14ac:dyDescent="0.35">
      <c r="B68" s="37" t="str">
        <v>F6</v>
      </c>
      <c r="C68" s="37" t="str">
        <v>BN</v>
      </c>
      <c r="D68" s="37" t="str">
        <v>WW</v>
      </c>
      <c r="E68" s="37" t="str">
        <v>BN</v>
      </c>
      <c r="F68" s="37" t="str">
        <v>M4</v>
      </c>
      <c r="I68" s="37">
        <v>20</v>
      </c>
      <c r="J68" s="37">
        <v>15</v>
      </c>
      <c r="K68" s="37">
        <v>20</v>
      </c>
      <c r="L68" s="37">
        <v>9</v>
      </c>
      <c r="M68" s="37">
        <v>20</v>
      </c>
      <c r="P68" s="37" t="str">
        <v>F6</v>
      </c>
      <c r="Q68" s="37" t="str">
        <v>BN</v>
      </c>
      <c r="R68" s="37" t="str">
        <v>WW</v>
      </c>
      <c r="S68" s="37" t="str">
        <v>BN</v>
      </c>
      <c r="T68" s="37" t="str">
        <v>M4</v>
      </c>
      <c r="W68" s="37">
        <v>20</v>
      </c>
      <c r="X68" s="37">
        <v>15</v>
      </c>
      <c r="Y68" s="37">
        <v>20</v>
      </c>
      <c r="Z68" s="37">
        <v>9</v>
      </c>
      <c r="AA68" s="37">
        <v>20</v>
      </c>
      <c r="AD68" s="37" t="str">
        <v>F6</v>
      </c>
      <c r="AE68" s="37" t="str">
        <v>BN</v>
      </c>
      <c r="AF68" s="37" t="str">
        <v>WW</v>
      </c>
      <c r="AG68" s="37" t="str">
        <v>BN</v>
      </c>
      <c r="AH68" s="37" t="str">
        <v>M4</v>
      </c>
      <c r="AK68" s="37">
        <v>20</v>
      </c>
      <c r="AL68" s="37">
        <v>15</v>
      </c>
      <c r="AM68" s="37">
        <v>20</v>
      </c>
      <c r="AN68" s="37">
        <v>9</v>
      </c>
      <c r="AO68" s="37">
        <v>20</v>
      </c>
      <c r="AR68" s="37" t="str">
        <v>F6</v>
      </c>
      <c r="AS68" s="37" t="str">
        <v>BN</v>
      </c>
      <c r="AT68" s="37" t="str">
        <v>WW</v>
      </c>
      <c r="AU68" s="37" t="str">
        <v>BN</v>
      </c>
      <c r="AV68" s="37" t="str">
        <v>M4</v>
      </c>
      <c r="AY68" s="37">
        <v>20</v>
      </c>
      <c r="AZ68" s="37">
        <v>15</v>
      </c>
      <c r="BA68" s="37">
        <v>20</v>
      </c>
      <c r="BB68" s="37">
        <v>9</v>
      </c>
      <c r="BC68" s="37">
        <v>20</v>
      </c>
      <c r="BF68" s="37" t="str">
        <v>F6</v>
      </c>
      <c r="BG68" s="37" t="str">
        <v>BN</v>
      </c>
      <c r="BH68" s="37" t="str">
        <v>WW</v>
      </c>
      <c r="BI68" s="37" t="str">
        <v>BN</v>
      </c>
      <c r="BJ68" s="37" t="str">
        <v>M4</v>
      </c>
      <c r="BM68" s="37">
        <v>20</v>
      </c>
      <c r="BN68" s="37">
        <v>15</v>
      </c>
      <c r="BO68" s="37">
        <v>20</v>
      </c>
      <c r="BP68" s="37">
        <v>9</v>
      </c>
      <c r="BQ68" s="37">
        <v>20</v>
      </c>
      <c r="BT68" s="37" t="str">
        <v>F6</v>
      </c>
      <c r="BU68" s="37" t="str">
        <v>BN</v>
      </c>
      <c r="BV68" s="37" t="str">
        <v>WW</v>
      </c>
      <c r="BW68" s="37" t="str">
        <v>BN</v>
      </c>
      <c r="BX68" s="37" t="str">
        <v>M4</v>
      </c>
      <c r="CA68" s="37">
        <v>20</v>
      </c>
      <c r="CB68" s="37">
        <v>15</v>
      </c>
      <c r="CC68" s="37">
        <v>20</v>
      </c>
      <c r="CD68" s="37">
        <v>9</v>
      </c>
      <c r="CE68" s="37">
        <v>20</v>
      </c>
      <c r="CH68" s="37" t="str">
        <v>F6</v>
      </c>
      <c r="CI68" s="37" t="str">
        <v>BN</v>
      </c>
      <c r="CJ68" s="37" t="str">
        <v>WW</v>
      </c>
      <c r="CK68" s="37" t="str">
        <v>BN</v>
      </c>
      <c r="CL68" s="37" t="str">
        <v>M4</v>
      </c>
      <c r="CO68" s="37">
        <v>20</v>
      </c>
      <c r="CP68" s="37">
        <v>15</v>
      </c>
      <c r="CQ68" s="37">
        <v>20</v>
      </c>
      <c r="CR68" s="37">
        <v>9</v>
      </c>
      <c r="CS68" s="37">
        <v>20</v>
      </c>
      <c r="CV68" s="37" t="str">
        <v>F6</v>
      </c>
      <c r="CW68" s="37" t="str">
        <v>BN</v>
      </c>
      <c r="CX68" s="37" t="str">
        <v>WW</v>
      </c>
      <c r="CY68" s="37" t="str">
        <v>BN</v>
      </c>
      <c r="CZ68" s="37" t="str">
        <v>M4</v>
      </c>
      <c r="DC68" s="37">
        <v>20</v>
      </c>
      <c r="DD68" s="37">
        <v>15</v>
      </c>
      <c r="DE68" s="37">
        <v>20</v>
      </c>
      <c r="DF68" s="37">
        <v>9</v>
      </c>
      <c r="DG68" s="37">
        <v>20</v>
      </c>
      <c r="DJ68" s="37" t="str">
        <v>F6</v>
      </c>
      <c r="DK68" s="37" t="str">
        <v>BN</v>
      </c>
      <c r="DL68" s="37" t="str">
        <v>WW</v>
      </c>
      <c r="DM68" s="37" t="str">
        <v>BN</v>
      </c>
      <c r="DN68" s="37" t="str">
        <v>M4</v>
      </c>
      <c r="DQ68" s="37">
        <v>20</v>
      </c>
      <c r="DR68" s="37">
        <v>15</v>
      </c>
      <c r="DS68" s="37">
        <v>20</v>
      </c>
      <c r="DT68" s="37">
        <v>9</v>
      </c>
      <c r="DU68" s="37">
        <v>20</v>
      </c>
      <c r="DX68" s="37" t="str">
        <v>F6</v>
      </c>
      <c r="DY68" s="37" t="str">
        <v>BN</v>
      </c>
      <c r="DZ68" s="37" t="str">
        <v>WW</v>
      </c>
      <c r="EA68" s="37" t="str">
        <v>BN</v>
      </c>
      <c r="EB68" s="37" t="str">
        <v>M4</v>
      </c>
      <c r="EE68" s="37">
        <v>20</v>
      </c>
      <c r="EF68" s="37">
        <v>15</v>
      </c>
      <c r="EG68" s="37">
        <v>20</v>
      </c>
      <c r="EH68" s="37">
        <v>9</v>
      </c>
      <c r="EI68" s="37">
        <v>20</v>
      </c>
      <c r="EL68" s="37" t="str">
        <v>F6</v>
      </c>
      <c r="EM68" s="37" t="str">
        <v>BN</v>
      </c>
      <c r="EN68" s="37" t="str">
        <v>WW</v>
      </c>
      <c r="EO68" s="37" t="str">
        <v>BN</v>
      </c>
      <c r="EP68" s="37" t="str">
        <v>M4</v>
      </c>
      <c r="ES68" s="37">
        <v>20</v>
      </c>
      <c r="ET68" s="37">
        <v>15</v>
      </c>
      <c r="EU68" s="37">
        <v>20</v>
      </c>
      <c r="EV68" s="37">
        <v>9</v>
      </c>
      <c r="EW68" s="37">
        <v>20</v>
      </c>
      <c r="EZ68" s="37" t="str">
        <v>F6</v>
      </c>
      <c r="FA68" s="37" t="str">
        <v>BN</v>
      </c>
      <c r="FB68" s="37" t="str">
        <v>WW</v>
      </c>
      <c r="FC68" s="37" t="str">
        <v>BN</v>
      </c>
      <c r="FD68" s="37" t="str">
        <v>M4</v>
      </c>
      <c r="FG68" s="37">
        <v>20</v>
      </c>
      <c r="FH68" s="37">
        <v>15</v>
      </c>
      <c r="FI68" s="37">
        <v>20</v>
      </c>
      <c r="FJ68" s="37">
        <v>9</v>
      </c>
      <c r="FK68" s="37">
        <v>20</v>
      </c>
      <c r="FN68" s="37" t="str">
        <v>F6</v>
      </c>
      <c r="FO68" s="37" t="str">
        <v>BN</v>
      </c>
      <c r="FP68" s="37" t="str">
        <v>WW</v>
      </c>
      <c r="FQ68" s="37" t="str">
        <v>BN</v>
      </c>
      <c r="FR68" s="37" t="str">
        <v>M4</v>
      </c>
      <c r="FU68" s="37">
        <v>20</v>
      </c>
      <c r="FV68" s="37">
        <v>15</v>
      </c>
      <c r="FW68" s="37">
        <v>20</v>
      </c>
      <c r="FX68" s="37">
        <v>9</v>
      </c>
      <c r="FY68" s="37">
        <v>20</v>
      </c>
      <c r="GB68" s="37" t="str">
        <v>F6</v>
      </c>
      <c r="GC68" s="37" t="str">
        <v>BN</v>
      </c>
      <c r="GD68" s="37" t="str">
        <v>WW</v>
      </c>
      <c r="GE68" s="37" t="str">
        <v>BN</v>
      </c>
      <c r="GF68" s="37" t="str">
        <v>M4</v>
      </c>
      <c r="GI68" s="37">
        <v>20</v>
      </c>
      <c r="GJ68" s="37">
        <v>15</v>
      </c>
      <c r="GK68" s="37">
        <v>20</v>
      </c>
      <c r="GL68" s="37">
        <v>9</v>
      </c>
      <c r="GM68" s="37">
        <v>20</v>
      </c>
      <c r="GP68" s="37" t="str">
        <v>F6</v>
      </c>
      <c r="GQ68" s="37" t="str">
        <v>BN</v>
      </c>
      <c r="GR68" s="37" t="str">
        <v>WW</v>
      </c>
      <c r="GS68" s="37" t="str">
        <v>BN</v>
      </c>
      <c r="GT68" s="37" t="str">
        <v>M4</v>
      </c>
      <c r="GW68" s="37">
        <v>20</v>
      </c>
      <c r="GX68" s="37">
        <v>15</v>
      </c>
      <c r="GY68" s="37">
        <v>20</v>
      </c>
      <c r="GZ68" s="37">
        <v>9</v>
      </c>
      <c r="HA68" s="37">
        <v>20</v>
      </c>
      <c r="HD68" s="37" t="str">
        <v>F6</v>
      </c>
      <c r="HE68" s="37" t="str">
        <v>BN</v>
      </c>
      <c r="HF68" s="37" t="str">
        <v>WW</v>
      </c>
      <c r="HG68" s="37" t="str">
        <v>BN</v>
      </c>
      <c r="HH68" s="37" t="str">
        <v>M4</v>
      </c>
      <c r="HK68" s="37">
        <v>20</v>
      </c>
      <c r="HL68" s="37">
        <v>15</v>
      </c>
      <c r="HM68" s="37">
        <v>20</v>
      </c>
      <c r="HN68" s="37">
        <v>9</v>
      </c>
      <c r="HO68" s="37">
        <v>20</v>
      </c>
    </row>
    <row r="69" spans="2:223" x14ac:dyDescent="0.35">
      <c r="B69" s="37" t="str">
        <v>F6</v>
      </c>
      <c r="C69" s="37" t="str">
        <v>F7</v>
      </c>
      <c r="D69" s="37" t="str">
        <v>WW</v>
      </c>
      <c r="E69" s="37" t="str">
        <v>F7</v>
      </c>
      <c r="F69" s="37" t="str">
        <v>F7</v>
      </c>
      <c r="I69" s="37">
        <v>20</v>
      </c>
      <c r="J69" s="37">
        <v>15</v>
      </c>
      <c r="K69" s="37">
        <v>20</v>
      </c>
      <c r="L69" s="37">
        <v>9</v>
      </c>
      <c r="M69" s="37">
        <v>1</v>
      </c>
      <c r="P69" s="37" t="str">
        <v>F6</v>
      </c>
      <c r="Q69" s="37" t="str">
        <v>F7</v>
      </c>
      <c r="R69" s="37" t="str">
        <v>WW</v>
      </c>
      <c r="S69" s="37" t="str">
        <v>F7</v>
      </c>
      <c r="T69" s="37" t="str">
        <v>F7</v>
      </c>
      <c r="W69" s="37">
        <v>20</v>
      </c>
      <c r="X69" s="37">
        <v>15</v>
      </c>
      <c r="Y69" s="37">
        <v>20</v>
      </c>
      <c r="Z69" s="37">
        <v>9</v>
      </c>
      <c r="AA69" s="37">
        <v>1</v>
      </c>
      <c r="AD69" s="37" t="str">
        <v>F6</v>
      </c>
      <c r="AE69" s="37" t="str">
        <v>F7</v>
      </c>
      <c r="AF69" s="37" t="str">
        <v>WW</v>
      </c>
      <c r="AG69" s="37" t="str">
        <v>F7</v>
      </c>
      <c r="AH69" s="37" t="str">
        <v>F7</v>
      </c>
      <c r="AK69" s="37">
        <v>20</v>
      </c>
      <c r="AL69" s="37">
        <v>15</v>
      </c>
      <c r="AM69" s="37">
        <v>20</v>
      </c>
      <c r="AN69" s="37">
        <v>9</v>
      </c>
      <c r="AO69" s="37">
        <v>1</v>
      </c>
      <c r="AR69" s="37" t="str">
        <v>F6</v>
      </c>
      <c r="AS69" s="37" t="str">
        <v>F7</v>
      </c>
      <c r="AT69" s="37" t="str">
        <v>WW</v>
      </c>
      <c r="AU69" s="37" t="str">
        <v>F7</v>
      </c>
      <c r="AV69" s="37" t="str">
        <v>F7</v>
      </c>
      <c r="AY69" s="37">
        <v>20</v>
      </c>
      <c r="AZ69" s="37">
        <v>15</v>
      </c>
      <c r="BA69" s="37">
        <v>20</v>
      </c>
      <c r="BB69" s="37">
        <v>9</v>
      </c>
      <c r="BC69" s="37">
        <v>1</v>
      </c>
      <c r="BF69" s="37" t="str">
        <v>F6</v>
      </c>
      <c r="BG69" s="37" t="str">
        <v>F7</v>
      </c>
      <c r="BH69" s="37" t="str">
        <v>WW</v>
      </c>
      <c r="BI69" s="37" t="str">
        <v>F7</v>
      </c>
      <c r="BJ69" s="37" t="str">
        <v>F7</v>
      </c>
      <c r="BM69" s="37">
        <v>20</v>
      </c>
      <c r="BN69" s="37">
        <v>15</v>
      </c>
      <c r="BO69" s="37">
        <v>20</v>
      </c>
      <c r="BP69" s="37">
        <v>9</v>
      </c>
      <c r="BQ69" s="37">
        <v>1</v>
      </c>
      <c r="BT69" s="37" t="str">
        <v>F6</v>
      </c>
      <c r="BU69" s="37" t="str">
        <v>F7</v>
      </c>
      <c r="BV69" s="37" t="str">
        <v>WW</v>
      </c>
      <c r="BW69" s="37" t="str">
        <v>F7</v>
      </c>
      <c r="BX69" s="37" t="str">
        <v>F7</v>
      </c>
      <c r="CA69" s="37">
        <v>20</v>
      </c>
      <c r="CB69" s="37">
        <v>15</v>
      </c>
      <c r="CC69" s="37">
        <v>20</v>
      </c>
      <c r="CD69" s="37">
        <v>9</v>
      </c>
      <c r="CE69" s="37">
        <v>1</v>
      </c>
      <c r="CH69" s="37" t="str">
        <v>F6</v>
      </c>
      <c r="CI69" s="37" t="str">
        <v>F7</v>
      </c>
      <c r="CJ69" s="37" t="str">
        <v>WW</v>
      </c>
      <c r="CK69" s="37" t="str">
        <v>F7</v>
      </c>
      <c r="CL69" s="37" t="str">
        <v>F7</v>
      </c>
      <c r="CO69" s="37">
        <v>20</v>
      </c>
      <c r="CP69" s="37">
        <v>15</v>
      </c>
      <c r="CQ69" s="37">
        <v>20</v>
      </c>
      <c r="CR69" s="37">
        <v>9</v>
      </c>
      <c r="CS69" s="37">
        <v>1</v>
      </c>
      <c r="CV69" s="37" t="str">
        <v>F6</v>
      </c>
      <c r="CW69" s="37" t="str">
        <v>F7</v>
      </c>
      <c r="CX69" s="37" t="str">
        <v>WW</v>
      </c>
      <c r="CY69" s="37" t="str">
        <v>F7</v>
      </c>
      <c r="CZ69" s="37" t="str">
        <v>F7</v>
      </c>
      <c r="DC69" s="37">
        <v>20</v>
      </c>
      <c r="DD69" s="37">
        <v>15</v>
      </c>
      <c r="DE69" s="37">
        <v>20</v>
      </c>
      <c r="DF69" s="37">
        <v>9</v>
      </c>
      <c r="DG69" s="37">
        <v>1</v>
      </c>
      <c r="DJ69" s="37" t="str">
        <v>F6</v>
      </c>
      <c r="DK69" s="37" t="str">
        <v>F7</v>
      </c>
      <c r="DL69" s="37" t="str">
        <v>WW</v>
      </c>
      <c r="DM69" s="37" t="str">
        <v>F7</v>
      </c>
      <c r="DN69" s="37" t="str">
        <v>F7</v>
      </c>
      <c r="DQ69" s="37">
        <v>20</v>
      </c>
      <c r="DR69" s="37">
        <v>15</v>
      </c>
      <c r="DS69" s="37">
        <v>20</v>
      </c>
      <c r="DT69" s="37">
        <v>9</v>
      </c>
      <c r="DU69" s="37">
        <v>1</v>
      </c>
      <c r="DX69" s="37" t="str">
        <v>F6</v>
      </c>
      <c r="DY69" s="37" t="str">
        <v>F7</v>
      </c>
      <c r="DZ69" s="37" t="str">
        <v>WW</v>
      </c>
      <c r="EA69" s="37" t="str">
        <v>F7</v>
      </c>
      <c r="EB69" s="37" t="str">
        <v>F7</v>
      </c>
      <c r="EE69" s="37">
        <v>20</v>
      </c>
      <c r="EF69" s="37">
        <v>15</v>
      </c>
      <c r="EG69" s="37">
        <v>20</v>
      </c>
      <c r="EH69" s="37">
        <v>9</v>
      </c>
      <c r="EI69" s="37">
        <v>1</v>
      </c>
      <c r="EL69" s="37" t="str">
        <v>F6</v>
      </c>
      <c r="EM69" s="37" t="str">
        <v>F7</v>
      </c>
      <c r="EN69" s="37" t="str">
        <v>WW</v>
      </c>
      <c r="EO69" s="37" t="str">
        <v>F7</v>
      </c>
      <c r="EP69" s="37" t="str">
        <v>F7</v>
      </c>
      <c r="ES69" s="37">
        <v>20</v>
      </c>
      <c r="ET69" s="37">
        <v>15</v>
      </c>
      <c r="EU69" s="37">
        <v>20</v>
      </c>
      <c r="EV69" s="37">
        <v>9</v>
      </c>
      <c r="EW69" s="37">
        <v>1</v>
      </c>
      <c r="EZ69" s="37" t="str">
        <v>F6</v>
      </c>
      <c r="FA69" s="37" t="str">
        <v>F7</v>
      </c>
      <c r="FB69" s="37" t="str">
        <v>WW</v>
      </c>
      <c r="FC69" s="37" t="str">
        <v>F7</v>
      </c>
      <c r="FD69" s="37" t="str">
        <v>F7</v>
      </c>
      <c r="FG69" s="37">
        <v>20</v>
      </c>
      <c r="FH69" s="37">
        <v>15</v>
      </c>
      <c r="FI69" s="37">
        <v>20</v>
      </c>
      <c r="FJ69" s="37">
        <v>9</v>
      </c>
      <c r="FK69" s="37">
        <v>1</v>
      </c>
      <c r="FN69" s="37" t="str">
        <v>F6</v>
      </c>
      <c r="FO69" s="37" t="str">
        <v>F7</v>
      </c>
      <c r="FP69" s="37" t="str">
        <v>WW</v>
      </c>
      <c r="FQ69" s="37" t="str">
        <v>F7</v>
      </c>
      <c r="FR69" s="37" t="str">
        <v>F7</v>
      </c>
      <c r="FU69" s="37">
        <v>20</v>
      </c>
      <c r="FV69" s="37">
        <v>15</v>
      </c>
      <c r="FW69" s="37">
        <v>20</v>
      </c>
      <c r="FX69" s="37">
        <v>9</v>
      </c>
      <c r="FY69" s="37">
        <v>1</v>
      </c>
      <c r="GB69" s="37" t="str">
        <v>F6</v>
      </c>
      <c r="GC69" s="37" t="str">
        <v>F7</v>
      </c>
      <c r="GD69" s="37" t="str">
        <v>WW</v>
      </c>
      <c r="GE69" s="37" t="str">
        <v>F7</v>
      </c>
      <c r="GF69" s="37" t="str">
        <v>F7</v>
      </c>
      <c r="GI69" s="37">
        <v>20</v>
      </c>
      <c r="GJ69" s="37">
        <v>15</v>
      </c>
      <c r="GK69" s="37">
        <v>20</v>
      </c>
      <c r="GL69" s="37">
        <v>9</v>
      </c>
      <c r="GM69" s="37">
        <v>1</v>
      </c>
      <c r="GP69" s="37" t="str">
        <v>F6</v>
      </c>
      <c r="GQ69" s="37" t="str">
        <v>F7</v>
      </c>
      <c r="GR69" s="37" t="str">
        <v>WW</v>
      </c>
      <c r="GS69" s="37" t="str">
        <v>F7</v>
      </c>
      <c r="GT69" s="37" t="str">
        <v>F7</v>
      </c>
      <c r="GW69" s="37">
        <v>20</v>
      </c>
      <c r="GX69" s="37">
        <v>15</v>
      </c>
      <c r="GY69" s="37">
        <v>20</v>
      </c>
      <c r="GZ69" s="37">
        <v>9</v>
      </c>
      <c r="HA69" s="37">
        <v>1</v>
      </c>
      <c r="HD69" s="37" t="str">
        <v>F6</v>
      </c>
      <c r="HE69" s="37" t="str">
        <v>F7</v>
      </c>
      <c r="HF69" s="37" t="str">
        <v>WW</v>
      </c>
      <c r="HG69" s="37" t="str">
        <v>F7</v>
      </c>
      <c r="HH69" s="37" t="str">
        <v>F7</v>
      </c>
      <c r="HK69" s="37">
        <v>20</v>
      </c>
      <c r="HL69" s="37">
        <v>15</v>
      </c>
      <c r="HM69" s="37">
        <v>20</v>
      </c>
      <c r="HN69" s="37">
        <v>9</v>
      </c>
      <c r="HO69" s="37">
        <v>1</v>
      </c>
    </row>
    <row r="70" spans="2:223" x14ac:dyDescent="0.35">
      <c r="B70" s="37" t="str">
        <v>M2</v>
      </c>
      <c r="C70" s="37" t="str">
        <v>F9</v>
      </c>
      <c r="D70" s="37" t="str">
        <v>F8</v>
      </c>
      <c r="E70" s="37" t="str">
        <v>F8</v>
      </c>
      <c r="F70" s="37" t="str">
        <v>MB</v>
      </c>
      <c r="I70" s="37">
        <v>20</v>
      </c>
      <c r="J70" s="37">
        <v>20</v>
      </c>
      <c r="K70" s="37">
        <v>20</v>
      </c>
      <c r="L70" s="37">
        <v>20</v>
      </c>
      <c r="M70" s="37">
        <v>1</v>
      </c>
      <c r="P70" s="37" t="str">
        <v>M2</v>
      </c>
      <c r="Q70" s="37" t="str">
        <v>F9</v>
      </c>
      <c r="R70" s="37" t="str">
        <v>F8</v>
      </c>
      <c r="S70" s="37" t="str">
        <v>F8</v>
      </c>
      <c r="T70" s="37" t="str">
        <v>MB</v>
      </c>
      <c r="W70" s="37">
        <v>20</v>
      </c>
      <c r="X70" s="37">
        <v>20</v>
      </c>
      <c r="Y70" s="37">
        <v>20</v>
      </c>
      <c r="Z70" s="37">
        <v>20</v>
      </c>
      <c r="AA70" s="37">
        <v>1</v>
      </c>
      <c r="AD70" s="37" t="str">
        <v>M2</v>
      </c>
      <c r="AE70" s="37" t="str">
        <v>F9</v>
      </c>
      <c r="AF70" s="37" t="str">
        <v>F8</v>
      </c>
      <c r="AG70" s="37" t="str">
        <v>F8</v>
      </c>
      <c r="AH70" s="37" t="str">
        <v>MB</v>
      </c>
      <c r="AK70" s="37">
        <v>20</v>
      </c>
      <c r="AL70" s="37">
        <v>20</v>
      </c>
      <c r="AM70" s="37">
        <v>20</v>
      </c>
      <c r="AN70" s="37">
        <v>20</v>
      </c>
      <c r="AO70" s="37">
        <v>1</v>
      </c>
      <c r="AR70" s="37" t="str">
        <v>M2</v>
      </c>
      <c r="AS70" s="37" t="str">
        <v>F9</v>
      </c>
      <c r="AT70" s="37" t="str">
        <v>F8</v>
      </c>
      <c r="AU70" s="37" t="str">
        <v>F8</v>
      </c>
      <c r="AV70" s="37" t="str">
        <v>MB</v>
      </c>
      <c r="AY70" s="37">
        <v>20</v>
      </c>
      <c r="AZ70" s="37">
        <v>20</v>
      </c>
      <c r="BA70" s="37">
        <v>20</v>
      </c>
      <c r="BB70" s="37">
        <v>20</v>
      </c>
      <c r="BC70" s="37">
        <v>1</v>
      </c>
      <c r="BF70" s="37" t="str">
        <v>M2</v>
      </c>
      <c r="BG70" s="37" t="str">
        <v>F9</v>
      </c>
      <c r="BH70" s="37" t="str">
        <v>F8</v>
      </c>
      <c r="BI70" s="37" t="str">
        <v>F8</v>
      </c>
      <c r="BJ70" s="37" t="str">
        <v>MB</v>
      </c>
      <c r="BM70" s="37">
        <v>20</v>
      </c>
      <c r="BN70" s="37">
        <v>20</v>
      </c>
      <c r="BO70" s="37">
        <v>20</v>
      </c>
      <c r="BP70" s="37">
        <v>20</v>
      </c>
      <c r="BQ70" s="37">
        <v>1</v>
      </c>
      <c r="BT70" s="37" t="str">
        <v>M2</v>
      </c>
      <c r="BU70" s="37" t="str">
        <v>F9</v>
      </c>
      <c r="BV70" s="37" t="str">
        <v>F8</v>
      </c>
      <c r="BW70" s="37" t="str">
        <v>F8</v>
      </c>
      <c r="BX70" s="37" t="str">
        <v>MB</v>
      </c>
      <c r="CA70" s="37">
        <v>20</v>
      </c>
      <c r="CB70" s="37">
        <v>20</v>
      </c>
      <c r="CC70" s="37">
        <v>20</v>
      </c>
      <c r="CD70" s="37">
        <v>20</v>
      </c>
      <c r="CE70" s="37">
        <v>1</v>
      </c>
      <c r="CH70" s="37" t="str">
        <v>M2</v>
      </c>
      <c r="CI70" s="37" t="str">
        <v>F9</v>
      </c>
      <c r="CJ70" s="37" t="str">
        <v>F8</v>
      </c>
      <c r="CK70" s="37" t="str">
        <v>F8</v>
      </c>
      <c r="CL70" s="37" t="str">
        <v>MB</v>
      </c>
      <c r="CO70" s="37">
        <v>20</v>
      </c>
      <c r="CP70" s="37">
        <v>20</v>
      </c>
      <c r="CQ70" s="37">
        <v>20</v>
      </c>
      <c r="CR70" s="37">
        <v>20</v>
      </c>
      <c r="CS70" s="37">
        <v>1</v>
      </c>
      <c r="CV70" s="37" t="str">
        <v>M2</v>
      </c>
      <c r="CW70" s="37" t="str">
        <v>F9</v>
      </c>
      <c r="CX70" s="37" t="str">
        <v>F8</v>
      </c>
      <c r="CY70" s="37" t="str">
        <v>F8</v>
      </c>
      <c r="CZ70" s="37" t="str">
        <v>MB</v>
      </c>
      <c r="DC70" s="37">
        <v>20</v>
      </c>
      <c r="DD70" s="37">
        <v>20</v>
      </c>
      <c r="DE70" s="37">
        <v>20</v>
      </c>
      <c r="DF70" s="37">
        <v>20</v>
      </c>
      <c r="DG70" s="37">
        <v>1</v>
      </c>
      <c r="DJ70" s="37" t="str">
        <v>M2</v>
      </c>
      <c r="DK70" s="37" t="str">
        <v>F9</v>
      </c>
      <c r="DL70" s="37" t="str">
        <v>F8</v>
      </c>
      <c r="DM70" s="37" t="str">
        <v>F8</v>
      </c>
      <c r="DN70" s="37" t="str">
        <v>MB</v>
      </c>
      <c r="DQ70" s="37">
        <v>20</v>
      </c>
      <c r="DR70" s="37">
        <v>20</v>
      </c>
      <c r="DS70" s="37">
        <v>20</v>
      </c>
      <c r="DT70" s="37">
        <v>20</v>
      </c>
      <c r="DU70" s="37">
        <v>1</v>
      </c>
      <c r="DX70" s="37" t="str">
        <v>M2</v>
      </c>
      <c r="DY70" s="37" t="str">
        <v>F9</v>
      </c>
      <c r="DZ70" s="37" t="str">
        <v>F8</v>
      </c>
      <c r="EA70" s="37" t="str">
        <v>F8</v>
      </c>
      <c r="EB70" s="37" t="str">
        <v>MB</v>
      </c>
      <c r="EE70" s="37">
        <v>20</v>
      </c>
      <c r="EF70" s="37">
        <v>20</v>
      </c>
      <c r="EG70" s="37">
        <v>20</v>
      </c>
      <c r="EH70" s="37">
        <v>20</v>
      </c>
      <c r="EI70" s="37">
        <v>1</v>
      </c>
      <c r="EL70" s="37" t="str">
        <v>M2</v>
      </c>
      <c r="EM70" s="37" t="str">
        <v>F9</v>
      </c>
      <c r="EN70" s="37" t="str">
        <v>F8</v>
      </c>
      <c r="EO70" s="37" t="str">
        <v>F8</v>
      </c>
      <c r="EP70" s="37" t="str">
        <v>MB</v>
      </c>
      <c r="ES70" s="37">
        <v>20</v>
      </c>
      <c r="ET70" s="37">
        <v>20</v>
      </c>
      <c r="EU70" s="37">
        <v>20</v>
      </c>
      <c r="EV70" s="37">
        <v>20</v>
      </c>
      <c r="EW70" s="37">
        <v>1</v>
      </c>
      <c r="EZ70" s="37" t="str">
        <v>M2</v>
      </c>
      <c r="FA70" s="37" t="str">
        <v>F9</v>
      </c>
      <c r="FB70" s="37" t="str">
        <v>F8</v>
      </c>
      <c r="FC70" s="37" t="str">
        <v>F8</v>
      </c>
      <c r="FD70" s="37" t="str">
        <v>MB</v>
      </c>
      <c r="FG70" s="37">
        <v>20</v>
      </c>
      <c r="FH70" s="37">
        <v>20</v>
      </c>
      <c r="FI70" s="37">
        <v>20</v>
      </c>
      <c r="FJ70" s="37">
        <v>20</v>
      </c>
      <c r="FK70" s="37">
        <v>1</v>
      </c>
      <c r="FN70" s="37" t="str">
        <v>M2</v>
      </c>
      <c r="FO70" s="37" t="str">
        <v>F9</v>
      </c>
      <c r="FP70" s="37" t="str">
        <v>F8</v>
      </c>
      <c r="FQ70" s="37" t="str">
        <v>F8</v>
      </c>
      <c r="FR70" s="37" t="str">
        <v>MB</v>
      </c>
      <c r="FU70" s="37">
        <v>20</v>
      </c>
      <c r="FV70" s="37">
        <v>20</v>
      </c>
      <c r="FW70" s="37">
        <v>20</v>
      </c>
      <c r="FX70" s="37">
        <v>20</v>
      </c>
      <c r="FY70" s="37">
        <v>1</v>
      </c>
      <c r="GB70" s="37" t="str">
        <v>M2</v>
      </c>
      <c r="GC70" s="37" t="str">
        <v>F9</v>
      </c>
      <c r="GD70" s="37" t="str">
        <v>F8</v>
      </c>
      <c r="GE70" s="37" t="str">
        <v>F8</v>
      </c>
      <c r="GF70" s="37" t="str">
        <v>MB</v>
      </c>
      <c r="GI70" s="37">
        <v>20</v>
      </c>
      <c r="GJ70" s="37">
        <v>20</v>
      </c>
      <c r="GK70" s="37">
        <v>20</v>
      </c>
      <c r="GL70" s="37">
        <v>20</v>
      </c>
      <c r="GM70" s="37">
        <v>1</v>
      </c>
      <c r="GP70" s="37" t="str">
        <v>M2</v>
      </c>
      <c r="GQ70" s="37" t="str">
        <v>F9</v>
      </c>
      <c r="GR70" s="37" t="str">
        <v>F8</v>
      </c>
      <c r="GS70" s="37" t="str">
        <v>F8</v>
      </c>
      <c r="GT70" s="37" t="str">
        <v>MB</v>
      </c>
      <c r="GW70" s="37">
        <v>20</v>
      </c>
      <c r="GX70" s="37">
        <v>20</v>
      </c>
      <c r="GY70" s="37">
        <v>20</v>
      </c>
      <c r="GZ70" s="37">
        <v>20</v>
      </c>
      <c r="HA70" s="37">
        <v>1</v>
      </c>
      <c r="HD70" s="37" t="str">
        <v>M2</v>
      </c>
      <c r="HE70" s="37" t="str">
        <v>F9</v>
      </c>
      <c r="HF70" s="37" t="str">
        <v>F8</v>
      </c>
      <c r="HG70" s="37" t="str">
        <v>F8</v>
      </c>
      <c r="HH70" s="37" t="str">
        <v>MB</v>
      </c>
      <c r="HK70" s="37">
        <v>20</v>
      </c>
      <c r="HL70" s="37">
        <v>20</v>
      </c>
      <c r="HM70" s="37">
        <v>20</v>
      </c>
      <c r="HN70" s="37">
        <v>20</v>
      </c>
      <c r="HO70" s="37">
        <v>1</v>
      </c>
    </row>
    <row r="71" spans="2:223" x14ac:dyDescent="0.35">
      <c r="B71" s="37" t="str">
        <v>M2</v>
      </c>
      <c r="C71" s="37" t="str">
        <v>WW</v>
      </c>
      <c r="D71" s="37" t="str">
        <v>M2</v>
      </c>
      <c r="E71" s="37" t="str">
        <v>M4</v>
      </c>
      <c r="F71" s="37" t="str">
        <v>MB</v>
      </c>
      <c r="I71" s="37">
        <v>20</v>
      </c>
      <c r="J71" s="37">
        <v>20</v>
      </c>
      <c r="K71" s="37">
        <v>20</v>
      </c>
      <c r="L71" s="37">
        <v>20</v>
      </c>
      <c r="M71" s="37">
        <v>1</v>
      </c>
      <c r="P71" s="37" t="str">
        <v>M2</v>
      </c>
      <c r="Q71" s="37" t="str">
        <v>WW</v>
      </c>
      <c r="R71" s="37" t="str">
        <v>M2</v>
      </c>
      <c r="S71" s="37" t="str">
        <v>M4</v>
      </c>
      <c r="T71" s="37" t="str">
        <v>MB</v>
      </c>
      <c r="W71" s="37">
        <v>20</v>
      </c>
      <c r="X71" s="37">
        <v>20</v>
      </c>
      <c r="Y71" s="37">
        <v>20</v>
      </c>
      <c r="Z71" s="37">
        <v>20</v>
      </c>
      <c r="AA71" s="37">
        <v>1</v>
      </c>
      <c r="AD71" s="37" t="str">
        <v>M2</v>
      </c>
      <c r="AE71" s="37" t="str">
        <v>WW</v>
      </c>
      <c r="AF71" s="37" t="str">
        <v>M2</v>
      </c>
      <c r="AG71" s="37" t="str">
        <v>M4</v>
      </c>
      <c r="AH71" s="37" t="str">
        <v>MB</v>
      </c>
      <c r="AK71" s="37">
        <v>20</v>
      </c>
      <c r="AL71" s="37">
        <v>20</v>
      </c>
      <c r="AM71" s="37">
        <v>20</v>
      </c>
      <c r="AN71" s="37">
        <v>20</v>
      </c>
      <c r="AO71" s="37">
        <v>1</v>
      </c>
      <c r="AR71" s="37" t="str">
        <v>M2</v>
      </c>
      <c r="AS71" s="37" t="str">
        <v>WW</v>
      </c>
      <c r="AT71" s="37" t="str">
        <v>M2</v>
      </c>
      <c r="AU71" s="37" t="str">
        <v>M4</v>
      </c>
      <c r="AV71" s="37" t="str">
        <v>MB</v>
      </c>
      <c r="AY71" s="37">
        <v>20</v>
      </c>
      <c r="AZ71" s="37">
        <v>20</v>
      </c>
      <c r="BA71" s="37">
        <v>20</v>
      </c>
      <c r="BB71" s="37">
        <v>20</v>
      </c>
      <c r="BC71" s="37">
        <v>1</v>
      </c>
      <c r="BF71" s="37" t="str">
        <v>M2</v>
      </c>
      <c r="BG71" s="37" t="str">
        <v>WW</v>
      </c>
      <c r="BH71" s="37" t="str">
        <v>M2</v>
      </c>
      <c r="BI71" s="37" t="str">
        <v>M4</v>
      </c>
      <c r="BJ71" s="37" t="str">
        <v>MB</v>
      </c>
      <c r="BM71" s="37">
        <v>20</v>
      </c>
      <c r="BN71" s="37">
        <v>20</v>
      </c>
      <c r="BO71" s="37">
        <v>20</v>
      </c>
      <c r="BP71" s="37">
        <v>20</v>
      </c>
      <c r="BQ71" s="37">
        <v>1</v>
      </c>
      <c r="BT71" s="37" t="str">
        <v>M2</v>
      </c>
      <c r="BU71" s="37" t="str">
        <v>WW</v>
      </c>
      <c r="BV71" s="37" t="str">
        <v>M2</v>
      </c>
      <c r="BW71" s="37" t="str">
        <v>M4</v>
      </c>
      <c r="BX71" s="37" t="str">
        <v>MB</v>
      </c>
      <c r="CA71" s="37">
        <v>20</v>
      </c>
      <c r="CB71" s="37">
        <v>20</v>
      </c>
      <c r="CC71" s="37">
        <v>20</v>
      </c>
      <c r="CD71" s="37">
        <v>20</v>
      </c>
      <c r="CE71" s="37">
        <v>1</v>
      </c>
      <c r="CH71" s="37" t="str">
        <v>M2</v>
      </c>
      <c r="CI71" s="37" t="str">
        <v>WW</v>
      </c>
      <c r="CJ71" s="37" t="str">
        <v>M2</v>
      </c>
      <c r="CK71" s="37" t="str">
        <v>M4</v>
      </c>
      <c r="CL71" s="37" t="str">
        <v>MB</v>
      </c>
      <c r="CO71" s="37">
        <v>20</v>
      </c>
      <c r="CP71" s="37">
        <v>20</v>
      </c>
      <c r="CQ71" s="37">
        <v>20</v>
      </c>
      <c r="CR71" s="37">
        <v>20</v>
      </c>
      <c r="CS71" s="37">
        <v>1</v>
      </c>
      <c r="CV71" s="37" t="str">
        <v>M2</v>
      </c>
      <c r="CW71" s="37" t="str">
        <v>WW</v>
      </c>
      <c r="CX71" s="37" t="str">
        <v>M2</v>
      </c>
      <c r="CY71" s="37" t="str">
        <v>M4</v>
      </c>
      <c r="CZ71" s="37" t="str">
        <v>MB</v>
      </c>
      <c r="DC71" s="37">
        <v>20</v>
      </c>
      <c r="DD71" s="37">
        <v>20</v>
      </c>
      <c r="DE71" s="37">
        <v>20</v>
      </c>
      <c r="DF71" s="37">
        <v>20</v>
      </c>
      <c r="DG71" s="37">
        <v>1</v>
      </c>
      <c r="DJ71" s="37" t="str">
        <v>M2</v>
      </c>
      <c r="DK71" s="37" t="str">
        <v>WW</v>
      </c>
      <c r="DL71" s="37" t="str">
        <v>M2</v>
      </c>
      <c r="DM71" s="37" t="str">
        <v>M4</v>
      </c>
      <c r="DN71" s="37" t="str">
        <v>MB</v>
      </c>
      <c r="DQ71" s="37">
        <v>20</v>
      </c>
      <c r="DR71" s="37">
        <v>20</v>
      </c>
      <c r="DS71" s="37">
        <v>20</v>
      </c>
      <c r="DT71" s="37">
        <v>20</v>
      </c>
      <c r="DU71" s="37">
        <v>1</v>
      </c>
      <c r="DX71" s="37" t="str">
        <v>M2</v>
      </c>
      <c r="DY71" s="37" t="str">
        <v>WW</v>
      </c>
      <c r="DZ71" s="37" t="str">
        <v>M2</v>
      </c>
      <c r="EA71" s="37" t="str">
        <v>M4</v>
      </c>
      <c r="EB71" s="37" t="str">
        <v>MB</v>
      </c>
      <c r="EE71" s="37">
        <v>20</v>
      </c>
      <c r="EF71" s="37">
        <v>20</v>
      </c>
      <c r="EG71" s="37">
        <v>20</v>
      </c>
      <c r="EH71" s="37">
        <v>20</v>
      </c>
      <c r="EI71" s="37">
        <v>1</v>
      </c>
      <c r="EL71" s="37" t="str">
        <v>M2</v>
      </c>
      <c r="EM71" s="37" t="str">
        <v>WW</v>
      </c>
      <c r="EN71" s="37" t="str">
        <v>M2</v>
      </c>
      <c r="EO71" s="37" t="str">
        <v>M4</v>
      </c>
      <c r="EP71" s="37" t="str">
        <v>MB</v>
      </c>
      <c r="ES71" s="37">
        <v>20</v>
      </c>
      <c r="ET71" s="37">
        <v>20</v>
      </c>
      <c r="EU71" s="37">
        <v>20</v>
      </c>
      <c r="EV71" s="37">
        <v>20</v>
      </c>
      <c r="EW71" s="37">
        <v>1</v>
      </c>
      <c r="EZ71" s="37" t="str">
        <v>M2</v>
      </c>
      <c r="FA71" s="37" t="str">
        <v>WW</v>
      </c>
      <c r="FB71" s="37" t="str">
        <v>M2</v>
      </c>
      <c r="FC71" s="37" t="str">
        <v>M4</v>
      </c>
      <c r="FD71" s="37" t="str">
        <v>MB</v>
      </c>
      <c r="FG71" s="37">
        <v>20</v>
      </c>
      <c r="FH71" s="37">
        <v>20</v>
      </c>
      <c r="FI71" s="37">
        <v>20</v>
      </c>
      <c r="FJ71" s="37">
        <v>20</v>
      </c>
      <c r="FK71" s="37">
        <v>1</v>
      </c>
      <c r="FN71" s="37" t="str">
        <v>M2</v>
      </c>
      <c r="FO71" s="37" t="str">
        <v>WW</v>
      </c>
      <c r="FP71" s="37" t="str">
        <v>M2</v>
      </c>
      <c r="FQ71" s="37" t="str">
        <v>M4</v>
      </c>
      <c r="FR71" s="37" t="str">
        <v>MB</v>
      </c>
      <c r="FU71" s="37">
        <v>20</v>
      </c>
      <c r="FV71" s="37">
        <v>20</v>
      </c>
      <c r="FW71" s="37">
        <v>20</v>
      </c>
      <c r="FX71" s="37">
        <v>20</v>
      </c>
      <c r="FY71" s="37">
        <v>1</v>
      </c>
      <c r="GB71" s="37" t="str">
        <v>M2</v>
      </c>
      <c r="GC71" s="37" t="str">
        <v>WW</v>
      </c>
      <c r="GD71" s="37" t="str">
        <v>M2</v>
      </c>
      <c r="GE71" s="37" t="str">
        <v>M4</v>
      </c>
      <c r="GF71" s="37" t="str">
        <v>MB</v>
      </c>
      <c r="GI71" s="37">
        <v>20</v>
      </c>
      <c r="GJ71" s="37">
        <v>20</v>
      </c>
      <c r="GK71" s="37">
        <v>20</v>
      </c>
      <c r="GL71" s="37">
        <v>20</v>
      </c>
      <c r="GM71" s="37">
        <v>1</v>
      </c>
      <c r="GP71" s="37" t="str">
        <v>M2</v>
      </c>
      <c r="GQ71" s="37" t="str">
        <v>WW</v>
      </c>
      <c r="GR71" s="37" t="str">
        <v>M2</v>
      </c>
      <c r="GS71" s="37" t="str">
        <v>M4</v>
      </c>
      <c r="GT71" s="37" t="str">
        <v>MB</v>
      </c>
      <c r="GW71" s="37">
        <v>20</v>
      </c>
      <c r="GX71" s="37">
        <v>20</v>
      </c>
      <c r="GY71" s="37">
        <v>20</v>
      </c>
      <c r="GZ71" s="37">
        <v>20</v>
      </c>
      <c r="HA71" s="37">
        <v>1</v>
      </c>
      <c r="HD71" s="37" t="str">
        <v>M2</v>
      </c>
      <c r="HE71" s="37" t="str">
        <v>WW</v>
      </c>
      <c r="HF71" s="37" t="str">
        <v>M2</v>
      </c>
      <c r="HG71" s="37" t="str">
        <v>M4</v>
      </c>
      <c r="HH71" s="37" t="str">
        <v>MB</v>
      </c>
      <c r="HK71" s="37">
        <v>20</v>
      </c>
      <c r="HL71" s="37">
        <v>20</v>
      </c>
      <c r="HM71" s="37">
        <v>20</v>
      </c>
      <c r="HN71" s="37">
        <v>20</v>
      </c>
      <c r="HO71" s="37">
        <v>1</v>
      </c>
    </row>
    <row r="72" spans="2:223" x14ac:dyDescent="0.35">
      <c r="B72" s="37" t="str">
        <v>F5</v>
      </c>
      <c r="C72" s="37" t="str">
        <v>WW</v>
      </c>
      <c r="D72" s="37" t="str">
        <v>F7</v>
      </c>
      <c r="E72" s="37" t="str">
        <v>M4</v>
      </c>
      <c r="F72" s="37" t="str">
        <v>F7</v>
      </c>
      <c r="I72" s="37">
        <v>20</v>
      </c>
      <c r="J72" s="37">
        <v>20</v>
      </c>
      <c r="K72" s="37">
        <v>20</v>
      </c>
      <c r="L72" s="37">
        <v>1</v>
      </c>
      <c r="M72" s="37">
        <v>1</v>
      </c>
      <c r="P72" s="37" t="str">
        <v>F5</v>
      </c>
      <c r="Q72" s="37" t="str">
        <v>WW</v>
      </c>
      <c r="R72" s="37" t="str">
        <v>F7</v>
      </c>
      <c r="S72" s="37" t="str">
        <v>M4</v>
      </c>
      <c r="T72" s="37" t="str">
        <v>F7</v>
      </c>
      <c r="W72" s="37">
        <v>20</v>
      </c>
      <c r="X72" s="37">
        <v>20</v>
      </c>
      <c r="Y72" s="37">
        <v>20</v>
      </c>
      <c r="Z72" s="37">
        <v>1</v>
      </c>
      <c r="AA72" s="37">
        <v>1</v>
      </c>
      <c r="AD72" s="37" t="str">
        <v>F5</v>
      </c>
      <c r="AE72" s="37" t="str">
        <v>WW</v>
      </c>
      <c r="AF72" s="37" t="str">
        <v>F7</v>
      </c>
      <c r="AG72" s="37" t="str">
        <v>M4</v>
      </c>
      <c r="AH72" s="37" t="str">
        <v>F7</v>
      </c>
      <c r="AK72" s="37">
        <v>20</v>
      </c>
      <c r="AL72" s="37">
        <v>20</v>
      </c>
      <c r="AM72" s="37">
        <v>20</v>
      </c>
      <c r="AN72" s="37">
        <v>1</v>
      </c>
      <c r="AO72" s="37">
        <v>1</v>
      </c>
      <c r="AR72" s="37" t="str">
        <v>F5</v>
      </c>
      <c r="AS72" s="37" t="str">
        <v>WW</v>
      </c>
      <c r="AT72" s="37" t="str">
        <v>F7</v>
      </c>
      <c r="AU72" s="37" t="str">
        <v>M4</v>
      </c>
      <c r="AV72" s="37" t="str">
        <v>F7</v>
      </c>
      <c r="AY72" s="37">
        <v>20</v>
      </c>
      <c r="AZ72" s="37">
        <v>20</v>
      </c>
      <c r="BA72" s="37">
        <v>20</v>
      </c>
      <c r="BB72" s="37">
        <v>1</v>
      </c>
      <c r="BC72" s="37">
        <v>1</v>
      </c>
      <c r="BF72" s="37" t="str">
        <v>F5</v>
      </c>
      <c r="BG72" s="37" t="str">
        <v>WW</v>
      </c>
      <c r="BH72" s="37" t="str">
        <v>F7</v>
      </c>
      <c r="BI72" s="37" t="str">
        <v>M4</v>
      </c>
      <c r="BJ72" s="37" t="str">
        <v>F7</v>
      </c>
      <c r="BM72" s="37">
        <v>20</v>
      </c>
      <c r="BN72" s="37">
        <v>20</v>
      </c>
      <c r="BO72" s="37">
        <v>20</v>
      </c>
      <c r="BP72" s="37">
        <v>1</v>
      </c>
      <c r="BQ72" s="37">
        <v>1</v>
      </c>
      <c r="BT72" s="37" t="str">
        <v>F5</v>
      </c>
      <c r="BU72" s="37" t="str">
        <v>WW</v>
      </c>
      <c r="BV72" s="37" t="str">
        <v>F7</v>
      </c>
      <c r="BW72" s="37" t="str">
        <v>M4</v>
      </c>
      <c r="BX72" s="37" t="str">
        <v>F7</v>
      </c>
      <c r="CA72" s="37">
        <v>20</v>
      </c>
      <c r="CB72" s="37">
        <v>20</v>
      </c>
      <c r="CC72" s="37">
        <v>20</v>
      </c>
      <c r="CD72" s="37">
        <v>1</v>
      </c>
      <c r="CE72" s="37">
        <v>1</v>
      </c>
      <c r="CH72" s="37" t="str">
        <v>F5</v>
      </c>
      <c r="CI72" s="37" t="str">
        <v>WW</v>
      </c>
      <c r="CJ72" s="37" t="str">
        <v>F7</v>
      </c>
      <c r="CK72" s="37" t="str">
        <v>M4</v>
      </c>
      <c r="CL72" s="37" t="str">
        <v>F7</v>
      </c>
      <c r="CO72" s="37">
        <v>20</v>
      </c>
      <c r="CP72" s="37">
        <v>20</v>
      </c>
      <c r="CQ72" s="37">
        <v>20</v>
      </c>
      <c r="CR72" s="37">
        <v>1</v>
      </c>
      <c r="CS72" s="37">
        <v>1</v>
      </c>
      <c r="CV72" s="37" t="str">
        <v>F5</v>
      </c>
      <c r="CW72" s="37" t="str">
        <v>WW</v>
      </c>
      <c r="CX72" s="37" t="str">
        <v>F7</v>
      </c>
      <c r="CY72" s="37" t="str">
        <v>M4</v>
      </c>
      <c r="CZ72" s="37" t="str">
        <v>F7</v>
      </c>
      <c r="DC72" s="37">
        <v>20</v>
      </c>
      <c r="DD72" s="37">
        <v>20</v>
      </c>
      <c r="DE72" s="37">
        <v>20</v>
      </c>
      <c r="DF72" s="37">
        <v>1</v>
      </c>
      <c r="DG72" s="37">
        <v>1</v>
      </c>
      <c r="DJ72" s="37" t="str">
        <v>F5</v>
      </c>
      <c r="DK72" s="37" t="str">
        <v>WW</v>
      </c>
      <c r="DL72" s="37" t="str">
        <v>F7</v>
      </c>
      <c r="DM72" s="37" t="str">
        <v>M4</v>
      </c>
      <c r="DN72" s="37" t="str">
        <v>F7</v>
      </c>
      <c r="DQ72" s="37">
        <v>20</v>
      </c>
      <c r="DR72" s="37">
        <v>20</v>
      </c>
      <c r="DS72" s="37">
        <v>20</v>
      </c>
      <c r="DT72" s="37">
        <v>1</v>
      </c>
      <c r="DU72" s="37">
        <v>1</v>
      </c>
      <c r="DX72" s="37" t="str">
        <v>F5</v>
      </c>
      <c r="DY72" s="37" t="str">
        <v>WW</v>
      </c>
      <c r="DZ72" s="37" t="str">
        <v>F7</v>
      </c>
      <c r="EA72" s="37" t="str">
        <v>M4</v>
      </c>
      <c r="EB72" s="37" t="str">
        <v>F7</v>
      </c>
      <c r="EE72" s="37">
        <v>20</v>
      </c>
      <c r="EF72" s="37">
        <v>20</v>
      </c>
      <c r="EG72" s="37">
        <v>20</v>
      </c>
      <c r="EH72" s="37">
        <v>1</v>
      </c>
      <c r="EI72" s="37">
        <v>1</v>
      </c>
      <c r="EL72" s="37" t="str">
        <v>F5</v>
      </c>
      <c r="EM72" s="37" t="str">
        <v>WW</v>
      </c>
      <c r="EN72" s="37" t="str">
        <v>F7</v>
      </c>
      <c r="EO72" s="37" t="str">
        <v>M4</v>
      </c>
      <c r="EP72" s="37" t="str">
        <v>F7</v>
      </c>
      <c r="ES72" s="37">
        <v>20</v>
      </c>
      <c r="ET72" s="37">
        <v>20</v>
      </c>
      <c r="EU72" s="37">
        <v>20</v>
      </c>
      <c r="EV72" s="37">
        <v>1</v>
      </c>
      <c r="EW72" s="37">
        <v>1</v>
      </c>
      <c r="EZ72" s="37" t="str">
        <v>F5</v>
      </c>
      <c r="FA72" s="37" t="str">
        <v>WW</v>
      </c>
      <c r="FB72" s="37" t="str">
        <v>F7</v>
      </c>
      <c r="FC72" s="37" t="str">
        <v>M4</v>
      </c>
      <c r="FD72" s="37" t="str">
        <v>F7</v>
      </c>
      <c r="FG72" s="37">
        <v>20</v>
      </c>
      <c r="FH72" s="37">
        <v>20</v>
      </c>
      <c r="FI72" s="37">
        <v>20</v>
      </c>
      <c r="FJ72" s="37">
        <v>1</v>
      </c>
      <c r="FK72" s="37">
        <v>1</v>
      </c>
      <c r="FN72" s="37" t="str">
        <v>F5</v>
      </c>
      <c r="FO72" s="37" t="str">
        <v>WW</v>
      </c>
      <c r="FP72" s="37" t="str">
        <v>F7</v>
      </c>
      <c r="FQ72" s="37" t="str">
        <v>M4</v>
      </c>
      <c r="FR72" s="37" t="str">
        <v>F7</v>
      </c>
      <c r="FU72" s="37">
        <v>20</v>
      </c>
      <c r="FV72" s="37">
        <v>20</v>
      </c>
      <c r="FW72" s="37">
        <v>20</v>
      </c>
      <c r="FX72" s="37">
        <v>1</v>
      </c>
      <c r="FY72" s="37">
        <v>1</v>
      </c>
      <c r="GB72" s="37" t="str">
        <v>F5</v>
      </c>
      <c r="GC72" s="37" t="str">
        <v>WW</v>
      </c>
      <c r="GD72" s="37" t="str">
        <v>F7</v>
      </c>
      <c r="GE72" s="37" t="str">
        <v>M4</v>
      </c>
      <c r="GF72" s="37" t="str">
        <v>F7</v>
      </c>
      <c r="GI72" s="37">
        <v>20</v>
      </c>
      <c r="GJ72" s="37">
        <v>20</v>
      </c>
      <c r="GK72" s="37">
        <v>20</v>
      </c>
      <c r="GL72" s="37">
        <v>1</v>
      </c>
      <c r="GM72" s="37">
        <v>1</v>
      </c>
      <c r="GP72" s="37" t="str">
        <v>F5</v>
      </c>
      <c r="GQ72" s="37" t="str">
        <v>WW</v>
      </c>
      <c r="GR72" s="37" t="str">
        <v>F7</v>
      </c>
      <c r="GS72" s="37" t="str">
        <v>M4</v>
      </c>
      <c r="GT72" s="37" t="str">
        <v>F7</v>
      </c>
      <c r="GW72" s="37">
        <v>20</v>
      </c>
      <c r="GX72" s="37">
        <v>20</v>
      </c>
      <c r="GY72" s="37">
        <v>20</v>
      </c>
      <c r="GZ72" s="37">
        <v>1</v>
      </c>
      <c r="HA72" s="37">
        <v>1</v>
      </c>
      <c r="HD72" s="37" t="str">
        <v>F5</v>
      </c>
      <c r="HE72" s="37" t="str">
        <v>WW</v>
      </c>
      <c r="HF72" s="37" t="str">
        <v>F7</v>
      </c>
      <c r="HG72" s="37" t="str">
        <v>M4</v>
      </c>
      <c r="HH72" s="37" t="str">
        <v>F7</v>
      </c>
      <c r="HK72" s="37">
        <v>20</v>
      </c>
      <c r="HL72" s="37">
        <v>20</v>
      </c>
      <c r="HM72" s="37">
        <v>20</v>
      </c>
      <c r="HN72" s="37">
        <v>1</v>
      </c>
      <c r="HO72" s="37">
        <v>1</v>
      </c>
    </row>
    <row r="73" spans="2:223" x14ac:dyDescent="0.35">
      <c r="B73" s="37" t="str">
        <v>F9</v>
      </c>
      <c r="C73" s="37" t="str">
        <v>WW</v>
      </c>
      <c r="D73" s="37" t="str">
        <v>F6</v>
      </c>
      <c r="E73" s="37" t="str">
        <v>MB</v>
      </c>
      <c r="F73" s="37" t="str">
        <v>M2</v>
      </c>
      <c r="I73" s="37">
        <v>1</v>
      </c>
      <c r="J73" s="37">
        <v>20</v>
      </c>
      <c r="K73" s="37">
        <v>1</v>
      </c>
      <c r="L73" s="37">
        <v>1</v>
      </c>
      <c r="M73" s="37">
        <v>20</v>
      </c>
      <c r="P73" s="37" t="str">
        <v>F9</v>
      </c>
      <c r="Q73" s="37" t="str">
        <v>WW</v>
      </c>
      <c r="R73" s="37" t="str">
        <v>F6</v>
      </c>
      <c r="S73" s="37" t="str">
        <v>MB</v>
      </c>
      <c r="T73" s="37" t="str">
        <v>M2</v>
      </c>
      <c r="W73" s="37">
        <v>1</v>
      </c>
      <c r="X73" s="37">
        <v>20</v>
      </c>
      <c r="Y73" s="37">
        <v>1</v>
      </c>
      <c r="Z73" s="37">
        <v>1</v>
      </c>
      <c r="AA73" s="37">
        <v>20</v>
      </c>
      <c r="AD73" s="37" t="str">
        <v>F9</v>
      </c>
      <c r="AE73" s="37" t="str">
        <v>WW</v>
      </c>
      <c r="AF73" s="37" t="str">
        <v>F6</v>
      </c>
      <c r="AG73" s="37" t="str">
        <v>MB</v>
      </c>
      <c r="AH73" s="37" t="str">
        <v>M2</v>
      </c>
      <c r="AK73" s="37">
        <v>1</v>
      </c>
      <c r="AL73" s="37">
        <v>20</v>
      </c>
      <c r="AM73" s="37">
        <v>1</v>
      </c>
      <c r="AN73" s="37">
        <v>1</v>
      </c>
      <c r="AO73" s="37">
        <v>20</v>
      </c>
      <c r="AR73" s="37" t="str">
        <v>F9</v>
      </c>
      <c r="AS73" s="37" t="str">
        <v>WW</v>
      </c>
      <c r="AT73" s="37" t="str">
        <v>F6</v>
      </c>
      <c r="AU73" s="37" t="str">
        <v>MB</v>
      </c>
      <c r="AV73" s="37" t="str">
        <v>M2</v>
      </c>
      <c r="AY73" s="37">
        <v>1</v>
      </c>
      <c r="AZ73" s="37">
        <v>20</v>
      </c>
      <c r="BA73" s="37">
        <v>1</v>
      </c>
      <c r="BB73" s="37">
        <v>1</v>
      </c>
      <c r="BC73" s="37">
        <v>20</v>
      </c>
      <c r="BF73" s="37" t="str">
        <v>F9</v>
      </c>
      <c r="BG73" s="37" t="str">
        <v>WW</v>
      </c>
      <c r="BH73" s="37" t="str">
        <v>F6</v>
      </c>
      <c r="BI73" s="37" t="str">
        <v>MB</v>
      </c>
      <c r="BJ73" s="37" t="str">
        <v>M2</v>
      </c>
      <c r="BM73" s="37">
        <v>1</v>
      </c>
      <c r="BN73" s="37">
        <v>20</v>
      </c>
      <c r="BO73" s="37">
        <v>1</v>
      </c>
      <c r="BP73" s="37">
        <v>1</v>
      </c>
      <c r="BQ73" s="37">
        <v>20</v>
      </c>
      <c r="BT73" s="37" t="str">
        <v>F9</v>
      </c>
      <c r="BU73" s="37" t="str">
        <v>WW</v>
      </c>
      <c r="BV73" s="37" t="str">
        <v>F6</v>
      </c>
      <c r="BW73" s="37" t="str">
        <v>MB</v>
      </c>
      <c r="BX73" s="37" t="str">
        <v>M2</v>
      </c>
      <c r="CA73" s="37">
        <v>1</v>
      </c>
      <c r="CB73" s="37">
        <v>20</v>
      </c>
      <c r="CC73" s="37">
        <v>1</v>
      </c>
      <c r="CD73" s="37">
        <v>1</v>
      </c>
      <c r="CE73" s="37">
        <v>20</v>
      </c>
      <c r="CH73" s="37" t="str">
        <v>F9</v>
      </c>
      <c r="CI73" s="37" t="str">
        <v>WW</v>
      </c>
      <c r="CJ73" s="37" t="str">
        <v>F6</v>
      </c>
      <c r="CK73" s="37" t="str">
        <v>MB</v>
      </c>
      <c r="CL73" s="37" t="str">
        <v>M2</v>
      </c>
      <c r="CO73" s="37">
        <v>1</v>
      </c>
      <c r="CP73" s="37">
        <v>20</v>
      </c>
      <c r="CQ73" s="37">
        <v>1</v>
      </c>
      <c r="CR73" s="37">
        <v>1</v>
      </c>
      <c r="CS73" s="37">
        <v>20</v>
      </c>
      <c r="CV73" s="37" t="str">
        <v>F9</v>
      </c>
      <c r="CW73" s="37" t="str">
        <v>WW</v>
      </c>
      <c r="CX73" s="37" t="str">
        <v>F6</v>
      </c>
      <c r="CY73" s="37" t="str">
        <v>MB</v>
      </c>
      <c r="CZ73" s="37" t="str">
        <v>M2</v>
      </c>
      <c r="DC73" s="37">
        <v>1</v>
      </c>
      <c r="DD73" s="37">
        <v>20</v>
      </c>
      <c r="DE73" s="37">
        <v>1</v>
      </c>
      <c r="DF73" s="37">
        <v>1</v>
      </c>
      <c r="DG73" s="37">
        <v>20</v>
      </c>
      <c r="DJ73" s="37" t="str">
        <v>F9</v>
      </c>
      <c r="DK73" s="37" t="str">
        <v>WW</v>
      </c>
      <c r="DL73" s="37" t="str">
        <v>F6</v>
      </c>
      <c r="DM73" s="37" t="str">
        <v>MB</v>
      </c>
      <c r="DN73" s="37" t="str">
        <v>M2</v>
      </c>
      <c r="DQ73" s="37">
        <v>1</v>
      </c>
      <c r="DR73" s="37">
        <v>20</v>
      </c>
      <c r="DS73" s="37">
        <v>1</v>
      </c>
      <c r="DT73" s="37">
        <v>1</v>
      </c>
      <c r="DU73" s="37">
        <v>20</v>
      </c>
      <c r="DX73" s="37" t="str">
        <v>F9</v>
      </c>
      <c r="DY73" s="37" t="str">
        <v>WW</v>
      </c>
      <c r="DZ73" s="37" t="str">
        <v>F6</v>
      </c>
      <c r="EA73" s="37" t="str">
        <v>MB</v>
      </c>
      <c r="EB73" s="37" t="str">
        <v>M2</v>
      </c>
      <c r="EE73" s="37">
        <v>1</v>
      </c>
      <c r="EF73" s="37">
        <v>20</v>
      </c>
      <c r="EG73" s="37">
        <v>1</v>
      </c>
      <c r="EH73" s="37">
        <v>1</v>
      </c>
      <c r="EI73" s="37">
        <v>20</v>
      </c>
      <c r="EL73" s="37" t="str">
        <v>F9</v>
      </c>
      <c r="EM73" s="37" t="str">
        <v>WW</v>
      </c>
      <c r="EN73" s="37" t="str">
        <v>F6</v>
      </c>
      <c r="EO73" s="37" t="str">
        <v>MB</v>
      </c>
      <c r="EP73" s="37" t="str">
        <v>M2</v>
      </c>
      <c r="ES73" s="37">
        <v>1</v>
      </c>
      <c r="ET73" s="37">
        <v>20</v>
      </c>
      <c r="EU73" s="37">
        <v>1</v>
      </c>
      <c r="EV73" s="37">
        <v>1</v>
      </c>
      <c r="EW73" s="37">
        <v>20</v>
      </c>
      <c r="EZ73" s="37" t="str">
        <v>F9</v>
      </c>
      <c r="FA73" s="37" t="str">
        <v>WW</v>
      </c>
      <c r="FB73" s="37" t="str">
        <v>F6</v>
      </c>
      <c r="FC73" s="37" t="str">
        <v>MB</v>
      </c>
      <c r="FD73" s="37" t="str">
        <v>M2</v>
      </c>
      <c r="FG73" s="37">
        <v>1</v>
      </c>
      <c r="FH73" s="37">
        <v>20</v>
      </c>
      <c r="FI73" s="37">
        <v>1</v>
      </c>
      <c r="FJ73" s="37">
        <v>1</v>
      </c>
      <c r="FK73" s="37">
        <v>20</v>
      </c>
      <c r="FN73" s="37" t="str">
        <v>F9</v>
      </c>
      <c r="FO73" s="37" t="str">
        <v>WW</v>
      </c>
      <c r="FP73" s="37" t="str">
        <v>F6</v>
      </c>
      <c r="FQ73" s="37" t="str">
        <v>MB</v>
      </c>
      <c r="FR73" s="37" t="str">
        <v>M2</v>
      </c>
      <c r="FU73" s="37">
        <v>1</v>
      </c>
      <c r="FV73" s="37">
        <v>20</v>
      </c>
      <c r="FW73" s="37">
        <v>1</v>
      </c>
      <c r="FX73" s="37">
        <v>1</v>
      </c>
      <c r="FY73" s="37">
        <v>20</v>
      </c>
      <c r="GB73" s="37" t="str">
        <v>F9</v>
      </c>
      <c r="GC73" s="37" t="str">
        <v>WW</v>
      </c>
      <c r="GD73" s="37" t="str">
        <v>F6</v>
      </c>
      <c r="GE73" s="37" t="str">
        <v>MB</v>
      </c>
      <c r="GF73" s="37" t="str">
        <v>M2</v>
      </c>
      <c r="GI73" s="37">
        <v>1</v>
      </c>
      <c r="GJ73" s="37">
        <v>20</v>
      </c>
      <c r="GK73" s="37">
        <v>1</v>
      </c>
      <c r="GL73" s="37">
        <v>1</v>
      </c>
      <c r="GM73" s="37">
        <v>20</v>
      </c>
      <c r="GP73" s="37" t="str">
        <v>F9</v>
      </c>
      <c r="GQ73" s="37" t="str">
        <v>WW</v>
      </c>
      <c r="GR73" s="37" t="str">
        <v>F6</v>
      </c>
      <c r="GS73" s="37" t="str">
        <v>MB</v>
      </c>
      <c r="GT73" s="37" t="str">
        <v>M2</v>
      </c>
      <c r="GW73" s="37">
        <v>1</v>
      </c>
      <c r="GX73" s="37">
        <v>20</v>
      </c>
      <c r="GY73" s="37">
        <v>1</v>
      </c>
      <c r="GZ73" s="37">
        <v>1</v>
      </c>
      <c r="HA73" s="37">
        <v>20</v>
      </c>
      <c r="HD73" s="37" t="str">
        <v>F9</v>
      </c>
      <c r="HE73" s="37" t="str">
        <v>WW</v>
      </c>
      <c r="HF73" s="37" t="str">
        <v>F6</v>
      </c>
      <c r="HG73" s="37" t="str">
        <v>MB</v>
      </c>
      <c r="HH73" s="37" t="str">
        <v>M2</v>
      </c>
      <c r="HK73" s="37">
        <v>1</v>
      </c>
      <c r="HL73" s="37">
        <v>20</v>
      </c>
      <c r="HM73" s="37">
        <v>1</v>
      </c>
      <c r="HN73" s="37">
        <v>1</v>
      </c>
      <c r="HO73" s="37">
        <v>20</v>
      </c>
    </row>
    <row r="74" spans="2:223" x14ac:dyDescent="0.35">
      <c r="B74" s="37" t="str">
        <v>MB</v>
      </c>
      <c r="C74" s="37" t="str">
        <v>F5</v>
      </c>
      <c r="D74" s="37" t="str">
        <v>MB</v>
      </c>
      <c r="E74" s="37" t="str">
        <v>MB</v>
      </c>
      <c r="F74" s="37" t="str">
        <v>F6</v>
      </c>
      <c r="I74" s="37">
        <v>1</v>
      </c>
      <c r="J74" s="37">
        <v>20</v>
      </c>
      <c r="K74" s="37">
        <v>1</v>
      </c>
      <c r="L74" s="37">
        <v>1</v>
      </c>
      <c r="M74" s="37">
        <v>20</v>
      </c>
      <c r="P74" s="37" t="str">
        <v>MB</v>
      </c>
      <c r="Q74" s="37" t="str">
        <v>F5</v>
      </c>
      <c r="R74" s="37" t="str">
        <v>MB</v>
      </c>
      <c r="S74" s="37" t="str">
        <v>MB</v>
      </c>
      <c r="T74" s="37" t="str">
        <v>F6</v>
      </c>
      <c r="W74" s="37">
        <v>1</v>
      </c>
      <c r="X74" s="37">
        <v>20</v>
      </c>
      <c r="Y74" s="37">
        <v>1</v>
      </c>
      <c r="Z74" s="37">
        <v>1</v>
      </c>
      <c r="AA74" s="37">
        <v>20</v>
      </c>
      <c r="AD74" s="37" t="str">
        <v>MB</v>
      </c>
      <c r="AE74" s="37" t="str">
        <v>F5</v>
      </c>
      <c r="AF74" s="37" t="str">
        <v>MB</v>
      </c>
      <c r="AG74" s="37" t="str">
        <v>MB</v>
      </c>
      <c r="AH74" s="37" t="str">
        <v>F6</v>
      </c>
      <c r="AK74" s="37">
        <v>1</v>
      </c>
      <c r="AL74" s="37">
        <v>20</v>
      </c>
      <c r="AM74" s="37">
        <v>1</v>
      </c>
      <c r="AN74" s="37">
        <v>1</v>
      </c>
      <c r="AO74" s="37">
        <v>20</v>
      </c>
      <c r="AR74" s="37" t="str">
        <v>MB</v>
      </c>
      <c r="AS74" s="37" t="str">
        <v>F5</v>
      </c>
      <c r="AT74" s="37" t="str">
        <v>MB</v>
      </c>
      <c r="AU74" s="37" t="str">
        <v>MB</v>
      </c>
      <c r="AV74" s="37" t="str">
        <v>F6</v>
      </c>
      <c r="AY74" s="37">
        <v>1</v>
      </c>
      <c r="AZ74" s="37">
        <v>20</v>
      </c>
      <c r="BA74" s="37">
        <v>1</v>
      </c>
      <c r="BB74" s="37">
        <v>1</v>
      </c>
      <c r="BC74" s="37">
        <v>20</v>
      </c>
      <c r="BF74" s="37" t="str">
        <v>MB</v>
      </c>
      <c r="BG74" s="37" t="str">
        <v>F5</v>
      </c>
      <c r="BH74" s="37" t="str">
        <v>MB</v>
      </c>
      <c r="BI74" s="37" t="str">
        <v>MB</v>
      </c>
      <c r="BJ74" s="37" t="str">
        <v>F6</v>
      </c>
      <c r="BM74" s="37">
        <v>1</v>
      </c>
      <c r="BN74" s="37">
        <v>20</v>
      </c>
      <c r="BO74" s="37">
        <v>1</v>
      </c>
      <c r="BP74" s="37">
        <v>1</v>
      </c>
      <c r="BQ74" s="37">
        <v>20</v>
      </c>
      <c r="BT74" s="37" t="str">
        <v>MB</v>
      </c>
      <c r="BU74" s="37" t="str">
        <v>F5</v>
      </c>
      <c r="BV74" s="37" t="str">
        <v>MB</v>
      </c>
      <c r="BW74" s="37" t="str">
        <v>MB</v>
      </c>
      <c r="BX74" s="37" t="str">
        <v>F6</v>
      </c>
      <c r="CA74" s="37">
        <v>1</v>
      </c>
      <c r="CB74" s="37">
        <v>20</v>
      </c>
      <c r="CC74" s="37">
        <v>4000</v>
      </c>
      <c r="CD74" s="37">
        <v>1</v>
      </c>
      <c r="CE74" s="37">
        <v>20</v>
      </c>
      <c r="CH74" s="37" t="str">
        <v>MB</v>
      </c>
      <c r="CI74" s="37" t="str">
        <v>F5</v>
      </c>
      <c r="CJ74" s="37" t="str">
        <v>MB</v>
      </c>
      <c r="CK74" s="37" t="str">
        <v>MB</v>
      </c>
      <c r="CL74" s="37" t="str">
        <v>F6</v>
      </c>
      <c r="CO74" s="37">
        <v>4000</v>
      </c>
      <c r="CP74" s="37">
        <v>20</v>
      </c>
      <c r="CQ74" s="37">
        <v>1</v>
      </c>
      <c r="CR74" s="37">
        <v>4000</v>
      </c>
      <c r="CS74" s="37">
        <v>20</v>
      </c>
      <c r="CV74" s="37" t="str">
        <v>MB</v>
      </c>
      <c r="CW74" s="37" t="str">
        <v>F5</v>
      </c>
      <c r="CX74" s="37" t="str">
        <v>MB</v>
      </c>
      <c r="CY74" s="37" t="str">
        <v>MB</v>
      </c>
      <c r="CZ74" s="37" t="str">
        <v>F6</v>
      </c>
      <c r="DC74" s="37">
        <v>1</v>
      </c>
      <c r="DD74" s="37">
        <v>20</v>
      </c>
      <c r="DE74" s="37">
        <v>1</v>
      </c>
      <c r="DF74" s="37">
        <v>1</v>
      </c>
      <c r="DG74" s="37">
        <v>20</v>
      </c>
      <c r="DJ74" s="37" t="str">
        <v>MB</v>
      </c>
      <c r="DK74" s="37" t="str">
        <v>F5</v>
      </c>
      <c r="DL74" s="37" t="str">
        <v>MB</v>
      </c>
      <c r="DM74" s="37" t="str">
        <v>MB</v>
      </c>
      <c r="DN74" s="37" t="str">
        <v>F6</v>
      </c>
      <c r="DQ74" s="37">
        <v>1</v>
      </c>
      <c r="DR74" s="37">
        <v>20</v>
      </c>
      <c r="DS74" s="37">
        <v>1</v>
      </c>
      <c r="DT74" s="37">
        <v>4000</v>
      </c>
      <c r="DU74" s="37">
        <v>20</v>
      </c>
      <c r="DX74" s="37" t="str">
        <v>MB</v>
      </c>
      <c r="DY74" s="37" t="str">
        <v>F5</v>
      </c>
      <c r="DZ74" s="37" t="str">
        <v>MB</v>
      </c>
      <c r="EA74" s="37" t="str">
        <v>MB</v>
      </c>
      <c r="EB74" s="37" t="str">
        <v>F6</v>
      </c>
      <c r="EE74" s="37">
        <v>1</v>
      </c>
      <c r="EF74" s="37">
        <v>20</v>
      </c>
      <c r="EG74" s="37">
        <v>8000</v>
      </c>
      <c r="EH74" s="37">
        <v>8000</v>
      </c>
      <c r="EI74" s="37">
        <v>20</v>
      </c>
      <c r="EL74" s="37" t="str">
        <v>MB</v>
      </c>
      <c r="EM74" s="37" t="str">
        <v>F5</v>
      </c>
      <c r="EN74" s="37" t="str">
        <v>MB</v>
      </c>
      <c r="EO74" s="37" t="str">
        <v>MB</v>
      </c>
      <c r="EP74" s="37" t="str">
        <v>F6</v>
      </c>
      <c r="ES74" s="37">
        <v>2000</v>
      </c>
      <c r="ET74" s="37">
        <v>20</v>
      </c>
      <c r="EU74" s="37">
        <v>2000</v>
      </c>
      <c r="EV74" s="37">
        <v>2000</v>
      </c>
      <c r="EW74" s="37">
        <v>20</v>
      </c>
      <c r="EZ74" s="37" t="str">
        <v>MB</v>
      </c>
      <c r="FA74" s="37" t="str">
        <v>F5</v>
      </c>
      <c r="FB74" s="37" t="str">
        <v>MB</v>
      </c>
      <c r="FC74" s="37" t="str">
        <v>MB</v>
      </c>
      <c r="FD74" s="37" t="str">
        <v>F6</v>
      </c>
      <c r="FG74" s="37">
        <v>1</v>
      </c>
      <c r="FH74" s="37">
        <v>20</v>
      </c>
      <c r="FI74" s="37">
        <v>8000</v>
      </c>
      <c r="FJ74" s="37">
        <v>8000</v>
      </c>
      <c r="FK74" s="37">
        <v>20</v>
      </c>
      <c r="FN74" s="37" t="str">
        <v>MB</v>
      </c>
      <c r="FO74" s="37" t="str">
        <v>F5</v>
      </c>
      <c r="FP74" s="37" t="str">
        <v>MB</v>
      </c>
      <c r="FQ74" s="37" t="str">
        <v>MB</v>
      </c>
      <c r="FR74" s="37" t="str">
        <v>F6</v>
      </c>
      <c r="FU74" s="37">
        <v>1</v>
      </c>
      <c r="FV74" s="37">
        <v>20</v>
      </c>
      <c r="FW74" s="37">
        <v>4000</v>
      </c>
      <c r="FX74" s="37">
        <v>4000</v>
      </c>
      <c r="FY74" s="37">
        <v>20</v>
      </c>
      <c r="GB74" s="37" t="str">
        <v>MB</v>
      </c>
      <c r="GC74" s="37" t="str">
        <v>F5</v>
      </c>
      <c r="GD74" s="37" t="str">
        <v>MB</v>
      </c>
      <c r="GE74" s="37" t="str">
        <v>MB</v>
      </c>
      <c r="GF74" s="37" t="str">
        <v>F6</v>
      </c>
      <c r="GI74" s="37">
        <v>1</v>
      </c>
      <c r="GJ74" s="37">
        <v>20</v>
      </c>
      <c r="GK74" s="37">
        <v>1</v>
      </c>
      <c r="GL74" s="37">
        <v>1</v>
      </c>
      <c r="GM74" s="37">
        <v>20</v>
      </c>
      <c r="GP74" s="37" t="str">
        <v>MB</v>
      </c>
      <c r="GQ74" s="37" t="str">
        <v>F5</v>
      </c>
      <c r="GR74" s="37" t="str">
        <v>MB</v>
      </c>
      <c r="GS74" s="37" t="str">
        <v>MB</v>
      </c>
      <c r="GT74" s="37" t="str">
        <v>F6</v>
      </c>
      <c r="GW74" s="37">
        <v>10000</v>
      </c>
      <c r="GX74" s="37">
        <v>20</v>
      </c>
      <c r="GY74" s="37">
        <v>1</v>
      </c>
      <c r="GZ74" s="37">
        <v>10000</v>
      </c>
      <c r="HA74" s="37">
        <v>20</v>
      </c>
      <c r="HD74" s="37" t="str">
        <v>MB</v>
      </c>
      <c r="HE74" s="37" t="str">
        <v>F5</v>
      </c>
      <c r="HF74" s="37" t="str">
        <v>MB</v>
      </c>
      <c r="HG74" s="37" t="str">
        <v>MB</v>
      </c>
      <c r="HH74" s="37" t="str">
        <v>F6</v>
      </c>
      <c r="HK74" s="37">
        <v>1</v>
      </c>
      <c r="HL74" s="37">
        <v>20</v>
      </c>
      <c r="HM74" s="37">
        <v>1</v>
      </c>
      <c r="HN74" s="37">
        <v>100000000</v>
      </c>
      <c r="HO74" s="37">
        <v>20</v>
      </c>
    </row>
    <row r="75" spans="2:223" x14ac:dyDescent="0.35">
      <c r="B75" s="37" t="str">
        <v>MB</v>
      </c>
      <c r="C75" s="37" t="str">
        <v>F7</v>
      </c>
      <c r="D75" s="37" t="str">
        <v>MB</v>
      </c>
      <c r="E75" s="37" t="str">
        <v>MB</v>
      </c>
      <c r="F75" s="37" t="str">
        <v>M1</v>
      </c>
      <c r="I75" s="37">
        <v>1</v>
      </c>
      <c r="J75" s="37">
        <v>1</v>
      </c>
      <c r="K75" s="37">
        <v>1</v>
      </c>
      <c r="L75" s="37">
        <v>1</v>
      </c>
      <c r="M75" s="37">
        <v>20</v>
      </c>
      <c r="P75" s="37" t="str">
        <v>MB</v>
      </c>
      <c r="Q75" s="37" t="str">
        <v>F7</v>
      </c>
      <c r="R75" s="37" t="str">
        <v>MB</v>
      </c>
      <c r="S75" s="37" t="str">
        <v>MB</v>
      </c>
      <c r="T75" s="37" t="str">
        <v>M1</v>
      </c>
      <c r="W75" s="37">
        <v>1</v>
      </c>
      <c r="X75" s="37">
        <v>1</v>
      </c>
      <c r="Y75" s="37">
        <v>1</v>
      </c>
      <c r="Z75" s="37">
        <v>1</v>
      </c>
      <c r="AA75" s="37">
        <v>20</v>
      </c>
      <c r="AD75" s="37" t="str">
        <v>MB</v>
      </c>
      <c r="AE75" s="37" t="str">
        <v>F7</v>
      </c>
      <c r="AF75" s="37" t="str">
        <v>MB</v>
      </c>
      <c r="AG75" s="37" t="str">
        <v>MB</v>
      </c>
      <c r="AH75" s="37" t="str">
        <v>M1</v>
      </c>
      <c r="AK75" s="37">
        <v>1</v>
      </c>
      <c r="AL75" s="37">
        <v>2000</v>
      </c>
      <c r="AM75" s="37">
        <v>1</v>
      </c>
      <c r="AN75" s="37">
        <v>1</v>
      </c>
      <c r="AO75" s="37">
        <v>20</v>
      </c>
      <c r="AR75" s="37" t="str">
        <v>MB</v>
      </c>
      <c r="AS75" s="37" t="str">
        <v>F7</v>
      </c>
      <c r="AT75" s="37" t="str">
        <v>MB</v>
      </c>
      <c r="AU75" s="37" t="str">
        <v>MB</v>
      </c>
      <c r="AV75" s="37" t="str">
        <v>M1</v>
      </c>
      <c r="AY75" s="37">
        <v>1</v>
      </c>
      <c r="AZ75" s="37">
        <v>4000</v>
      </c>
      <c r="BA75" s="37">
        <v>1</v>
      </c>
      <c r="BB75" s="37">
        <v>1</v>
      </c>
      <c r="BC75" s="37">
        <v>20</v>
      </c>
      <c r="BF75" s="37" t="str">
        <v>MB</v>
      </c>
      <c r="BG75" s="37" t="str">
        <v>F7</v>
      </c>
      <c r="BH75" s="37" t="str">
        <v>MB</v>
      </c>
      <c r="BI75" s="37" t="str">
        <v>MB</v>
      </c>
      <c r="BJ75" s="37" t="str">
        <v>M1</v>
      </c>
      <c r="BM75" s="37">
        <v>1</v>
      </c>
      <c r="BN75" s="37">
        <v>5000</v>
      </c>
      <c r="BO75" s="37">
        <v>1</v>
      </c>
      <c r="BP75" s="37">
        <v>1</v>
      </c>
      <c r="BQ75" s="37">
        <v>20</v>
      </c>
      <c r="BT75" s="37" t="str">
        <v>MB</v>
      </c>
      <c r="BU75" s="37" t="str">
        <v>F7</v>
      </c>
      <c r="BV75" s="37" t="str">
        <v>MB</v>
      </c>
      <c r="BW75" s="37" t="str">
        <v>MB</v>
      </c>
      <c r="BX75" s="37" t="str">
        <v>M1</v>
      </c>
      <c r="CA75" s="37">
        <v>1</v>
      </c>
      <c r="CB75" s="37">
        <v>4000</v>
      </c>
      <c r="CC75" s="37">
        <v>4000</v>
      </c>
      <c r="CD75" s="37">
        <v>1</v>
      </c>
      <c r="CE75" s="37">
        <v>20</v>
      </c>
      <c r="CH75" s="37" t="str">
        <v>MB</v>
      </c>
      <c r="CI75" s="37" t="str">
        <v>F7</v>
      </c>
      <c r="CJ75" s="37" t="str">
        <v>MB</v>
      </c>
      <c r="CK75" s="37" t="str">
        <v>MB</v>
      </c>
      <c r="CL75" s="37" t="str">
        <v>M1</v>
      </c>
      <c r="CO75" s="37">
        <v>4000</v>
      </c>
      <c r="CP75" s="37">
        <v>1</v>
      </c>
      <c r="CQ75" s="37">
        <v>1</v>
      </c>
      <c r="CR75" s="37">
        <v>1</v>
      </c>
      <c r="CS75" s="37">
        <v>20</v>
      </c>
      <c r="CV75" s="37" t="str">
        <v>MB</v>
      </c>
      <c r="CW75" s="37" t="str">
        <v>F7</v>
      </c>
      <c r="CX75" s="37" t="str">
        <v>MB</v>
      </c>
      <c r="CY75" s="37" t="str">
        <v>MB</v>
      </c>
      <c r="CZ75" s="37" t="str">
        <v>M1</v>
      </c>
      <c r="DC75" s="37">
        <v>1</v>
      </c>
      <c r="DD75" s="37">
        <v>4000</v>
      </c>
      <c r="DE75" s="37">
        <v>1</v>
      </c>
      <c r="DF75" s="37">
        <v>1</v>
      </c>
      <c r="DG75" s="37">
        <v>20</v>
      </c>
      <c r="DJ75" s="37" t="str">
        <v>MB</v>
      </c>
      <c r="DK75" s="37" t="str">
        <v>F7</v>
      </c>
      <c r="DL75" s="37" t="str">
        <v>MB</v>
      </c>
      <c r="DM75" s="37" t="str">
        <v>MB</v>
      </c>
      <c r="DN75" s="37" t="str">
        <v>M1</v>
      </c>
      <c r="DQ75" s="37">
        <v>1</v>
      </c>
      <c r="DR75" s="37">
        <v>1</v>
      </c>
      <c r="DS75" s="37">
        <v>1</v>
      </c>
      <c r="DT75" s="37">
        <v>1</v>
      </c>
      <c r="DU75" s="37">
        <v>20</v>
      </c>
      <c r="DX75" s="37" t="str">
        <v>MB</v>
      </c>
      <c r="DY75" s="37" t="str">
        <v>F7</v>
      </c>
      <c r="DZ75" s="37" t="str">
        <v>MB</v>
      </c>
      <c r="EA75" s="37" t="str">
        <v>MB</v>
      </c>
      <c r="EB75" s="37" t="str">
        <v>M1</v>
      </c>
      <c r="EE75" s="37">
        <v>1</v>
      </c>
      <c r="EF75" s="37">
        <v>1</v>
      </c>
      <c r="EG75" s="37">
        <v>8000</v>
      </c>
      <c r="EH75" s="37">
        <v>1</v>
      </c>
      <c r="EI75" s="37">
        <v>20</v>
      </c>
      <c r="EL75" s="37" t="str">
        <v>MB</v>
      </c>
      <c r="EM75" s="37" t="str">
        <v>F7</v>
      </c>
      <c r="EN75" s="37" t="str">
        <v>MB</v>
      </c>
      <c r="EO75" s="37" t="str">
        <v>MB</v>
      </c>
      <c r="EP75" s="37" t="str">
        <v>M1</v>
      </c>
      <c r="ES75" s="37">
        <v>2000</v>
      </c>
      <c r="ET75" s="37">
        <v>1</v>
      </c>
      <c r="EU75" s="37">
        <v>2000</v>
      </c>
      <c r="EV75" s="37">
        <v>1</v>
      </c>
      <c r="EW75" s="37">
        <v>20</v>
      </c>
      <c r="EZ75" s="37" t="str">
        <v>MB</v>
      </c>
      <c r="FA75" s="37" t="str">
        <v>F7</v>
      </c>
      <c r="FB75" s="37" t="str">
        <v>MB</v>
      </c>
      <c r="FC75" s="37" t="str">
        <v>MB</v>
      </c>
      <c r="FD75" s="37" t="str">
        <v>M1</v>
      </c>
      <c r="FG75" s="37">
        <v>1</v>
      </c>
      <c r="FH75" s="37">
        <v>1</v>
      </c>
      <c r="FI75" s="37">
        <v>8000</v>
      </c>
      <c r="FJ75" s="37">
        <v>1</v>
      </c>
      <c r="FK75" s="37">
        <v>20</v>
      </c>
      <c r="FN75" s="37" t="str">
        <v>MB</v>
      </c>
      <c r="FO75" s="37" t="str">
        <v>F7</v>
      </c>
      <c r="FP75" s="37" t="str">
        <v>MB</v>
      </c>
      <c r="FQ75" s="37" t="str">
        <v>MB</v>
      </c>
      <c r="FR75" s="37" t="str">
        <v>M1</v>
      </c>
      <c r="FU75" s="37">
        <v>1</v>
      </c>
      <c r="FV75" s="37">
        <v>4000</v>
      </c>
      <c r="FW75" s="37">
        <v>4000</v>
      </c>
      <c r="FX75" s="37">
        <v>1</v>
      </c>
      <c r="FY75" s="37">
        <v>20</v>
      </c>
      <c r="GB75" s="37" t="str">
        <v>MB</v>
      </c>
      <c r="GC75" s="37" t="str">
        <v>F7</v>
      </c>
      <c r="GD75" s="37" t="str">
        <v>MB</v>
      </c>
      <c r="GE75" s="37" t="str">
        <v>MB</v>
      </c>
      <c r="GF75" s="37" t="str">
        <v>M1</v>
      </c>
      <c r="GI75" s="37">
        <v>1</v>
      </c>
      <c r="GJ75" s="37">
        <v>1</v>
      </c>
      <c r="GK75" s="37">
        <v>1</v>
      </c>
      <c r="GL75" s="37">
        <v>1</v>
      </c>
      <c r="GM75" s="37">
        <v>20</v>
      </c>
      <c r="GP75" s="37" t="str">
        <v>MB</v>
      </c>
      <c r="GQ75" s="37" t="str">
        <v>F7</v>
      </c>
      <c r="GR75" s="37" t="str">
        <v>MB</v>
      </c>
      <c r="GS75" s="37" t="str">
        <v>MB</v>
      </c>
      <c r="GT75" s="37" t="str">
        <v>M1</v>
      </c>
      <c r="GW75" s="37">
        <v>10000</v>
      </c>
      <c r="GX75" s="37">
        <v>1</v>
      </c>
      <c r="GY75" s="37">
        <v>1</v>
      </c>
      <c r="GZ75" s="37">
        <v>1</v>
      </c>
      <c r="HA75" s="37">
        <v>20</v>
      </c>
      <c r="HD75" s="37" t="str">
        <v>MB</v>
      </c>
      <c r="HE75" s="37" t="str">
        <v>F7</v>
      </c>
      <c r="HF75" s="37" t="str">
        <v>MB</v>
      </c>
      <c r="HG75" s="37" t="str">
        <v>MB</v>
      </c>
      <c r="HH75" s="37" t="str">
        <v>M1</v>
      </c>
      <c r="HK75" s="37">
        <v>1</v>
      </c>
      <c r="HL75" s="37">
        <v>1</v>
      </c>
      <c r="HM75" s="37">
        <v>1</v>
      </c>
      <c r="HN75" s="37">
        <v>1</v>
      </c>
      <c r="HO75" s="37">
        <v>20</v>
      </c>
    </row>
    <row r="76" spans="2:223" x14ac:dyDescent="0.35">
      <c r="B76" s="37" t="str">
        <v>F7</v>
      </c>
      <c r="C76" s="37" t="str">
        <v>MB</v>
      </c>
      <c r="D76" s="37" t="str">
        <v>F8</v>
      </c>
      <c r="E76" s="37" t="str">
        <v>M2</v>
      </c>
      <c r="F76" s="37" t="str">
        <v>F7</v>
      </c>
      <c r="I76" s="37">
        <v>1</v>
      </c>
      <c r="J76" s="37">
        <v>1</v>
      </c>
      <c r="K76" s="37">
        <v>1</v>
      </c>
      <c r="L76" s="37">
        <v>1</v>
      </c>
      <c r="M76" s="37">
        <v>20</v>
      </c>
      <c r="P76" s="37" t="str">
        <v>F7</v>
      </c>
      <c r="Q76" s="37" t="str">
        <v>MB</v>
      </c>
      <c r="R76" s="37" t="str">
        <v>F8</v>
      </c>
      <c r="S76" s="37" t="str">
        <v>M2</v>
      </c>
      <c r="T76" s="37" t="str">
        <v>F7</v>
      </c>
      <c r="W76" s="37">
        <v>1</v>
      </c>
      <c r="X76" s="37">
        <v>1</v>
      </c>
      <c r="Y76" s="37">
        <v>1</v>
      </c>
      <c r="Z76" s="37">
        <v>1</v>
      </c>
      <c r="AA76" s="37">
        <v>20</v>
      </c>
      <c r="AD76" s="37" t="str">
        <v>F7</v>
      </c>
      <c r="AE76" s="37" t="str">
        <v>MB</v>
      </c>
      <c r="AF76" s="37" t="str">
        <v>F8</v>
      </c>
      <c r="AG76" s="37" t="str">
        <v>M2</v>
      </c>
      <c r="AH76" s="37" t="str">
        <v>F7</v>
      </c>
      <c r="AK76" s="37">
        <v>1</v>
      </c>
      <c r="AL76" s="37">
        <v>2000</v>
      </c>
      <c r="AM76" s="37">
        <v>1</v>
      </c>
      <c r="AN76" s="37">
        <v>1</v>
      </c>
      <c r="AO76" s="37">
        <v>20</v>
      </c>
      <c r="AR76" s="37" t="str">
        <v>F7</v>
      </c>
      <c r="AS76" s="37" t="str">
        <v>MB</v>
      </c>
      <c r="AT76" s="37" t="str">
        <v>F8</v>
      </c>
      <c r="AU76" s="37" t="str">
        <v>M2</v>
      </c>
      <c r="AV76" s="37" t="str">
        <v>F7</v>
      </c>
      <c r="AY76" s="37">
        <v>1</v>
      </c>
      <c r="AZ76" s="37">
        <v>4000</v>
      </c>
      <c r="BA76" s="37">
        <v>1</v>
      </c>
      <c r="BB76" s="37">
        <v>1</v>
      </c>
      <c r="BC76" s="37">
        <v>20</v>
      </c>
      <c r="BF76" s="37" t="str">
        <v>F7</v>
      </c>
      <c r="BG76" s="37" t="str">
        <v>MB</v>
      </c>
      <c r="BH76" s="37" t="str">
        <v>F8</v>
      </c>
      <c r="BI76" s="37" t="str">
        <v>M2</v>
      </c>
      <c r="BJ76" s="37" t="str">
        <v>F7</v>
      </c>
      <c r="BM76" s="37">
        <v>1</v>
      </c>
      <c r="BN76" s="37">
        <v>5000</v>
      </c>
      <c r="BO76" s="37">
        <v>1</v>
      </c>
      <c r="BP76" s="37">
        <v>1</v>
      </c>
      <c r="BQ76" s="37">
        <v>20</v>
      </c>
      <c r="BT76" s="37" t="str">
        <v>F7</v>
      </c>
      <c r="BU76" s="37" t="str">
        <v>MB</v>
      </c>
      <c r="BV76" s="37" t="str">
        <v>F8</v>
      </c>
      <c r="BW76" s="37" t="str">
        <v>M2</v>
      </c>
      <c r="BX76" s="37" t="str">
        <v>F7</v>
      </c>
      <c r="CA76" s="37">
        <v>1</v>
      </c>
      <c r="CB76" s="37">
        <v>4000</v>
      </c>
      <c r="CC76" s="37">
        <v>1</v>
      </c>
      <c r="CD76" s="37">
        <v>1</v>
      </c>
      <c r="CE76" s="37">
        <v>20</v>
      </c>
      <c r="CH76" s="37" t="str">
        <v>F7</v>
      </c>
      <c r="CI76" s="37" t="str">
        <v>MB</v>
      </c>
      <c r="CJ76" s="37" t="str">
        <v>F8</v>
      </c>
      <c r="CK76" s="37" t="str">
        <v>M2</v>
      </c>
      <c r="CL76" s="37" t="str">
        <v>F7</v>
      </c>
      <c r="CO76" s="37">
        <v>1</v>
      </c>
      <c r="CP76" s="37">
        <v>1</v>
      </c>
      <c r="CQ76" s="37">
        <v>1</v>
      </c>
      <c r="CR76" s="37">
        <v>1</v>
      </c>
      <c r="CS76" s="37">
        <v>20</v>
      </c>
      <c r="CV76" s="37" t="str">
        <v>F7</v>
      </c>
      <c r="CW76" s="37" t="str">
        <v>MB</v>
      </c>
      <c r="CX76" s="37" t="str">
        <v>F8</v>
      </c>
      <c r="CY76" s="37" t="str">
        <v>M2</v>
      </c>
      <c r="CZ76" s="37" t="str">
        <v>F7</v>
      </c>
      <c r="DC76" s="37">
        <v>1</v>
      </c>
      <c r="DD76" s="37">
        <v>4000</v>
      </c>
      <c r="DE76" s="37">
        <v>1</v>
      </c>
      <c r="DF76" s="37">
        <v>1</v>
      </c>
      <c r="DG76" s="37">
        <v>20</v>
      </c>
      <c r="DJ76" s="37" t="str">
        <v>F7</v>
      </c>
      <c r="DK76" s="37" t="str">
        <v>MB</v>
      </c>
      <c r="DL76" s="37" t="str">
        <v>F8</v>
      </c>
      <c r="DM76" s="37" t="str">
        <v>M2</v>
      </c>
      <c r="DN76" s="37" t="str">
        <v>F7</v>
      </c>
      <c r="DQ76" s="37">
        <v>1</v>
      </c>
      <c r="DR76" s="37">
        <v>1</v>
      </c>
      <c r="DS76" s="37">
        <v>1</v>
      </c>
      <c r="DT76" s="37">
        <v>1</v>
      </c>
      <c r="DU76" s="37">
        <v>20</v>
      </c>
      <c r="DX76" s="37" t="str">
        <v>F7</v>
      </c>
      <c r="DY76" s="37" t="str">
        <v>MB</v>
      </c>
      <c r="DZ76" s="37" t="str">
        <v>F8</v>
      </c>
      <c r="EA76" s="37" t="str">
        <v>M2</v>
      </c>
      <c r="EB76" s="37" t="str">
        <v>F7</v>
      </c>
      <c r="EE76" s="37">
        <v>1</v>
      </c>
      <c r="EF76" s="37">
        <v>1</v>
      </c>
      <c r="EG76" s="37">
        <v>1</v>
      </c>
      <c r="EH76" s="37">
        <v>1</v>
      </c>
      <c r="EI76" s="37">
        <v>20</v>
      </c>
      <c r="EL76" s="37" t="str">
        <v>F7</v>
      </c>
      <c r="EM76" s="37" t="str">
        <v>MB</v>
      </c>
      <c r="EN76" s="37" t="str">
        <v>F8</v>
      </c>
      <c r="EO76" s="37" t="str">
        <v>M2</v>
      </c>
      <c r="EP76" s="37" t="str">
        <v>F7</v>
      </c>
      <c r="ES76" s="37">
        <v>1</v>
      </c>
      <c r="ET76" s="37">
        <v>1</v>
      </c>
      <c r="EU76" s="37">
        <v>1</v>
      </c>
      <c r="EV76" s="37">
        <v>1</v>
      </c>
      <c r="EW76" s="37">
        <v>20</v>
      </c>
      <c r="EZ76" s="37" t="str">
        <v>F7</v>
      </c>
      <c r="FA76" s="37" t="str">
        <v>MB</v>
      </c>
      <c r="FB76" s="37" t="str">
        <v>F8</v>
      </c>
      <c r="FC76" s="37" t="str">
        <v>M2</v>
      </c>
      <c r="FD76" s="37" t="str">
        <v>F7</v>
      </c>
      <c r="FG76" s="37">
        <v>1</v>
      </c>
      <c r="FH76" s="37">
        <v>1</v>
      </c>
      <c r="FI76" s="37">
        <v>1</v>
      </c>
      <c r="FJ76" s="37">
        <v>1</v>
      </c>
      <c r="FK76" s="37">
        <v>20</v>
      </c>
      <c r="FN76" s="37" t="str">
        <v>F7</v>
      </c>
      <c r="FO76" s="37" t="str">
        <v>MB</v>
      </c>
      <c r="FP76" s="37" t="str">
        <v>F8</v>
      </c>
      <c r="FQ76" s="37" t="str">
        <v>M2</v>
      </c>
      <c r="FR76" s="37" t="str">
        <v>F7</v>
      </c>
      <c r="FU76" s="37">
        <v>1</v>
      </c>
      <c r="FV76" s="37">
        <v>4000</v>
      </c>
      <c r="FW76" s="37">
        <v>1</v>
      </c>
      <c r="FX76" s="37">
        <v>1</v>
      </c>
      <c r="FY76" s="37">
        <v>20</v>
      </c>
      <c r="GB76" s="37" t="str">
        <v>F7</v>
      </c>
      <c r="GC76" s="37" t="str">
        <v>MB</v>
      </c>
      <c r="GD76" s="37" t="str">
        <v>F8</v>
      </c>
      <c r="GE76" s="37" t="str">
        <v>M2</v>
      </c>
      <c r="GF76" s="37" t="str">
        <v>F7</v>
      </c>
      <c r="GI76" s="37">
        <v>1</v>
      </c>
      <c r="GJ76" s="37">
        <v>1</v>
      </c>
      <c r="GK76" s="37">
        <v>1</v>
      </c>
      <c r="GL76" s="37">
        <v>1</v>
      </c>
      <c r="GM76" s="37">
        <v>20</v>
      </c>
      <c r="GP76" s="37" t="str">
        <v>F7</v>
      </c>
      <c r="GQ76" s="37" t="str">
        <v>MB</v>
      </c>
      <c r="GR76" s="37" t="str">
        <v>F8</v>
      </c>
      <c r="GS76" s="37" t="str">
        <v>M2</v>
      </c>
      <c r="GT76" s="37" t="str">
        <v>F7</v>
      </c>
      <c r="GW76" s="37">
        <v>1</v>
      </c>
      <c r="GX76" s="37">
        <v>1</v>
      </c>
      <c r="GY76" s="37">
        <v>1</v>
      </c>
      <c r="GZ76" s="37">
        <v>1</v>
      </c>
      <c r="HA76" s="37">
        <v>20</v>
      </c>
      <c r="HD76" s="37" t="str">
        <v>F7</v>
      </c>
      <c r="HE76" s="37" t="str">
        <v>MB</v>
      </c>
      <c r="HF76" s="37" t="str">
        <v>F8</v>
      </c>
      <c r="HG76" s="37" t="str">
        <v>M2</v>
      </c>
      <c r="HH76" s="37" t="str">
        <v>F7</v>
      </c>
      <c r="HK76" s="37">
        <v>1</v>
      </c>
      <c r="HL76" s="37">
        <v>1</v>
      </c>
      <c r="HM76" s="37">
        <v>1</v>
      </c>
      <c r="HN76" s="37">
        <v>1</v>
      </c>
      <c r="HO76" s="37">
        <v>20</v>
      </c>
    </row>
    <row r="77" spans="2:223" x14ac:dyDescent="0.35">
      <c r="B77" s="37" t="str">
        <v>F8</v>
      </c>
      <c r="C77" s="37" t="str">
        <v>F8</v>
      </c>
      <c r="D77" s="37" t="str">
        <v>F6</v>
      </c>
      <c r="E77" s="37" t="str">
        <v>F8</v>
      </c>
      <c r="F77" s="37" t="str">
        <v>M4</v>
      </c>
      <c r="I77" s="37">
        <v>20</v>
      </c>
      <c r="J77" s="37">
        <v>1</v>
      </c>
      <c r="K77" s="37">
        <v>20</v>
      </c>
      <c r="L77" s="37">
        <v>20</v>
      </c>
      <c r="M77" s="37">
        <v>20</v>
      </c>
      <c r="P77" s="37" t="str">
        <v>F8</v>
      </c>
      <c r="Q77" s="37" t="str">
        <v>F8</v>
      </c>
      <c r="R77" s="37" t="str">
        <v>F6</v>
      </c>
      <c r="S77" s="37" t="str">
        <v>F8</v>
      </c>
      <c r="T77" s="37" t="str">
        <v>M4</v>
      </c>
      <c r="W77" s="37">
        <v>20</v>
      </c>
      <c r="X77" s="37">
        <v>1</v>
      </c>
      <c r="Y77" s="37">
        <v>20</v>
      </c>
      <c r="Z77" s="37">
        <v>20</v>
      </c>
      <c r="AA77" s="37">
        <v>20</v>
      </c>
      <c r="AD77" s="37" t="str">
        <v>F8</v>
      </c>
      <c r="AE77" s="37" t="str">
        <v>F8</v>
      </c>
      <c r="AF77" s="37" t="str">
        <v>F6</v>
      </c>
      <c r="AG77" s="37" t="str">
        <v>F8</v>
      </c>
      <c r="AH77" s="37" t="str">
        <v>M4</v>
      </c>
      <c r="AK77" s="37">
        <v>20</v>
      </c>
      <c r="AL77" s="37">
        <v>2000</v>
      </c>
      <c r="AM77" s="37">
        <v>20</v>
      </c>
      <c r="AN77" s="37">
        <v>20</v>
      </c>
      <c r="AO77" s="37">
        <v>20</v>
      </c>
      <c r="AR77" s="37" t="str">
        <v>F8</v>
      </c>
      <c r="AS77" s="37" t="str">
        <v>F8</v>
      </c>
      <c r="AT77" s="37" t="str">
        <v>F6</v>
      </c>
      <c r="AU77" s="37" t="str">
        <v>F8</v>
      </c>
      <c r="AV77" s="37" t="str">
        <v>M4</v>
      </c>
      <c r="AY77" s="37">
        <v>20</v>
      </c>
      <c r="AZ77" s="37">
        <v>4000</v>
      </c>
      <c r="BA77" s="37">
        <v>20</v>
      </c>
      <c r="BB77" s="37">
        <v>20</v>
      </c>
      <c r="BC77" s="37">
        <v>20</v>
      </c>
      <c r="BF77" s="37" t="str">
        <v>F8</v>
      </c>
      <c r="BG77" s="37" t="str">
        <v>F8</v>
      </c>
      <c r="BH77" s="37" t="str">
        <v>F6</v>
      </c>
      <c r="BI77" s="37" t="str">
        <v>F8</v>
      </c>
      <c r="BJ77" s="37" t="str">
        <v>M4</v>
      </c>
      <c r="BM77" s="37">
        <v>20</v>
      </c>
      <c r="BN77" s="37">
        <v>5000</v>
      </c>
      <c r="BO77" s="37">
        <v>20</v>
      </c>
      <c r="BP77" s="37">
        <v>20</v>
      </c>
      <c r="BQ77" s="37">
        <v>20</v>
      </c>
      <c r="BT77" s="37" t="str">
        <v>F8</v>
      </c>
      <c r="BU77" s="37" t="str">
        <v>F8</v>
      </c>
      <c r="BV77" s="37" t="str">
        <v>F6</v>
      </c>
      <c r="BW77" s="37" t="str">
        <v>F8</v>
      </c>
      <c r="BX77" s="37" t="str">
        <v>M4</v>
      </c>
      <c r="CA77" s="37">
        <v>20</v>
      </c>
      <c r="CB77" s="37">
        <v>4000</v>
      </c>
      <c r="CC77" s="37">
        <v>20</v>
      </c>
      <c r="CD77" s="37">
        <v>20</v>
      </c>
      <c r="CE77" s="37">
        <v>20</v>
      </c>
      <c r="CH77" s="37" t="str">
        <v>F8</v>
      </c>
      <c r="CI77" s="37" t="str">
        <v>F8</v>
      </c>
      <c r="CJ77" s="37" t="str">
        <v>F6</v>
      </c>
      <c r="CK77" s="37" t="str">
        <v>F8</v>
      </c>
      <c r="CL77" s="37" t="str">
        <v>M4</v>
      </c>
      <c r="CO77" s="37">
        <v>20</v>
      </c>
      <c r="CP77" s="37">
        <v>1</v>
      </c>
      <c r="CQ77" s="37">
        <v>20</v>
      </c>
      <c r="CR77" s="37">
        <v>20</v>
      </c>
      <c r="CS77" s="37">
        <v>20</v>
      </c>
      <c r="CV77" s="37" t="str">
        <v>F8</v>
      </c>
      <c r="CW77" s="37" t="str">
        <v>F8</v>
      </c>
      <c r="CX77" s="37" t="str">
        <v>F6</v>
      </c>
      <c r="CY77" s="37" t="str">
        <v>F8</v>
      </c>
      <c r="CZ77" s="37" t="str">
        <v>M4</v>
      </c>
      <c r="DC77" s="37">
        <v>20</v>
      </c>
      <c r="DD77" s="37">
        <v>4000</v>
      </c>
      <c r="DE77" s="37">
        <v>20</v>
      </c>
      <c r="DF77" s="37">
        <v>20</v>
      </c>
      <c r="DG77" s="37">
        <v>20</v>
      </c>
      <c r="DJ77" s="37" t="str">
        <v>F8</v>
      </c>
      <c r="DK77" s="37" t="str">
        <v>F8</v>
      </c>
      <c r="DL77" s="37" t="str">
        <v>F6</v>
      </c>
      <c r="DM77" s="37" t="str">
        <v>F8</v>
      </c>
      <c r="DN77" s="37" t="str">
        <v>M4</v>
      </c>
      <c r="DQ77" s="37">
        <v>20</v>
      </c>
      <c r="DR77" s="37">
        <v>1</v>
      </c>
      <c r="DS77" s="37">
        <v>20</v>
      </c>
      <c r="DT77" s="37">
        <v>20</v>
      </c>
      <c r="DU77" s="37">
        <v>20</v>
      </c>
      <c r="DX77" s="37" t="str">
        <v>F8</v>
      </c>
      <c r="DY77" s="37" t="str">
        <v>F8</v>
      </c>
      <c r="DZ77" s="37" t="str">
        <v>F6</v>
      </c>
      <c r="EA77" s="37" t="str">
        <v>F8</v>
      </c>
      <c r="EB77" s="37" t="str">
        <v>M4</v>
      </c>
      <c r="EE77" s="37">
        <v>20</v>
      </c>
      <c r="EF77" s="37">
        <v>1</v>
      </c>
      <c r="EG77" s="37">
        <v>20</v>
      </c>
      <c r="EH77" s="37">
        <v>20</v>
      </c>
      <c r="EI77" s="37">
        <v>20</v>
      </c>
      <c r="EL77" s="37" t="str">
        <v>F8</v>
      </c>
      <c r="EM77" s="37" t="str">
        <v>F8</v>
      </c>
      <c r="EN77" s="37" t="str">
        <v>F6</v>
      </c>
      <c r="EO77" s="37" t="str">
        <v>F8</v>
      </c>
      <c r="EP77" s="37" t="str">
        <v>M4</v>
      </c>
      <c r="ES77" s="37">
        <v>20</v>
      </c>
      <c r="ET77" s="37">
        <v>1</v>
      </c>
      <c r="EU77" s="37">
        <v>20</v>
      </c>
      <c r="EV77" s="37">
        <v>20</v>
      </c>
      <c r="EW77" s="37">
        <v>20</v>
      </c>
      <c r="EZ77" s="37" t="str">
        <v>F8</v>
      </c>
      <c r="FA77" s="37" t="str">
        <v>F8</v>
      </c>
      <c r="FB77" s="37" t="str">
        <v>F6</v>
      </c>
      <c r="FC77" s="37" t="str">
        <v>F8</v>
      </c>
      <c r="FD77" s="37" t="str">
        <v>M4</v>
      </c>
      <c r="FG77" s="37">
        <v>20</v>
      </c>
      <c r="FH77" s="37">
        <v>1</v>
      </c>
      <c r="FI77" s="37">
        <v>20</v>
      </c>
      <c r="FJ77" s="37">
        <v>20</v>
      </c>
      <c r="FK77" s="37">
        <v>20</v>
      </c>
      <c r="FN77" s="37" t="str">
        <v>F8</v>
      </c>
      <c r="FO77" s="37" t="str">
        <v>F8</v>
      </c>
      <c r="FP77" s="37" t="str">
        <v>F6</v>
      </c>
      <c r="FQ77" s="37" t="str">
        <v>F8</v>
      </c>
      <c r="FR77" s="37" t="str">
        <v>M4</v>
      </c>
      <c r="FU77" s="37">
        <v>20</v>
      </c>
      <c r="FV77" s="37">
        <v>4000</v>
      </c>
      <c r="FW77" s="37">
        <v>20</v>
      </c>
      <c r="FX77" s="37">
        <v>20</v>
      </c>
      <c r="FY77" s="37">
        <v>20</v>
      </c>
      <c r="GB77" s="37" t="str">
        <v>F8</v>
      </c>
      <c r="GC77" s="37" t="str">
        <v>F8</v>
      </c>
      <c r="GD77" s="37" t="str">
        <v>F6</v>
      </c>
      <c r="GE77" s="37" t="str">
        <v>F8</v>
      </c>
      <c r="GF77" s="37" t="str">
        <v>M4</v>
      </c>
      <c r="GI77" s="37">
        <v>20</v>
      </c>
      <c r="GJ77" s="37">
        <v>1</v>
      </c>
      <c r="GK77" s="37">
        <v>20</v>
      </c>
      <c r="GL77" s="37">
        <v>20</v>
      </c>
      <c r="GM77" s="37">
        <v>20</v>
      </c>
      <c r="GP77" s="37" t="str">
        <v>F8</v>
      </c>
      <c r="GQ77" s="37" t="str">
        <v>F8</v>
      </c>
      <c r="GR77" s="37" t="str">
        <v>F6</v>
      </c>
      <c r="GS77" s="37" t="str">
        <v>F8</v>
      </c>
      <c r="GT77" s="37" t="str">
        <v>M4</v>
      </c>
      <c r="GW77" s="37">
        <v>20</v>
      </c>
      <c r="GX77" s="37">
        <v>1</v>
      </c>
      <c r="GY77" s="37">
        <v>20</v>
      </c>
      <c r="GZ77" s="37">
        <v>20</v>
      </c>
      <c r="HA77" s="37">
        <v>20</v>
      </c>
      <c r="HD77" s="37" t="str">
        <v>F8</v>
      </c>
      <c r="HE77" s="37" t="str">
        <v>F8</v>
      </c>
      <c r="HF77" s="37" t="str">
        <v>F6</v>
      </c>
      <c r="HG77" s="37" t="str">
        <v>F8</v>
      </c>
      <c r="HH77" s="37" t="str">
        <v>M4</v>
      </c>
      <c r="HK77" s="37">
        <v>20</v>
      </c>
      <c r="HL77" s="37">
        <v>1</v>
      </c>
      <c r="HM77" s="37">
        <v>20</v>
      </c>
      <c r="HN77" s="37">
        <v>20</v>
      </c>
      <c r="HO77" s="37">
        <v>20</v>
      </c>
    </row>
    <row r="78" spans="2:223" x14ac:dyDescent="0.35">
      <c r="B78" s="37" t="str">
        <v>F8</v>
      </c>
      <c r="C78" s="37" t="str">
        <v>F5</v>
      </c>
      <c r="D78" s="37" t="str">
        <v>F9</v>
      </c>
      <c r="E78" s="37" t="str">
        <v>M1</v>
      </c>
      <c r="F78" s="37" t="str">
        <v>F8</v>
      </c>
      <c r="I78" s="37">
        <v>20</v>
      </c>
      <c r="J78" s="37">
        <v>20</v>
      </c>
      <c r="K78" s="37">
        <v>20</v>
      </c>
      <c r="L78" s="37">
        <v>20</v>
      </c>
      <c r="M78" s="37">
        <v>20</v>
      </c>
      <c r="P78" s="37" t="str">
        <v>F8</v>
      </c>
      <c r="Q78" s="37" t="str">
        <v>F5</v>
      </c>
      <c r="R78" s="37" t="str">
        <v>F9</v>
      </c>
      <c r="S78" s="37" t="str">
        <v>M1</v>
      </c>
      <c r="T78" s="37" t="str">
        <v>F8</v>
      </c>
      <c r="W78" s="37">
        <v>20</v>
      </c>
      <c r="X78" s="37">
        <v>20</v>
      </c>
      <c r="Y78" s="37">
        <v>20</v>
      </c>
      <c r="Z78" s="37">
        <v>20</v>
      </c>
      <c r="AA78" s="37">
        <v>20</v>
      </c>
      <c r="AD78" s="37" t="str">
        <v>F8</v>
      </c>
      <c r="AE78" s="37" t="str">
        <v>F5</v>
      </c>
      <c r="AF78" s="37" t="str">
        <v>F9</v>
      </c>
      <c r="AG78" s="37" t="str">
        <v>M1</v>
      </c>
      <c r="AH78" s="37" t="str">
        <v>F8</v>
      </c>
      <c r="AK78" s="37">
        <v>20</v>
      </c>
      <c r="AL78" s="37">
        <v>20</v>
      </c>
      <c r="AM78" s="37">
        <v>20</v>
      </c>
      <c r="AN78" s="37">
        <v>20</v>
      </c>
      <c r="AO78" s="37">
        <v>20</v>
      </c>
      <c r="AR78" s="37" t="str">
        <v>F8</v>
      </c>
      <c r="AS78" s="37" t="str">
        <v>F5</v>
      </c>
      <c r="AT78" s="37" t="str">
        <v>F9</v>
      </c>
      <c r="AU78" s="37" t="str">
        <v>M1</v>
      </c>
      <c r="AV78" s="37" t="str">
        <v>F8</v>
      </c>
      <c r="AY78" s="37">
        <v>20</v>
      </c>
      <c r="AZ78" s="37">
        <v>20</v>
      </c>
      <c r="BA78" s="37">
        <v>20</v>
      </c>
      <c r="BB78" s="37">
        <v>20</v>
      </c>
      <c r="BC78" s="37">
        <v>20</v>
      </c>
      <c r="BF78" s="37" t="str">
        <v>F8</v>
      </c>
      <c r="BG78" s="37" t="str">
        <v>F5</v>
      </c>
      <c r="BH78" s="37" t="str">
        <v>F9</v>
      </c>
      <c r="BI78" s="37" t="str">
        <v>M1</v>
      </c>
      <c r="BJ78" s="37" t="str">
        <v>F8</v>
      </c>
      <c r="BM78" s="37">
        <v>20</v>
      </c>
      <c r="BN78" s="37">
        <v>20</v>
      </c>
      <c r="BO78" s="37">
        <v>20</v>
      </c>
      <c r="BP78" s="37">
        <v>20</v>
      </c>
      <c r="BQ78" s="37">
        <v>20</v>
      </c>
      <c r="BT78" s="37" t="str">
        <v>F8</v>
      </c>
      <c r="BU78" s="37" t="str">
        <v>F5</v>
      </c>
      <c r="BV78" s="37" t="str">
        <v>F9</v>
      </c>
      <c r="BW78" s="37" t="str">
        <v>M1</v>
      </c>
      <c r="BX78" s="37" t="str">
        <v>F8</v>
      </c>
      <c r="CA78" s="37">
        <v>20</v>
      </c>
      <c r="CB78" s="37">
        <v>20</v>
      </c>
      <c r="CC78" s="37">
        <v>20</v>
      </c>
      <c r="CD78" s="37">
        <v>20</v>
      </c>
      <c r="CE78" s="37">
        <v>20</v>
      </c>
      <c r="CH78" s="37" t="str">
        <v>F8</v>
      </c>
      <c r="CI78" s="37" t="str">
        <v>F5</v>
      </c>
      <c r="CJ78" s="37" t="str">
        <v>F9</v>
      </c>
      <c r="CK78" s="37" t="str">
        <v>M1</v>
      </c>
      <c r="CL78" s="37" t="str">
        <v>F8</v>
      </c>
      <c r="CO78" s="37">
        <v>20</v>
      </c>
      <c r="CP78" s="37">
        <v>20</v>
      </c>
      <c r="CQ78" s="37">
        <v>20</v>
      </c>
      <c r="CR78" s="37">
        <v>20</v>
      </c>
      <c r="CS78" s="37">
        <v>20</v>
      </c>
      <c r="CV78" s="37" t="str">
        <v>F8</v>
      </c>
      <c r="CW78" s="37" t="str">
        <v>F5</v>
      </c>
      <c r="CX78" s="37" t="str">
        <v>F9</v>
      </c>
      <c r="CY78" s="37" t="str">
        <v>M1</v>
      </c>
      <c r="CZ78" s="37" t="str">
        <v>F8</v>
      </c>
      <c r="DC78" s="37">
        <v>20</v>
      </c>
      <c r="DD78" s="37">
        <v>20</v>
      </c>
      <c r="DE78" s="37">
        <v>20</v>
      </c>
      <c r="DF78" s="37">
        <v>20</v>
      </c>
      <c r="DG78" s="37">
        <v>20</v>
      </c>
      <c r="DJ78" s="37" t="str">
        <v>F8</v>
      </c>
      <c r="DK78" s="37" t="str">
        <v>F5</v>
      </c>
      <c r="DL78" s="37" t="str">
        <v>F9</v>
      </c>
      <c r="DM78" s="37" t="str">
        <v>M1</v>
      </c>
      <c r="DN78" s="37" t="str">
        <v>F8</v>
      </c>
      <c r="DQ78" s="37">
        <v>20</v>
      </c>
      <c r="DR78" s="37">
        <v>20</v>
      </c>
      <c r="DS78" s="37">
        <v>20</v>
      </c>
      <c r="DT78" s="37">
        <v>20</v>
      </c>
      <c r="DU78" s="37">
        <v>20</v>
      </c>
      <c r="DX78" s="37" t="str">
        <v>F8</v>
      </c>
      <c r="DY78" s="37" t="str">
        <v>F5</v>
      </c>
      <c r="DZ78" s="37" t="str">
        <v>F9</v>
      </c>
      <c r="EA78" s="37" t="str">
        <v>M1</v>
      </c>
      <c r="EB78" s="37" t="str">
        <v>F8</v>
      </c>
      <c r="EE78" s="37">
        <v>20</v>
      </c>
      <c r="EF78" s="37">
        <v>20</v>
      </c>
      <c r="EG78" s="37">
        <v>20</v>
      </c>
      <c r="EH78" s="37">
        <v>20</v>
      </c>
      <c r="EI78" s="37">
        <v>20</v>
      </c>
      <c r="EL78" s="37" t="str">
        <v>F8</v>
      </c>
      <c r="EM78" s="37" t="str">
        <v>F5</v>
      </c>
      <c r="EN78" s="37" t="str">
        <v>F9</v>
      </c>
      <c r="EO78" s="37" t="str">
        <v>M1</v>
      </c>
      <c r="EP78" s="37" t="str">
        <v>F8</v>
      </c>
      <c r="ES78" s="37">
        <v>20</v>
      </c>
      <c r="ET78" s="37">
        <v>20</v>
      </c>
      <c r="EU78" s="37">
        <v>20</v>
      </c>
      <c r="EV78" s="37">
        <v>20</v>
      </c>
      <c r="EW78" s="37">
        <v>20</v>
      </c>
      <c r="EZ78" s="37" t="str">
        <v>F8</v>
      </c>
      <c r="FA78" s="37" t="str">
        <v>F5</v>
      </c>
      <c r="FB78" s="37" t="str">
        <v>F9</v>
      </c>
      <c r="FC78" s="37" t="str">
        <v>M1</v>
      </c>
      <c r="FD78" s="37" t="str">
        <v>F8</v>
      </c>
      <c r="FG78" s="37">
        <v>20</v>
      </c>
      <c r="FH78" s="37">
        <v>20</v>
      </c>
      <c r="FI78" s="37">
        <v>20</v>
      </c>
      <c r="FJ78" s="37">
        <v>20</v>
      </c>
      <c r="FK78" s="37">
        <v>20</v>
      </c>
      <c r="FN78" s="37" t="str">
        <v>F8</v>
      </c>
      <c r="FO78" s="37" t="str">
        <v>F5</v>
      </c>
      <c r="FP78" s="37" t="str">
        <v>F9</v>
      </c>
      <c r="FQ78" s="37" t="str">
        <v>M1</v>
      </c>
      <c r="FR78" s="37" t="str">
        <v>F8</v>
      </c>
      <c r="FU78" s="37">
        <v>20</v>
      </c>
      <c r="FV78" s="37">
        <v>20</v>
      </c>
      <c r="FW78" s="37">
        <v>20</v>
      </c>
      <c r="FX78" s="37">
        <v>20</v>
      </c>
      <c r="FY78" s="37">
        <v>20</v>
      </c>
      <c r="GB78" s="37" t="str">
        <v>F8</v>
      </c>
      <c r="GC78" s="37" t="str">
        <v>F5</v>
      </c>
      <c r="GD78" s="37" t="str">
        <v>F9</v>
      </c>
      <c r="GE78" s="37" t="str">
        <v>M1</v>
      </c>
      <c r="GF78" s="37" t="str">
        <v>F8</v>
      </c>
      <c r="GI78" s="37">
        <v>20</v>
      </c>
      <c r="GJ78" s="37">
        <v>20</v>
      </c>
      <c r="GK78" s="37">
        <v>20</v>
      </c>
      <c r="GL78" s="37">
        <v>20</v>
      </c>
      <c r="GM78" s="37">
        <v>20</v>
      </c>
      <c r="GP78" s="37" t="str">
        <v>F8</v>
      </c>
      <c r="GQ78" s="37" t="str">
        <v>F5</v>
      </c>
      <c r="GR78" s="37" t="str">
        <v>F9</v>
      </c>
      <c r="GS78" s="37" t="str">
        <v>M1</v>
      </c>
      <c r="GT78" s="37" t="str">
        <v>F8</v>
      </c>
      <c r="GW78" s="37">
        <v>20</v>
      </c>
      <c r="GX78" s="37">
        <v>20</v>
      </c>
      <c r="GY78" s="37">
        <v>20</v>
      </c>
      <c r="GZ78" s="37">
        <v>20</v>
      </c>
      <c r="HA78" s="37">
        <v>20</v>
      </c>
      <c r="HD78" s="37" t="str">
        <v>F8</v>
      </c>
      <c r="HE78" s="37" t="str">
        <v>F5</v>
      </c>
      <c r="HF78" s="37" t="str">
        <v>F9</v>
      </c>
      <c r="HG78" s="37" t="str">
        <v>M1</v>
      </c>
      <c r="HH78" s="37" t="str">
        <v>F8</v>
      </c>
      <c r="HK78" s="37">
        <v>20</v>
      </c>
      <c r="HL78" s="37">
        <v>20</v>
      </c>
      <c r="HM78" s="37">
        <v>20</v>
      </c>
      <c r="HN78" s="37">
        <v>20</v>
      </c>
      <c r="HO78" s="37">
        <v>20</v>
      </c>
    </row>
    <row r="79" spans="2:223" x14ac:dyDescent="0.35">
      <c r="B79" s="37" t="str">
        <v>F5</v>
      </c>
      <c r="C79" s="37" t="str">
        <v>M2</v>
      </c>
      <c r="D79" s="37" t="str">
        <v>BN</v>
      </c>
      <c r="E79" s="37" t="str">
        <v>F5</v>
      </c>
      <c r="F79" s="37" t="str">
        <v>M3</v>
      </c>
      <c r="I79" s="37">
        <v>1</v>
      </c>
      <c r="J79" s="37">
        <v>1</v>
      </c>
      <c r="K79" s="37">
        <v>20</v>
      </c>
      <c r="L79" s="37">
        <v>20</v>
      </c>
      <c r="M79" s="37">
        <v>1</v>
      </c>
      <c r="P79" s="37" t="str">
        <v>F5</v>
      </c>
      <c r="Q79" s="37" t="str">
        <v>M2</v>
      </c>
      <c r="R79" s="37" t="str">
        <v>BN</v>
      </c>
      <c r="S79" s="37" t="str">
        <v>F5</v>
      </c>
      <c r="T79" s="37" t="str">
        <v>M3</v>
      </c>
      <c r="W79" s="37">
        <v>1</v>
      </c>
      <c r="X79" s="37">
        <v>1</v>
      </c>
      <c r="Y79" s="37">
        <v>20</v>
      </c>
      <c r="Z79" s="37">
        <v>20</v>
      </c>
      <c r="AA79" s="37">
        <v>1</v>
      </c>
      <c r="AD79" s="37" t="str">
        <v>F5</v>
      </c>
      <c r="AE79" s="37" t="str">
        <v>M2</v>
      </c>
      <c r="AF79" s="37" t="str">
        <v>BN</v>
      </c>
      <c r="AG79" s="37" t="str">
        <v>F5</v>
      </c>
      <c r="AH79" s="37" t="str">
        <v>M3</v>
      </c>
      <c r="AK79" s="37">
        <v>1</v>
      </c>
      <c r="AL79" s="37">
        <v>1</v>
      </c>
      <c r="AM79" s="37">
        <v>20</v>
      </c>
      <c r="AN79" s="37">
        <v>20</v>
      </c>
      <c r="AO79" s="37">
        <v>1</v>
      </c>
      <c r="AR79" s="37" t="str">
        <v>F5</v>
      </c>
      <c r="AS79" s="37" t="str">
        <v>M2</v>
      </c>
      <c r="AT79" s="37" t="str">
        <v>BN</v>
      </c>
      <c r="AU79" s="37" t="str">
        <v>F5</v>
      </c>
      <c r="AV79" s="37" t="str">
        <v>M3</v>
      </c>
      <c r="AY79" s="37">
        <v>1</v>
      </c>
      <c r="AZ79" s="37">
        <v>1</v>
      </c>
      <c r="BA79" s="37">
        <v>20</v>
      </c>
      <c r="BB79" s="37">
        <v>20</v>
      </c>
      <c r="BC79" s="37">
        <v>1</v>
      </c>
      <c r="BF79" s="37" t="str">
        <v>F5</v>
      </c>
      <c r="BG79" s="37" t="str">
        <v>M2</v>
      </c>
      <c r="BH79" s="37" t="str">
        <v>BN</v>
      </c>
      <c r="BI79" s="37" t="str">
        <v>F5</v>
      </c>
      <c r="BJ79" s="37" t="str">
        <v>M3</v>
      </c>
      <c r="BM79" s="37">
        <v>5000</v>
      </c>
      <c r="BN79" s="37">
        <v>1</v>
      </c>
      <c r="BO79" s="37">
        <v>20</v>
      </c>
      <c r="BP79" s="37">
        <v>20</v>
      </c>
      <c r="BQ79" s="37">
        <v>1</v>
      </c>
      <c r="BT79" s="37" t="str">
        <v>F5</v>
      </c>
      <c r="BU79" s="37" t="str">
        <v>M2</v>
      </c>
      <c r="BV79" s="37" t="str">
        <v>BN</v>
      </c>
      <c r="BW79" s="37" t="str">
        <v>F5</v>
      </c>
      <c r="BX79" s="37" t="str">
        <v>M3</v>
      </c>
      <c r="CA79" s="37">
        <v>1</v>
      </c>
      <c r="CB79" s="37">
        <v>1</v>
      </c>
      <c r="CC79" s="37">
        <v>20</v>
      </c>
      <c r="CD79" s="37">
        <v>20</v>
      </c>
      <c r="CE79" s="37">
        <v>1</v>
      </c>
      <c r="CH79" s="37" t="str">
        <v>F5</v>
      </c>
      <c r="CI79" s="37" t="str">
        <v>M2</v>
      </c>
      <c r="CJ79" s="37" t="str">
        <v>BN</v>
      </c>
      <c r="CK79" s="37" t="str">
        <v>F5</v>
      </c>
      <c r="CL79" s="37" t="str">
        <v>M3</v>
      </c>
      <c r="CO79" s="37">
        <v>1</v>
      </c>
      <c r="CP79" s="37">
        <v>1</v>
      </c>
      <c r="CQ79" s="37">
        <v>20</v>
      </c>
      <c r="CR79" s="37">
        <v>20</v>
      </c>
      <c r="CS79" s="37">
        <v>1</v>
      </c>
      <c r="CV79" s="37" t="str">
        <v>F5</v>
      </c>
      <c r="CW79" s="37" t="str">
        <v>M2</v>
      </c>
      <c r="CX79" s="37" t="str">
        <v>BN</v>
      </c>
      <c r="CY79" s="37" t="str">
        <v>F5</v>
      </c>
      <c r="CZ79" s="37" t="str">
        <v>M3</v>
      </c>
      <c r="DC79" s="37">
        <v>1</v>
      </c>
      <c r="DD79" s="37">
        <v>1</v>
      </c>
      <c r="DE79" s="37">
        <v>20</v>
      </c>
      <c r="DF79" s="37">
        <v>20</v>
      </c>
      <c r="DG79" s="37">
        <v>1</v>
      </c>
      <c r="DJ79" s="37" t="str">
        <v>F5</v>
      </c>
      <c r="DK79" s="37" t="str">
        <v>M2</v>
      </c>
      <c r="DL79" s="37" t="str">
        <v>BN</v>
      </c>
      <c r="DM79" s="37" t="str">
        <v>F5</v>
      </c>
      <c r="DN79" s="37" t="str">
        <v>M3</v>
      </c>
      <c r="DQ79" s="37">
        <v>4000</v>
      </c>
      <c r="DR79" s="37">
        <v>1</v>
      </c>
      <c r="DS79" s="37">
        <v>20</v>
      </c>
      <c r="DT79" s="37">
        <v>20</v>
      </c>
      <c r="DU79" s="37">
        <v>1</v>
      </c>
      <c r="DX79" s="37" t="str">
        <v>F5</v>
      </c>
      <c r="DY79" s="37" t="str">
        <v>M2</v>
      </c>
      <c r="DZ79" s="37" t="str">
        <v>BN</v>
      </c>
      <c r="EA79" s="37" t="str">
        <v>F5</v>
      </c>
      <c r="EB79" s="37" t="str">
        <v>M3</v>
      </c>
      <c r="EE79" s="37">
        <v>8000</v>
      </c>
      <c r="EF79" s="37">
        <v>1</v>
      </c>
      <c r="EG79" s="37">
        <v>20</v>
      </c>
      <c r="EH79" s="37">
        <v>20</v>
      </c>
      <c r="EI79" s="37">
        <v>1</v>
      </c>
      <c r="EL79" s="37" t="str">
        <v>F5</v>
      </c>
      <c r="EM79" s="37" t="str">
        <v>M2</v>
      </c>
      <c r="EN79" s="37" t="str">
        <v>BN</v>
      </c>
      <c r="EO79" s="37" t="str">
        <v>F5</v>
      </c>
      <c r="EP79" s="37" t="str">
        <v>M3</v>
      </c>
      <c r="ES79" s="37">
        <v>1</v>
      </c>
      <c r="ET79" s="37">
        <v>1</v>
      </c>
      <c r="EU79" s="37">
        <v>20</v>
      </c>
      <c r="EV79" s="37">
        <v>20</v>
      </c>
      <c r="EW79" s="37">
        <v>1</v>
      </c>
      <c r="EZ79" s="37" t="str">
        <v>F5</v>
      </c>
      <c r="FA79" s="37" t="str">
        <v>M2</v>
      </c>
      <c r="FB79" s="37" t="str">
        <v>BN</v>
      </c>
      <c r="FC79" s="37" t="str">
        <v>F5</v>
      </c>
      <c r="FD79" s="37" t="str">
        <v>M3</v>
      </c>
      <c r="FG79" s="37">
        <v>1</v>
      </c>
      <c r="FH79" s="37">
        <v>1</v>
      </c>
      <c r="FI79" s="37">
        <v>20</v>
      </c>
      <c r="FJ79" s="37">
        <v>20</v>
      </c>
      <c r="FK79" s="37">
        <v>1</v>
      </c>
      <c r="FN79" s="37" t="str">
        <v>F5</v>
      </c>
      <c r="FO79" s="37" t="str">
        <v>M2</v>
      </c>
      <c r="FP79" s="37" t="str">
        <v>BN</v>
      </c>
      <c r="FQ79" s="37" t="str">
        <v>F5</v>
      </c>
      <c r="FR79" s="37" t="str">
        <v>M3</v>
      </c>
      <c r="FU79" s="37">
        <v>1</v>
      </c>
      <c r="FV79" s="37">
        <v>1</v>
      </c>
      <c r="FW79" s="37">
        <v>20</v>
      </c>
      <c r="FX79" s="37">
        <v>20</v>
      </c>
      <c r="FY79" s="37">
        <v>1</v>
      </c>
      <c r="GB79" s="37" t="str">
        <v>F5</v>
      </c>
      <c r="GC79" s="37" t="str">
        <v>M2</v>
      </c>
      <c r="GD79" s="37" t="str">
        <v>BN</v>
      </c>
      <c r="GE79" s="37" t="str">
        <v>F5</v>
      </c>
      <c r="GF79" s="37" t="str">
        <v>M3</v>
      </c>
      <c r="GI79" s="37">
        <v>1</v>
      </c>
      <c r="GJ79" s="37">
        <v>1</v>
      </c>
      <c r="GK79" s="37">
        <v>20</v>
      </c>
      <c r="GL79" s="37">
        <v>20</v>
      </c>
      <c r="GM79" s="37">
        <v>1</v>
      </c>
      <c r="GP79" s="37" t="str">
        <v>F5</v>
      </c>
      <c r="GQ79" s="37" t="str">
        <v>M2</v>
      </c>
      <c r="GR79" s="37" t="str">
        <v>BN</v>
      </c>
      <c r="GS79" s="37" t="str">
        <v>F5</v>
      </c>
      <c r="GT79" s="37" t="str">
        <v>M3</v>
      </c>
      <c r="GW79" s="37">
        <v>1</v>
      </c>
      <c r="GX79" s="37">
        <v>1</v>
      </c>
      <c r="GY79" s="37">
        <v>20</v>
      </c>
      <c r="GZ79" s="37">
        <v>20</v>
      </c>
      <c r="HA79" s="37">
        <v>1</v>
      </c>
      <c r="HD79" s="37" t="str">
        <v>F5</v>
      </c>
      <c r="HE79" s="37" t="str">
        <v>M2</v>
      </c>
      <c r="HF79" s="37" t="str">
        <v>BN</v>
      </c>
      <c r="HG79" s="37" t="str">
        <v>F5</v>
      </c>
      <c r="HH79" s="37" t="str">
        <v>M3</v>
      </c>
      <c r="HK79" s="37">
        <v>1</v>
      </c>
      <c r="HL79" s="37">
        <v>1</v>
      </c>
      <c r="HM79" s="37">
        <v>20</v>
      </c>
      <c r="HN79" s="37">
        <v>20</v>
      </c>
      <c r="HO79" s="37">
        <v>1</v>
      </c>
    </row>
    <row r="80" spans="2:223" x14ac:dyDescent="0.35">
      <c r="B80" s="37" t="str">
        <v>MB</v>
      </c>
      <c r="C80" s="37" t="str">
        <v>MB</v>
      </c>
      <c r="D80" s="37" t="str">
        <v>F5</v>
      </c>
      <c r="E80" s="37" t="str">
        <v>M3</v>
      </c>
      <c r="F80" s="37" t="str">
        <v>MB</v>
      </c>
      <c r="I80" s="37">
        <v>1</v>
      </c>
      <c r="J80" s="37">
        <v>1</v>
      </c>
      <c r="K80" s="37">
        <v>20</v>
      </c>
      <c r="L80" s="37">
        <v>20</v>
      </c>
      <c r="M80" s="37">
        <v>1</v>
      </c>
      <c r="P80" s="37" t="str">
        <v>MB</v>
      </c>
      <c r="Q80" s="37" t="str">
        <v>MB</v>
      </c>
      <c r="R80" s="37" t="str">
        <v>F5</v>
      </c>
      <c r="S80" s="37" t="str">
        <v>M3</v>
      </c>
      <c r="T80" s="37" t="str">
        <v>MB</v>
      </c>
      <c r="W80" s="37">
        <v>1</v>
      </c>
      <c r="X80" s="37">
        <v>1</v>
      </c>
      <c r="Y80" s="37">
        <v>20</v>
      </c>
      <c r="Z80" s="37">
        <v>20</v>
      </c>
      <c r="AA80" s="37">
        <v>1</v>
      </c>
      <c r="AD80" s="37" t="str">
        <v>MB</v>
      </c>
      <c r="AE80" s="37" t="str">
        <v>MB</v>
      </c>
      <c r="AF80" s="37" t="str">
        <v>F5</v>
      </c>
      <c r="AG80" s="37" t="str">
        <v>M3</v>
      </c>
      <c r="AH80" s="37" t="str">
        <v>MB</v>
      </c>
      <c r="AK80" s="37">
        <v>1</v>
      </c>
      <c r="AL80" s="37">
        <v>1</v>
      </c>
      <c r="AM80" s="37">
        <v>20</v>
      </c>
      <c r="AN80" s="37">
        <v>20</v>
      </c>
      <c r="AO80" s="37">
        <v>1</v>
      </c>
      <c r="AR80" s="37" t="str">
        <v>MB</v>
      </c>
      <c r="AS80" s="37" t="str">
        <v>MB</v>
      </c>
      <c r="AT80" s="37" t="str">
        <v>F5</v>
      </c>
      <c r="AU80" s="37" t="str">
        <v>M3</v>
      </c>
      <c r="AV80" s="37" t="str">
        <v>MB</v>
      </c>
      <c r="AY80" s="37">
        <v>1</v>
      </c>
      <c r="AZ80" s="37">
        <v>1</v>
      </c>
      <c r="BA80" s="37">
        <v>20</v>
      </c>
      <c r="BB80" s="37">
        <v>20</v>
      </c>
      <c r="BC80" s="37">
        <v>1</v>
      </c>
      <c r="BF80" s="37" t="str">
        <v>MB</v>
      </c>
      <c r="BG80" s="37" t="str">
        <v>MB</v>
      </c>
      <c r="BH80" s="37" t="str">
        <v>F5</v>
      </c>
      <c r="BI80" s="37" t="str">
        <v>M3</v>
      </c>
      <c r="BJ80" s="37" t="str">
        <v>MB</v>
      </c>
      <c r="BM80" s="37">
        <v>5000</v>
      </c>
      <c r="BN80" s="37">
        <v>1</v>
      </c>
      <c r="BO80" s="37">
        <v>20</v>
      </c>
      <c r="BP80" s="37">
        <v>20</v>
      </c>
      <c r="BQ80" s="37">
        <v>1</v>
      </c>
      <c r="BT80" s="37" t="str">
        <v>MB</v>
      </c>
      <c r="BU80" s="37" t="str">
        <v>MB</v>
      </c>
      <c r="BV80" s="37" t="str">
        <v>F5</v>
      </c>
      <c r="BW80" s="37" t="str">
        <v>M3</v>
      </c>
      <c r="BX80" s="37" t="str">
        <v>MB</v>
      </c>
      <c r="CA80" s="37">
        <v>1</v>
      </c>
      <c r="CB80" s="37">
        <v>1</v>
      </c>
      <c r="CC80" s="37">
        <v>20</v>
      </c>
      <c r="CD80" s="37">
        <v>20</v>
      </c>
      <c r="CE80" s="37">
        <v>1</v>
      </c>
      <c r="CH80" s="37" t="str">
        <v>MB</v>
      </c>
      <c r="CI80" s="37" t="str">
        <v>MB</v>
      </c>
      <c r="CJ80" s="37" t="str">
        <v>F5</v>
      </c>
      <c r="CK80" s="37" t="str">
        <v>M3</v>
      </c>
      <c r="CL80" s="37" t="str">
        <v>MB</v>
      </c>
      <c r="CO80" s="37">
        <v>1</v>
      </c>
      <c r="CP80" s="37">
        <v>1</v>
      </c>
      <c r="CQ80" s="37">
        <v>20</v>
      </c>
      <c r="CR80" s="37">
        <v>20</v>
      </c>
      <c r="CS80" s="37">
        <v>1</v>
      </c>
      <c r="CV80" s="37" t="str">
        <v>MB</v>
      </c>
      <c r="CW80" s="37" t="str">
        <v>MB</v>
      </c>
      <c r="CX80" s="37" t="str">
        <v>F5</v>
      </c>
      <c r="CY80" s="37" t="str">
        <v>M3</v>
      </c>
      <c r="CZ80" s="37" t="str">
        <v>MB</v>
      </c>
      <c r="DC80" s="37">
        <v>1</v>
      </c>
      <c r="DD80" s="37">
        <v>1</v>
      </c>
      <c r="DE80" s="37">
        <v>20</v>
      </c>
      <c r="DF80" s="37">
        <v>20</v>
      </c>
      <c r="DG80" s="37">
        <v>1</v>
      </c>
      <c r="DJ80" s="37" t="str">
        <v>MB</v>
      </c>
      <c r="DK80" s="37" t="str">
        <v>MB</v>
      </c>
      <c r="DL80" s="37" t="str">
        <v>F5</v>
      </c>
      <c r="DM80" s="37" t="str">
        <v>M3</v>
      </c>
      <c r="DN80" s="37" t="str">
        <v>MB</v>
      </c>
      <c r="DQ80" s="37">
        <v>4000</v>
      </c>
      <c r="DR80" s="37">
        <v>1</v>
      </c>
      <c r="DS80" s="37">
        <v>20</v>
      </c>
      <c r="DT80" s="37">
        <v>20</v>
      </c>
      <c r="DU80" s="37">
        <v>1</v>
      </c>
      <c r="DX80" s="37" t="str">
        <v>MB</v>
      </c>
      <c r="DY80" s="37" t="str">
        <v>MB</v>
      </c>
      <c r="DZ80" s="37" t="str">
        <v>F5</v>
      </c>
      <c r="EA80" s="37" t="str">
        <v>M3</v>
      </c>
      <c r="EB80" s="37" t="str">
        <v>MB</v>
      </c>
      <c r="EE80" s="37">
        <v>8000</v>
      </c>
      <c r="EF80" s="37">
        <v>1</v>
      </c>
      <c r="EG80" s="37">
        <v>20</v>
      </c>
      <c r="EH80" s="37">
        <v>20</v>
      </c>
      <c r="EI80" s="37">
        <v>1</v>
      </c>
      <c r="EL80" s="37" t="str">
        <v>MB</v>
      </c>
      <c r="EM80" s="37" t="str">
        <v>MB</v>
      </c>
      <c r="EN80" s="37" t="str">
        <v>F5</v>
      </c>
      <c r="EO80" s="37" t="str">
        <v>M3</v>
      </c>
      <c r="EP80" s="37" t="str">
        <v>MB</v>
      </c>
      <c r="ES80" s="37">
        <v>1</v>
      </c>
      <c r="ET80" s="37">
        <v>1</v>
      </c>
      <c r="EU80" s="37">
        <v>20</v>
      </c>
      <c r="EV80" s="37">
        <v>20</v>
      </c>
      <c r="EW80" s="37">
        <v>1</v>
      </c>
      <c r="EZ80" s="37" t="str">
        <v>MB</v>
      </c>
      <c r="FA80" s="37" t="str">
        <v>MB</v>
      </c>
      <c r="FB80" s="37" t="str">
        <v>F5</v>
      </c>
      <c r="FC80" s="37" t="str">
        <v>M3</v>
      </c>
      <c r="FD80" s="37" t="str">
        <v>MB</v>
      </c>
      <c r="FG80" s="37">
        <v>1</v>
      </c>
      <c r="FH80" s="37">
        <v>1</v>
      </c>
      <c r="FI80" s="37">
        <v>20</v>
      </c>
      <c r="FJ80" s="37">
        <v>20</v>
      </c>
      <c r="FK80" s="37">
        <v>1</v>
      </c>
      <c r="FN80" s="37" t="str">
        <v>MB</v>
      </c>
      <c r="FO80" s="37" t="str">
        <v>MB</v>
      </c>
      <c r="FP80" s="37" t="str">
        <v>F5</v>
      </c>
      <c r="FQ80" s="37" t="str">
        <v>M3</v>
      </c>
      <c r="FR80" s="37" t="str">
        <v>MB</v>
      </c>
      <c r="FU80" s="37">
        <v>1</v>
      </c>
      <c r="FV80" s="37">
        <v>1</v>
      </c>
      <c r="FW80" s="37">
        <v>20</v>
      </c>
      <c r="FX80" s="37">
        <v>20</v>
      </c>
      <c r="FY80" s="37">
        <v>1</v>
      </c>
      <c r="GB80" s="37" t="str">
        <v>MB</v>
      </c>
      <c r="GC80" s="37" t="str">
        <v>MB</v>
      </c>
      <c r="GD80" s="37" t="str">
        <v>F5</v>
      </c>
      <c r="GE80" s="37" t="str">
        <v>M3</v>
      </c>
      <c r="GF80" s="37" t="str">
        <v>MB</v>
      </c>
      <c r="GI80" s="37">
        <v>1</v>
      </c>
      <c r="GJ80" s="37">
        <v>1</v>
      </c>
      <c r="GK80" s="37">
        <v>20</v>
      </c>
      <c r="GL80" s="37">
        <v>20</v>
      </c>
      <c r="GM80" s="37">
        <v>1</v>
      </c>
      <c r="GP80" s="37" t="str">
        <v>MB</v>
      </c>
      <c r="GQ80" s="37" t="str">
        <v>MB</v>
      </c>
      <c r="GR80" s="37" t="str">
        <v>F5</v>
      </c>
      <c r="GS80" s="37" t="str">
        <v>M3</v>
      </c>
      <c r="GT80" s="37" t="str">
        <v>MB</v>
      </c>
      <c r="GW80" s="37">
        <v>1</v>
      </c>
      <c r="GX80" s="37">
        <v>1</v>
      </c>
      <c r="GY80" s="37">
        <v>20</v>
      </c>
      <c r="GZ80" s="37">
        <v>20</v>
      </c>
      <c r="HA80" s="37">
        <v>1</v>
      </c>
      <c r="HD80" s="37" t="str">
        <v>MB</v>
      </c>
      <c r="HE80" s="37" t="str">
        <v>MB</v>
      </c>
      <c r="HF80" s="37" t="str">
        <v>F5</v>
      </c>
      <c r="HG80" s="37" t="str">
        <v>M3</v>
      </c>
      <c r="HH80" s="37" t="str">
        <v>MB</v>
      </c>
      <c r="HK80" s="37">
        <v>1</v>
      </c>
      <c r="HL80" s="37">
        <v>1</v>
      </c>
      <c r="HM80" s="37">
        <v>20</v>
      </c>
      <c r="HN80" s="37">
        <v>20</v>
      </c>
      <c r="HO80" s="37">
        <v>1</v>
      </c>
    </row>
    <row r="81" spans="2:223" x14ac:dyDescent="0.35">
      <c r="B81" s="37" t="str">
        <v>F9</v>
      </c>
      <c r="C81" s="37" t="str">
        <v>MB</v>
      </c>
      <c r="D81" s="37" t="str">
        <v>M1</v>
      </c>
      <c r="E81" s="37" t="str">
        <v>M3</v>
      </c>
      <c r="F81" s="37" t="str">
        <v>MB</v>
      </c>
      <c r="I81" s="37">
        <v>1</v>
      </c>
      <c r="J81" s="37">
        <v>1</v>
      </c>
      <c r="K81" s="37">
        <v>20</v>
      </c>
      <c r="L81" s="37">
        <v>20</v>
      </c>
      <c r="M81" s="37">
        <v>1</v>
      </c>
      <c r="P81" s="37" t="str">
        <v>F9</v>
      </c>
      <c r="Q81" s="37" t="str">
        <v>MB</v>
      </c>
      <c r="R81" s="37" t="str">
        <v>M1</v>
      </c>
      <c r="S81" s="37" t="str">
        <v>M3</v>
      </c>
      <c r="T81" s="37" t="str">
        <v>MB</v>
      </c>
      <c r="W81" s="37">
        <v>1</v>
      </c>
      <c r="X81" s="37">
        <v>1</v>
      </c>
      <c r="Y81" s="37">
        <v>20</v>
      </c>
      <c r="Z81" s="37">
        <v>20</v>
      </c>
      <c r="AA81" s="37">
        <v>1</v>
      </c>
      <c r="AD81" s="37" t="str">
        <v>F9</v>
      </c>
      <c r="AE81" s="37" t="str">
        <v>MB</v>
      </c>
      <c r="AF81" s="37" t="str">
        <v>M1</v>
      </c>
      <c r="AG81" s="37" t="str">
        <v>M3</v>
      </c>
      <c r="AH81" s="37" t="str">
        <v>MB</v>
      </c>
      <c r="AK81" s="37">
        <v>1</v>
      </c>
      <c r="AL81" s="37">
        <v>1</v>
      </c>
      <c r="AM81" s="37">
        <v>20</v>
      </c>
      <c r="AN81" s="37">
        <v>20</v>
      </c>
      <c r="AO81" s="37">
        <v>1</v>
      </c>
      <c r="AR81" s="37" t="str">
        <v>F9</v>
      </c>
      <c r="AS81" s="37" t="str">
        <v>MB</v>
      </c>
      <c r="AT81" s="37" t="str">
        <v>M1</v>
      </c>
      <c r="AU81" s="37" t="str">
        <v>M3</v>
      </c>
      <c r="AV81" s="37" t="str">
        <v>MB</v>
      </c>
      <c r="AY81" s="37">
        <v>1</v>
      </c>
      <c r="AZ81" s="37">
        <v>1</v>
      </c>
      <c r="BA81" s="37">
        <v>20</v>
      </c>
      <c r="BB81" s="37">
        <v>20</v>
      </c>
      <c r="BC81" s="37">
        <v>1</v>
      </c>
      <c r="BF81" s="37" t="str">
        <v>F9</v>
      </c>
      <c r="BG81" s="37" t="str">
        <v>MB</v>
      </c>
      <c r="BH81" s="37" t="str">
        <v>M1</v>
      </c>
      <c r="BI81" s="37" t="str">
        <v>M3</v>
      </c>
      <c r="BJ81" s="37" t="str">
        <v>MB</v>
      </c>
      <c r="BM81" s="37">
        <v>5000</v>
      </c>
      <c r="BN81" s="37">
        <v>1</v>
      </c>
      <c r="BO81" s="37">
        <v>20</v>
      </c>
      <c r="BP81" s="37">
        <v>20</v>
      </c>
      <c r="BQ81" s="37">
        <v>1</v>
      </c>
      <c r="BT81" s="37" t="str">
        <v>F9</v>
      </c>
      <c r="BU81" s="37" t="str">
        <v>MB</v>
      </c>
      <c r="BV81" s="37" t="str">
        <v>M1</v>
      </c>
      <c r="BW81" s="37" t="str">
        <v>M3</v>
      </c>
      <c r="BX81" s="37" t="str">
        <v>MB</v>
      </c>
      <c r="CA81" s="37">
        <v>1</v>
      </c>
      <c r="CB81" s="37">
        <v>1</v>
      </c>
      <c r="CC81" s="37">
        <v>20</v>
      </c>
      <c r="CD81" s="37">
        <v>20</v>
      </c>
      <c r="CE81" s="37">
        <v>1</v>
      </c>
      <c r="CH81" s="37" t="str">
        <v>F9</v>
      </c>
      <c r="CI81" s="37" t="str">
        <v>MB</v>
      </c>
      <c r="CJ81" s="37" t="str">
        <v>M1</v>
      </c>
      <c r="CK81" s="37" t="str">
        <v>M3</v>
      </c>
      <c r="CL81" s="37" t="str">
        <v>MB</v>
      </c>
      <c r="CO81" s="37">
        <v>1</v>
      </c>
      <c r="CP81" s="37">
        <v>1</v>
      </c>
      <c r="CQ81" s="37">
        <v>20</v>
      </c>
      <c r="CR81" s="37">
        <v>20</v>
      </c>
      <c r="CS81" s="37">
        <v>1</v>
      </c>
      <c r="CV81" s="37" t="str">
        <v>F9</v>
      </c>
      <c r="CW81" s="37" t="str">
        <v>MB</v>
      </c>
      <c r="CX81" s="37" t="str">
        <v>M1</v>
      </c>
      <c r="CY81" s="37" t="str">
        <v>M3</v>
      </c>
      <c r="CZ81" s="37" t="str">
        <v>MB</v>
      </c>
      <c r="DC81" s="37">
        <v>1</v>
      </c>
      <c r="DD81" s="37">
        <v>1</v>
      </c>
      <c r="DE81" s="37">
        <v>20</v>
      </c>
      <c r="DF81" s="37">
        <v>20</v>
      </c>
      <c r="DG81" s="37">
        <v>4000</v>
      </c>
      <c r="DJ81" s="37" t="str">
        <v>F9</v>
      </c>
      <c r="DK81" s="37" t="str">
        <v>MB</v>
      </c>
      <c r="DL81" s="37" t="str">
        <v>M1</v>
      </c>
      <c r="DM81" s="37" t="str">
        <v>M3</v>
      </c>
      <c r="DN81" s="37" t="str">
        <v>MB</v>
      </c>
      <c r="DQ81" s="37">
        <v>4000</v>
      </c>
      <c r="DR81" s="37">
        <v>1</v>
      </c>
      <c r="DS81" s="37">
        <v>20</v>
      </c>
      <c r="DT81" s="37">
        <v>20</v>
      </c>
      <c r="DU81" s="37">
        <v>1</v>
      </c>
      <c r="DX81" s="37" t="str">
        <v>F9</v>
      </c>
      <c r="DY81" s="37" t="str">
        <v>MB</v>
      </c>
      <c r="DZ81" s="37" t="str">
        <v>M1</v>
      </c>
      <c r="EA81" s="37" t="str">
        <v>M3</v>
      </c>
      <c r="EB81" s="37" t="str">
        <v>MB</v>
      </c>
      <c r="EE81" s="37">
        <v>8000</v>
      </c>
      <c r="EF81" s="37">
        <v>1</v>
      </c>
      <c r="EG81" s="37">
        <v>20</v>
      </c>
      <c r="EH81" s="37">
        <v>20</v>
      </c>
      <c r="EI81" s="37">
        <v>8000</v>
      </c>
      <c r="EL81" s="37" t="str">
        <v>F9</v>
      </c>
      <c r="EM81" s="37" t="str">
        <v>MB</v>
      </c>
      <c r="EN81" s="37" t="str">
        <v>M1</v>
      </c>
      <c r="EO81" s="37" t="str">
        <v>M3</v>
      </c>
      <c r="EP81" s="37" t="str">
        <v>MB</v>
      </c>
      <c r="ES81" s="37">
        <v>1</v>
      </c>
      <c r="ET81" s="37">
        <v>1</v>
      </c>
      <c r="EU81" s="37">
        <v>20</v>
      </c>
      <c r="EV81" s="37">
        <v>20</v>
      </c>
      <c r="EW81" s="37">
        <v>2000</v>
      </c>
      <c r="EZ81" s="37" t="str">
        <v>F9</v>
      </c>
      <c r="FA81" s="37" t="str">
        <v>MB</v>
      </c>
      <c r="FB81" s="37" t="str">
        <v>M1</v>
      </c>
      <c r="FC81" s="37" t="str">
        <v>M3</v>
      </c>
      <c r="FD81" s="37" t="str">
        <v>MB</v>
      </c>
      <c r="FG81" s="37">
        <v>1</v>
      </c>
      <c r="FH81" s="37">
        <v>1</v>
      </c>
      <c r="FI81" s="37">
        <v>20</v>
      </c>
      <c r="FJ81" s="37">
        <v>20</v>
      </c>
      <c r="FK81" s="37">
        <v>8000</v>
      </c>
      <c r="FN81" s="37" t="str">
        <v>F9</v>
      </c>
      <c r="FO81" s="37" t="str">
        <v>MB</v>
      </c>
      <c r="FP81" s="37" t="str">
        <v>M1</v>
      </c>
      <c r="FQ81" s="37" t="str">
        <v>M3</v>
      </c>
      <c r="FR81" s="37" t="str">
        <v>MB</v>
      </c>
      <c r="FU81" s="37">
        <v>1</v>
      </c>
      <c r="FV81" s="37">
        <v>1</v>
      </c>
      <c r="FW81" s="37">
        <v>20</v>
      </c>
      <c r="FX81" s="37">
        <v>20</v>
      </c>
      <c r="FY81" s="37">
        <v>4000</v>
      </c>
      <c r="GB81" s="37" t="str">
        <v>F9</v>
      </c>
      <c r="GC81" s="37" t="str">
        <v>MB</v>
      </c>
      <c r="GD81" s="37" t="str">
        <v>M1</v>
      </c>
      <c r="GE81" s="37" t="str">
        <v>M3</v>
      </c>
      <c r="GF81" s="37" t="str">
        <v>MB</v>
      </c>
      <c r="GI81" s="37">
        <v>1</v>
      </c>
      <c r="GJ81" s="37">
        <v>1</v>
      </c>
      <c r="GK81" s="37">
        <v>20</v>
      </c>
      <c r="GL81" s="37">
        <v>20</v>
      </c>
      <c r="GM81" s="37">
        <v>4000</v>
      </c>
      <c r="GP81" s="37" t="str">
        <v>F9</v>
      </c>
      <c r="GQ81" s="37" t="str">
        <v>MB</v>
      </c>
      <c r="GR81" s="37" t="str">
        <v>M1</v>
      </c>
      <c r="GS81" s="37" t="str">
        <v>M3</v>
      </c>
      <c r="GT81" s="37" t="str">
        <v>MB</v>
      </c>
      <c r="GW81" s="37">
        <v>1</v>
      </c>
      <c r="GX81" s="37">
        <v>10000</v>
      </c>
      <c r="GY81" s="37">
        <v>20</v>
      </c>
      <c r="GZ81" s="37">
        <v>20</v>
      </c>
      <c r="HA81" s="37">
        <v>10000</v>
      </c>
      <c r="HD81" s="37" t="str">
        <v>F9</v>
      </c>
      <c r="HE81" s="37" t="str">
        <v>MB</v>
      </c>
      <c r="HF81" s="37" t="str">
        <v>M1</v>
      </c>
      <c r="HG81" s="37" t="str">
        <v>M3</v>
      </c>
      <c r="HH81" s="37" t="str">
        <v>MB</v>
      </c>
      <c r="HK81" s="37">
        <v>1</v>
      </c>
      <c r="HL81" s="37">
        <v>100000000</v>
      </c>
      <c r="HM81" s="37">
        <v>20</v>
      </c>
      <c r="HN81" s="37">
        <v>20</v>
      </c>
      <c r="HO81" s="37">
        <v>100000000</v>
      </c>
    </row>
    <row r="82" spans="2:223" x14ac:dyDescent="0.35">
      <c r="B82" s="37" t="str">
        <v>F8</v>
      </c>
      <c r="C82" s="37" t="str">
        <v>MB</v>
      </c>
      <c r="D82" s="37" t="str">
        <v>M3</v>
      </c>
      <c r="E82" s="37" t="str">
        <v>F6</v>
      </c>
      <c r="F82" s="37" t="str">
        <v>MB</v>
      </c>
      <c r="I82" s="37">
        <v>20</v>
      </c>
      <c r="J82" s="37">
        <v>1</v>
      </c>
      <c r="K82" s="37">
        <v>20</v>
      </c>
      <c r="L82" s="37">
        <v>20</v>
      </c>
      <c r="M82" s="37">
        <v>1</v>
      </c>
      <c r="P82" s="37" t="str">
        <v>F8</v>
      </c>
      <c r="Q82" s="37" t="str">
        <v>MB</v>
      </c>
      <c r="R82" s="37" t="str">
        <v>M3</v>
      </c>
      <c r="S82" s="37" t="str">
        <v>F6</v>
      </c>
      <c r="T82" s="37" t="str">
        <v>MB</v>
      </c>
      <c r="W82" s="37">
        <v>20</v>
      </c>
      <c r="X82" s="37">
        <v>1</v>
      </c>
      <c r="Y82" s="37">
        <v>20</v>
      </c>
      <c r="Z82" s="37">
        <v>20</v>
      </c>
      <c r="AA82" s="37">
        <v>1</v>
      </c>
      <c r="AD82" s="37" t="str">
        <v>F8</v>
      </c>
      <c r="AE82" s="37" t="str">
        <v>MB</v>
      </c>
      <c r="AF82" s="37" t="str">
        <v>M3</v>
      </c>
      <c r="AG82" s="37" t="str">
        <v>F6</v>
      </c>
      <c r="AH82" s="37" t="str">
        <v>MB</v>
      </c>
      <c r="AK82" s="37">
        <v>20</v>
      </c>
      <c r="AL82" s="37">
        <v>1</v>
      </c>
      <c r="AM82" s="37">
        <v>20</v>
      </c>
      <c r="AN82" s="37">
        <v>20</v>
      </c>
      <c r="AO82" s="37">
        <v>1</v>
      </c>
      <c r="AR82" s="37" t="str">
        <v>F8</v>
      </c>
      <c r="AS82" s="37" t="str">
        <v>MB</v>
      </c>
      <c r="AT82" s="37" t="str">
        <v>M3</v>
      </c>
      <c r="AU82" s="37" t="str">
        <v>F6</v>
      </c>
      <c r="AV82" s="37" t="str">
        <v>MB</v>
      </c>
      <c r="AY82" s="37">
        <v>20</v>
      </c>
      <c r="AZ82" s="37">
        <v>1</v>
      </c>
      <c r="BA82" s="37">
        <v>20</v>
      </c>
      <c r="BB82" s="37">
        <v>20</v>
      </c>
      <c r="BC82" s="37">
        <v>1</v>
      </c>
      <c r="BF82" s="37" t="str">
        <v>F8</v>
      </c>
      <c r="BG82" s="37" t="str">
        <v>MB</v>
      </c>
      <c r="BH82" s="37" t="str">
        <v>M3</v>
      </c>
      <c r="BI82" s="37" t="str">
        <v>F6</v>
      </c>
      <c r="BJ82" s="37" t="str">
        <v>MB</v>
      </c>
      <c r="BM82" s="37">
        <v>20</v>
      </c>
      <c r="BN82" s="37">
        <v>1</v>
      </c>
      <c r="BO82" s="37">
        <v>20</v>
      </c>
      <c r="BP82" s="37">
        <v>20</v>
      </c>
      <c r="BQ82" s="37">
        <v>1</v>
      </c>
      <c r="BT82" s="37" t="str">
        <v>F8</v>
      </c>
      <c r="BU82" s="37" t="str">
        <v>MB</v>
      </c>
      <c r="BV82" s="37" t="str">
        <v>M3</v>
      </c>
      <c r="BW82" s="37" t="str">
        <v>F6</v>
      </c>
      <c r="BX82" s="37" t="str">
        <v>MB</v>
      </c>
      <c r="CA82" s="37">
        <v>20</v>
      </c>
      <c r="CB82" s="37">
        <v>1</v>
      </c>
      <c r="CC82" s="37">
        <v>20</v>
      </c>
      <c r="CD82" s="37">
        <v>20</v>
      </c>
      <c r="CE82" s="37">
        <v>1</v>
      </c>
      <c r="CH82" s="37" t="str">
        <v>F8</v>
      </c>
      <c r="CI82" s="37" t="str">
        <v>MB</v>
      </c>
      <c r="CJ82" s="37" t="str">
        <v>M3</v>
      </c>
      <c r="CK82" s="37" t="str">
        <v>F6</v>
      </c>
      <c r="CL82" s="37" t="str">
        <v>MB</v>
      </c>
      <c r="CO82" s="37">
        <v>20</v>
      </c>
      <c r="CP82" s="37">
        <v>1</v>
      </c>
      <c r="CQ82" s="37">
        <v>20</v>
      </c>
      <c r="CR82" s="37">
        <v>20</v>
      </c>
      <c r="CS82" s="37">
        <v>1</v>
      </c>
      <c r="CV82" s="37" t="str">
        <v>F8</v>
      </c>
      <c r="CW82" s="37" t="str">
        <v>MB</v>
      </c>
      <c r="CX82" s="37" t="str">
        <v>M3</v>
      </c>
      <c r="CY82" s="37" t="str">
        <v>F6</v>
      </c>
      <c r="CZ82" s="37" t="str">
        <v>MB</v>
      </c>
      <c r="DC82" s="37">
        <v>20</v>
      </c>
      <c r="DD82" s="37">
        <v>1</v>
      </c>
      <c r="DE82" s="37">
        <v>20</v>
      </c>
      <c r="DF82" s="37">
        <v>20</v>
      </c>
      <c r="DG82" s="37">
        <v>1</v>
      </c>
      <c r="DJ82" s="37" t="str">
        <v>F8</v>
      </c>
      <c r="DK82" s="37" t="str">
        <v>MB</v>
      </c>
      <c r="DL82" s="37" t="str">
        <v>M3</v>
      </c>
      <c r="DM82" s="37" t="str">
        <v>F6</v>
      </c>
      <c r="DN82" s="37" t="str">
        <v>MB</v>
      </c>
      <c r="DQ82" s="37">
        <v>20</v>
      </c>
      <c r="DR82" s="37">
        <v>1</v>
      </c>
      <c r="DS82" s="37">
        <v>20</v>
      </c>
      <c r="DT82" s="37">
        <v>20</v>
      </c>
      <c r="DU82" s="37">
        <v>1</v>
      </c>
      <c r="DX82" s="37" t="str">
        <v>F8</v>
      </c>
      <c r="DY82" s="37" t="str">
        <v>MB</v>
      </c>
      <c r="DZ82" s="37" t="str">
        <v>M3</v>
      </c>
      <c r="EA82" s="37" t="str">
        <v>F6</v>
      </c>
      <c r="EB82" s="37" t="str">
        <v>MB</v>
      </c>
      <c r="EE82" s="37">
        <v>20</v>
      </c>
      <c r="EF82" s="37">
        <v>1</v>
      </c>
      <c r="EG82" s="37">
        <v>20</v>
      </c>
      <c r="EH82" s="37">
        <v>20</v>
      </c>
      <c r="EI82" s="37">
        <v>1</v>
      </c>
      <c r="EL82" s="37" t="str">
        <v>F8</v>
      </c>
      <c r="EM82" s="37" t="str">
        <v>MB</v>
      </c>
      <c r="EN82" s="37" t="str">
        <v>M3</v>
      </c>
      <c r="EO82" s="37" t="str">
        <v>F6</v>
      </c>
      <c r="EP82" s="37" t="str">
        <v>MB</v>
      </c>
      <c r="ES82" s="37">
        <v>20</v>
      </c>
      <c r="ET82" s="37">
        <v>1</v>
      </c>
      <c r="EU82" s="37">
        <v>20</v>
      </c>
      <c r="EV82" s="37">
        <v>20</v>
      </c>
      <c r="EW82" s="37">
        <v>1</v>
      </c>
      <c r="EZ82" s="37" t="str">
        <v>F8</v>
      </c>
      <c r="FA82" s="37" t="str">
        <v>MB</v>
      </c>
      <c r="FB82" s="37" t="str">
        <v>M3</v>
      </c>
      <c r="FC82" s="37" t="str">
        <v>F6</v>
      </c>
      <c r="FD82" s="37" t="str">
        <v>MB</v>
      </c>
      <c r="FG82" s="37">
        <v>20</v>
      </c>
      <c r="FH82" s="37">
        <v>1</v>
      </c>
      <c r="FI82" s="37">
        <v>20</v>
      </c>
      <c r="FJ82" s="37">
        <v>20</v>
      </c>
      <c r="FK82" s="37">
        <v>1</v>
      </c>
      <c r="FN82" s="37" t="str">
        <v>F8</v>
      </c>
      <c r="FO82" s="37" t="str">
        <v>MB</v>
      </c>
      <c r="FP82" s="37" t="str">
        <v>M3</v>
      </c>
      <c r="FQ82" s="37" t="str">
        <v>F6</v>
      </c>
      <c r="FR82" s="37" t="str">
        <v>MB</v>
      </c>
      <c r="FU82" s="37">
        <v>20</v>
      </c>
      <c r="FV82" s="37">
        <v>1</v>
      </c>
      <c r="FW82" s="37">
        <v>20</v>
      </c>
      <c r="FX82" s="37">
        <v>20</v>
      </c>
      <c r="FY82" s="37">
        <v>1</v>
      </c>
      <c r="GB82" s="37" t="str">
        <v>F8</v>
      </c>
      <c r="GC82" s="37" t="str">
        <v>MB</v>
      </c>
      <c r="GD82" s="37" t="str">
        <v>M3</v>
      </c>
      <c r="GE82" s="37" t="str">
        <v>F6</v>
      </c>
      <c r="GF82" s="37" t="str">
        <v>MB</v>
      </c>
      <c r="GI82" s="37">
        <v>20</v>
      </c>
      <c r="GJ82" s="37">
        <v>1</v>
      </c>
      <c r="GK82" s="37">
        <v>20</v>
      </c>
      <c r="GL82" s="37">
        <v>20</v>
      </c>
      <c r="GM82" s="37">
        <v>1</v>
      </c>
      <c r="GP82" s="37" t="str">
        <v>F8</v>
      </c>
      <c r="GQ82" s="37" t="str">
        <v>MB</v>
      </c>
      <c r="GR82" s="37" t="str">
        <v>M3</v>
      </c>
      <c r="GS82" s="37" t="str">
        <v>F6</v>
      </c>
      <c r="GT82" s="37" t="str">
        <v>MB</v>
      </c>
      <c r="GW82" s="37">
        <v>20</v>
      </c>
      <c r="GX82" s="37">
        <v>1</v>
      </c>
      <c r="GY82" s="37">
        <v>20</v>
      </c>
      <c r="GZ82" s="37">
        <v>20</v>
      </c>
      <c r="HA82" s="37">
        <v>1</v>
      </c>
      <c r="HD82" s="37" t="str">
        <v>F8</v>
      </c>
      <c r="HE82" s="37" t="str">
        <v>MB</v>
      </c>
      <c r="HF82" s="37" t="str">
        <v>M3</v>
      </c>
      <c r="HG82" s="37" t="str">
        <v>F6</v>
      </c>
      <c r="HH82" s="37" t="str">
        <v>MB</v>
      </c>
      <c r="HK82" s="37">
        <v>20</v>
      </c>
      <c r="HL82" s="37">
        <v>1</v>
      </c>
      <c r="HM82" s="37">
        <v>20</v>
      </c>
      <c r="HN82" s="37">
        <v>20</v>
      </c>
      <c r="HO82" s="37">
        <v>1</v>
      </c>
    </row>
    <row r="83" spans="2:223" x14ac:dyDescent="0.35">
      <c r="B83" s="37" t="str">
        <v>M3</v>
      </c>
      <c r="C83" s="37" t="str">
        <v>M4</v>
      </c>
      <c r="D83" s="37" t="str">
        <v>F7</v>
      </c>
      <c r="E83" s="37" t="str">
        <v>F6</v>
      </c>
      <c r="F83" s="37" t="str">
        <v>M4</v>
      </c>
      <c r="I83" s="37">
        <v>20</v>
      </c>
      <c r="J83" s="37">
        <v>1</v>
      </c>
      <c r="K83" s="37">
        <v>1</v>
      </c>
      <c r="L83" s="37">
        <v>1</v>
      </c>
      <c r="M83" s="37">
        <v>1</v>
      </c>
      <c r="P83" s="37" t="str">
        <v>M3</v>
      </c>
      <c r="Q83" s="37" t="str">
        <v>M4</v>
      </c>
      <c r="R83" s="37" t="str">
        <v>F7</v>
      </c>
      <c r="S83" s="37" t="str">
        <v>F6</v>
      </c>
      <c r="T83" s="37" t="str">
        <v>M4</v>
      </c>
      <c r="W83" s="37">
        <v>20</v>
      </c>
      <c r="X83" s="37">
        <v>1</v>
      </c>
      <c r="Y83" s="37">
        <v>1</v>
      </c>
      <c r="Z83" s="37">
        <v>1</v>
      </c>
      <c r="AA83" s="37">
        <v>1</v>
      </c>
      <c r="AD83" s="37" t="str">
        <v>M3</v>
      </c>
      <c r="AE83" s="37" t="str">
        <v>M4</v>
      </c>
      <c r="AF83" s="37" t="str">
        <v>F7</v>
      </c>
      <c r="AG83" s="37" t="str">
        <v>F6</v>
      </c>
      <c r="AH83" s="37" t="str">
        <v>M4</v>
      </c>
      <c r="AK83" s="37">
        <v>20</v>
      </c>
      <c r="AL83" s="37">
        <v>1</v>
      </c>
      <c r="AM83" s="37">
        <v>1</v>
      </c>
      <c r="AN83" s="37">
        <v>2000</v>
      </c>
      <c r="AO83" s="37">
        <v>1</v>
      </c>
      <c r="AR83" s="37" t="str">
        <v>M3</v>
      </c>
      <c r="AS83" s="37" t="str">
        <v>M4</v>
      </c>
      <c r="AT83" s="37" t="str">
        <v>F7</v>
      </c>
      <c r="AU83" s="37" t="str">
        <v>F6</v>
      </c>
      <c r="AV83" s="37" t="str">
        <v>M4</v>
      </c>
      <c r="AY83" s="37">
        <v>20</v>
      </c>
      <c r="AZ83" s="37">
        <v>1</v>
      </c>
      <c r="BA83" s="37">
        <v>1</v>
      </c>
      <c r="BB83" s="37">
        <v>1</v>
      </c>
      <c r="BC83" s="37">
        <v>1</v>
      </c>
      <c r="BF83" s="37" t="str">
        <v>M3</v>
      </c>
      <c r="BG83" s="37" t="str">
        <v>M4</v>
      </c>
      <c r="BH83" s="37" t="str">
        <v>F7</v>
      </c>
      <c r="BI83" s="37" t="str">
        <v>F6</v>
      </c>
      <c r="BJ83" s="37" t="str">
        <v>M4</v>
      </c>
      <c r="BM83" s="37">
        <v>20</v>
      </c>
      <c r="BN83" s="37">
        <v>1</v>
      </c>
      <c r="BO83" s="37">
        <v>1</v>
      </c>
      <c r="BP83" s="37">
        <v>1</v>
      </c>
      <c r="BQ83" s="37">
        <v>1</v>
      </c>
      <c r="BT83" s="37" t="str">
        <v>M3</v>
      </c>
      <c r="BU83" s="37" t="str">
        <v>M4</v>
      </c>
      <c r="BV83" s="37" t="str">
        <v>F7</v>
      </c>
      <c r="BW83" s="37" t="str">
        <v>F6</v>
      </c>
      <c r="BX83" s="37" t="str">
        <v>M4</v>
      </c>
      <c r="CA83" s="37">
        <v>20</v>
      </c>
      <c r="CB83" s="37">
        <v>1</v>
      </c>
      <c r="CC83" s="37">
        <v>1</v>
      </c>
      <c r="CD83" s="37">
        <v>4000</v>
      </c>
      <c r="CE83" s="37">
        <v>1</v>
      </c>
      <c r="CH83" s="37" t="str">
        <v>M3</v>
      </c>
      <c r="CI83" s="37" t="str">
        <v>M4</v>
      </c>
      <c r="CJ83" s="37" t="str">
        <v>F7</v>
      </c>
      <c r="CK83" s="37" t="str">
        <v>F6</v>
      </c>
      <c r="CL83" s="37" t="str">
        <v>M4</v>
      </c>
      <c r="CO83" s="37">
        <v>20</v>
      </c>
      <c r="CP83" s="37">
        <v>1</v>
      </c>
      <c r="CQ83" s="37">
        <v>1</v>
      </c>
      <c r="CR83" s="37">
        <v>1</v>
      </c>
      <c r="CS83" s="37">
        <v>1</v>
      </c>
      <c r="CV83" s="37" t="str">
        <v>M3</v>
      </c>
      <c r="CW83" s="37" t="str">
        <v>M4</v>
      </c>
      <c r="CX83" s="37" t="str">
        <v>F7</v>
      </c>
      <c r="CY83" s="37" t="str">
        <v>F6</v>
      </c>
      <c r="CZ83" s="37" t="str">
        <v>M4</v>
      </c>
      <c r="DC83" s="37">
        <v>20</v>
      </c>
      <c r="DD83" s="37">
        <v>1</v>
      </c>
      <c r="DE83" s="37">
        <v>1</v>
      </c>
      <c r="DF83" s="37">
        <v>1</v>
      </c>
      <c r="DG83" s="37">
        <v>1</v>
      </c>
      <c r="DJ83" s="37" t="str">
        <v>M3</v>
      </c>
      <c r="DK83" s="37" t="str">
        <v>M4</v>
      </c>
      <c r="DL83" s="37" t="str">
        <v>F7</v>
      </c>
      <c r="DM83" s="37" t="str">
        <v>F6</v>
      </c>
      <c r="DN83" s="37" t="str">
        <v>M4</v>
      </c>
      <c r="DQ83" s="37">
        <v>20</v>
      </c>
      <c r="DR83" s="37">
        <v>1</v>
      </c>
      <c r="DS83" s="37">
        <v>1</v>
      </c>
      <c r="DT83" s="37">
        <v>1</v>
      </c>
      <c r="DU83" s="37">
        <v>1</v>
      </c>
      <c r="DX83" s="37" t="str">
        <v>M3</v>
      </c>
      <c r="DY83" s="37" t="str">
        <v>M4</v>
      </c>
      <c r="DZ83" s="37" t="str">
        <v>F7</v>
      </c>
      <c r="EA83" s="37" t="str">
        <v>F6</v>
      </c>
      <c r="EB83" s="37" t="str">
        <v>M4</v>
      </c>
      <c r="EE83" s="37">
        <v>20</v>
      </c>
      <c r="EF83" s="37">
        <v>1</v>
      </c>
      <c r="EG83" s="37">
        <v>1</v>
      </c>
      <c r="EH83" s="37">
        <v>1</v>
      </c>
      <c r="EI83" s="37">
        <v>1</v>
      </c>
      <c r="EL83" s="37" t="str">
        <v>M3</v>
      </c>
      <c r="EM83" s="37" t="str">
        <v>M4</v>
      </c>
      <c r="EN83" s="37" t="str">
        <v>F7</v>
      </c>
      <c r="EO83" s="37" t="str">
        <v>F6</v>
      </c>
      <c r="EP83" s="37" t="str">
        <v>M4</v>
      </c>
      <c r="ES83" s="37">
        <v>20</v>
      </c>
      <c r="ET83" s="37">
        <v>1</v>
      </c>
      <c r="EU83" s="37">
        <v>1</v>
      </c>
      <c r="EV83" s="37">
        <v>1</v>
      </c>
      <c r="EW83" s="37">
        <v>1</v>
      </c>
      <c r="EZ83" s="37" t="str">
        <v>M3</v>
      </c>
      <c r="FA83" s="37" t="str">
        <v>M4</v>
      </c>
      <c r="FB83" s="37" t="str">
        <v>F7</v>
      </c>
      <c r="FC83" s="37" t="str">
        <v>F6</v>
      </c>
      <c r="FD83" s="37" t="str">
        <v>M4</v>
      </c>
      <c r="FG83" s="37">
        <v>20</v>
      </c>
      <c r="FH83" s="37">
        <v>1</v>
      </c>
      <c r="FI83" s="37">
        <v>1</v>
      </c>
      <c r="FJ83" s="37">
        <v>1</v>
      </c>
      <c r="FK83" s="37">
        <v>1</v>
      </c>
      <c r="FN83" s="37" t="str">
        <v>M3</v>
      </c>
      <c r="FO83" s="37" t="str">
        <v>M4</v>
      </c>
      <c r="FP83" s="37" t="str">
        <v>F7</v>
      </c>
      <c r="FQ83" s="37" t="str">
        <v>F6</v>
      </c>
      <c r="FR83" s="37" t="str">
        <v>M4</v>
      </c>
      <c r="FU83" s="37">
        <v>20</v>
      </c>
      <c r="FV83" s="37">
        <v>1</v>
      </c>
      <c r="FW83" s="37">
        <v>1</v>
      </c>
      <c r="FX83" s="37">
        <v>1</v>
      </c>
      <c r="FY83" s="37">
        <v>1</v>
      </c>
      <c r="GB83" s="37" t="str">
        <v>M3</v>
      </c>
      <c r="GC83" s="37" t="str">
        <v>M4</v>
      </c>
      <c r="GD83" s="37" t="str">
        <v>F7</v>
      </c>
      <c r="GE83" s="37" t="str">
        <v>F6</v>
      </c>
      <c r="GF83" s="37" t="str">
        <v>M4</v>
      </c>
      <c r="GI83" s="37">
        <v>20</v>
      </c>
      <c r="GJ83" s="37">
        <v>1</v>
      </c>
      <c r="GK83" s="37">
        <v>1</v>
      </c>
      <c r="GL83" s="37">
        <v>1</v>
      </c>
      <c r="GM83" s="37">
        <v>1</v>
      </c>
      <c r="GP83" s="37" t="str">
        <v>M3</v>
      </c>
      <c r="GQ83" s="37" t="str">
        <v>M4</v>
      </c>
      <c r="GR83" s="37" t="str">
        <v>F7</v>
      </c>
      <c r="GS83" s="37" t="str">
        <v>F6</v>
      </c>
      <c r="GT83" s="37" t="str">
        <v>M4</v>
      </c>
      <c r="GW83" s="37">
        <v>20</v>
      </c>
      <c r="GX83" s="37">
        <v>1</v>
      </c>
      <c r="GY83" s="37">
        <v>1</v>
      </c>
      <c r="GZ83" s="37">
        <v>1</v>
      </c>
      <c r="HA83" s="37">
        <v>1</v>
      </c>
      <c r="HD83" s="37" t="str">
        <v>M3</v>
      </c>
      <c r="HE83" s="37" t="str">
        <v>M4</v>
      </c>
      <c r="HF83" s="37" t="str">
        <v>F7</v>
      </c>
      <c r="HG83" s="37" t="str">
        <v>F6</v>
      </c>
      <c r="HH83" s="37" t="str">
        <v>M4</v>
      </c>
      <c r="HK83" s="37">
        <v>20</v>
      </c>
      <c r="HL83" s="37">
        <v>1</v>
      </c>
      <c r="HM83" s="37">
        <v>1</v>
      </c>
      <c r="HN83" s="37">
        <v>1</v>
      </c>
      <c r="HO83" s="37">
        <v>1</v>
      </c>
    </row>
    <row r="84" spans="2:223" x14ac:dyDescent="0.35">
      <c r="B84" s="37" t="str">
        <v>M3</v>
      </c>
      <c r="C84" s="37" t="str">
        <v>F7</v>
      </c>
      <c r="D84" s="37" t="str">
        <v>MB</v>
      </c>
      <c r="E84" s="37" t="str">
        <v>MB</v>
      </c>
      <c r="F84" s="37" t="str">
        <v>F6</v>
      </c>
      <c r="I84" s="37">
        <v>1</v>
      </c>
      <c r="J84" s="37">
        <v>20</v>
      </c>
      <c r="K84" s="37">
        <v>1</v>
      </c>
      <c r="L84" s="37">
        <v>1</v>
      </c>
      <c r="M84" s="37">
        <v>20</v>
      </c>
      <c r="P84" s="37" t="str">
        <v>M3</v>
      </c>
      <c r="Q84" s="37" t="str">
        <v>F7</v>
      </c>
      <c r="R84" s="37" t="str">
        <v>MB</v>
      </c>
      <c r="S84" s="37" t="str">
        <v>MB</v>
      </c>
      <c r="T84" s="37" t="str">
        <v>F6</v>
      </c>
      <c r="W84" s="37">
        <v>1</v>
      </c>
      <c r="X84" s="37">
        <v>20</v>
      </c>
      <c r="Y84" s="37">
        <v>1</v>
      </c>
      <c r="Z84" s="37">
        <v>1</v>
      </c>
      <c r="AA84" s="37">
        <v>20</v>
      </c>
      <c r="AD84" s="37" t="str">
        <v>M3</v>
      </c>
      <c r="AE84" s="37" t="str">
        <v>F7</v>
      </c>
      <c r="AF84" s="37" t="str">
        <v>MB</v>
      </c>
      <c r="AG84" s="37" t="str">
        <v>MB</v>
      </c>
      <c r="AH84" s="37" t="str">
        <v>F6</v>
      </c>
      <c r="AK84" s="37">
        <v>1</v>
      </c>
      <c r="AL84" s="37">
        <v>20</v>
      </c>
      <c r="AM84" s="37">
        <v>1</v>
      </c>
      <c r="AN84" s="37">
        <v>2000</v>
      </c>
      <c r="AO84" s="37">
        <v>20</v>
      </c>
      <c r="AR84" s="37" t="str">
        <v>M3</v>
      </c>
      <c r="AS84" s="37" t="str">
        <v>F7</v>
      </c>
      <c r="AT84" s="37" t="str">
        <v>MB</v>
      </c>
      <c r="AU84" s="37" t="str">
        <v>MB</v>
      </c>
      <c r="AV84" s="37" t="str">
        <v>F6</v>
      </c>
      <c r="AY84" s="37">
        <v>1</v>
      </c>
      <c r="AZ84" s="37">
        <v>20</v>
      </c>
      <c r="BA84" s="37">
        <v>1</v>
      </c>
      <c r="BB84" s="37">
        <v>1</v>
      </c>
      <c r="BC84" s="37">
        <v>20</v>
      </c>
      <c r="BF84" s="37" t="str">
        <v>M3</v>
      </c>
      <c r="BG84" s="37" t="str">
        <v>F7</v>
      </c>
      <c r="BH84" s="37" t="str">
        <v>MB</v>
      </c>
      <c r="BI84" s="37" t="str">
        <v>MB</v>
      </c>
      <c r="BJ84" s="37" t="str">
        <v>F6</v>
      </c>
      <c r="BM84" s="37">
        <v>1</v>
      </c>
      <c r="BN84" s="37">
        <v>20</v>
      </c>
      <c r="BO84" s="37">
        <v>1</v>
      </c>
      <c r="BP84" s="37">
        <v>1</v>
      </c>
      <c r="BQ84" s="37">
        <v>20</v>
      </c>
      <c r="BT84" s="37" t="str">
        <v>M3</v>
      </c>
      <c r="BU84" s="37" t="str">
        <v>F7</v>
      </c>
      <c r="BV84" s="37" t="str">
        <v>MB</v>
      </c>
      <c r="BW84" s="37" t="str">
        <v>MB</v>
      </c>
      <c r="BX84" s="37" t="str">
        <v>F6</v>
      </c>
      <c r="CA84" s="37">
        <v>1</v>
      </c>
      <c r="CB84" s="37">
        <v>20</v>
      </c>
      <c r="CC84" s="37">
        <v>1</v>
      </c>
      <c r="CD84" s="37">
        <v>4000</v>
      </c>
      <c r="CE84" s="37">
        <v>20</v>
      </c>
      <c r="CH84" s="37" t="str">
        <v>M3</v>
      </c>
      <c r="CI84" s="37" t="str">
        <v>F7</v>
      </c>
      <c r="CJ84" s="37" t="str">
        <v>MB</v>
      </c>
      <c r="CK84" s="37" t="str">
        <v>MB</v>
      </c>
      <c r="CL84" s="37" t="str">
        <v>F6</v>
      </c>
      <c r="CO84" s="37">
        <v>1</v>
      </c>
      <c r="CP84" s="37">
        <v>20</v>
      </c>
      <c r="CQ84" s="37">
        <v>1</v>
      </c>
      <c r="CR84" s="37">
        <v>1</v>
      </c>
      <c r="CS84" s="37">
        <v>20</v>
      </c>
      <c r="CV84" s="37" t="str">
        <v>M3</v>
      </c>
      <c r="CW84" s="37" t="str">
        <v>F7</v>
      </c>
      <c r="CX84" s="37" t="str">
        <v>MB</v>
      </c>
      <c r="CY84" s="37" t="str">
        <v>MB</v>
      </c>
      <c r="CZ84" s="37" t="str">
        <v>F6</v>
      </c>
      <c r="DC84" s="37">
        <v>1</v>
      </c>
      <c r="DD84" s="37">
        <v>20</v>
      </c>
      <c r="DE84" s="37">
        <v>1</v>
      </c>
      <c r="DF84" s="37">
        <v>1</v>
      </c>
      <c r="DG84" s="37">
        <v>20</v>
      </c>
      <c r="DJ84" s="37" t="str">
        <v>M3</v>
      </c>
      <c r="DK84" s="37" t="str">
        <v>F7</v>
      </c>
      <c r="DL84" s="37" t="str">
        <v>MB</v>
      </c>
      <c r="DM84" s="37" t="str">
        <v>MB</v>
      </c>
      <c r="DN84" s="37" t="str">
        <v>F6</v>
      </c>
      <c r="DQ84" s="37">
        <v>1</v>
      </c>
      <c r="DR84" s="37">
        <v>20</v>
      </c>
      <c r="DS84" s="37">
        <v>1</v>
      </c>
      <c r="DT84" s="37">
        <v>1</v>
      </c>
      <c r="DU84" s="37">
        <v>20</v>
      </c>
      <c r="DX84" s="37" t="str">
        <v>M3</v>
      </c>
      <c r="DY84" s="37" t="str">
        <v>F7</v>
      </c>
      <c r="DZ84" s="37" t="str">
        <v>MB</v>
      </c>
      <c r="EA84" s="37" t="str">
        <v>MB</v>
      </c>
      <c r="EB84" s="37" t="str">
        <v>F6</v>
      </c>
      <c r="EE84" s="37">
        <v>1</v>
      </c>
      <c r="EF84" s="37">
        <v>20</v>
      </c>
      <c r="EG84" s="37">
        <v>1</v>
      </c>
      <c r="EH84" s="37">
        <v>1</v>
      </c>
      <c r="EI84" s="37">
        <v>20</v>
      </c>
      <c r="EL84" s="37" t="str">
        <v>M3</v>
      </c>
      <c r="EM84" s="37" t="str">
        <v>F7</v>
      </c>
      <c r="EN84" s="37" t="str">
        <v>MB</v>
      </c>
      <c r="EO84" s="37" t="str">
        <v>MB</v>
      </c>
      <c r="EP84" s="37" t="str">
        <v>F6</v>
      </c>
      <c r="ES84" s="37">
        <v>1</v>
      </c>
      <c r="ET84" s="37">
        <v>20</v>
      </c>
      <c r="EU84" s="37">
        <v>1</v>
      </c>
      <c r="EV84" s="37">
        <v>1</v>
      </c>
      <c r="EW84" s="37">
        <v>20</v>
      </c>
      <c r="EZ84" s="37" t="str">
        <v>M3</v>
      </c>
      <c r="FA84" s="37" t="str">
        <v>F7</v>
      </c>
      <c r="FB84" s="37" t="str">
        <v>MB</v>
      </c>
      <c r="FC84" s="37" t="str">
        <v>MB</v>
      </c>
      <c r="FD84" s="37" t="str">
        <v>F6</v>
      </c>
      <c r="FG84" s="37">
        <v>1</v>
      </c>
      <c r="FH84" s="37">
        <v>20</v>
      </c>
      <c r="FI84" s="37">
        <v>1</v>
      </c>
      <c r="FJ84" s="37">
        <v>1</v>
      </c>
      <c r="FK84" s="37">
        <v>20</v>
      </c>
      <c r="FN84" s="37" t="str">
        <v>M3</v>
      </c>
      <c r="FO84" s="37" t="str">
        <v>F7</v>
      </c>
      <c r="FP84" s="37" t="str">
        <v>MB</v>
      </c>
      <c r="FQ84" s="37" t="str">
        <v>MB</v>
      </c>
      <c r="FR84" s="37" t="str">
        <v>F6</v>
      </c>
      <c r="FU84" s="37">
        <v>1</v>
      </c>
      <c r="FV84" s="37">
        <v>20</v>
      </c>
      <c r="FW84" s="37">
        <v>1</v>
      </c>
      <c r="FX84" s="37">
        <v>1</v>
      </c>
      <c r="FY84" s="37">
        <v>20</v>
      </c>
      <c r="GB84" s="37" t="str">
        <v>M3</v>
      </c>
      <c r="GC84" s="37" t="str">
        <v>F7</v>
      </c>
      <c r="GD84" s="37" t="str">
        <v>MB</v>
      </c>
      <c r="GE84" s="37" t="str">
        <v>MB</v>
      </c>
      <c r="GF84" s="37" t="str">
        <v>F6</v>
      </c>
      <c r="GI84" s="37">
        <v>1</v>
      </c>
      <c r="GJ84" s="37">
        <v>20</v>
      </c>
      <c r="GK84" s="37">
        <v>1</v>
      </c>
      <c r="GL84" s="37">
        <v>1</v>
      </c>
      <c r="GM84" s="37">
        <v>20</v>
      </c>
      <c r="GP84" s="37" t="str">
        <v>M3</v>
      </c>
      <c r="GQ84" s="37" t="str">
        <v>F7</v>
      </c>
      <c r="GR84" s="37" t="str">
        <v>MB</v>
      </c>
      <c r="GS84" s="37" t="str">
        <v>MB</v>
      </c>
      <c r="GT84" s="37" t="str">
        <v>F6</v>
      </c>
      <c r="GW84" s="37">
        <v>1</v>
      </c>
      <c r="GX84" s="37">
        <v>20</v>
      </c>
      <c r="GY84" s="37">
        <v>1</v>
      </c>
      <c r="GZ84" s="37">
        <v>1</v>
      </c>
      <c r="HA84" s="37">
        <v>20</v>
      </c>
      <c r="HD84" s="37" t="str">
        <v>M3</v>
      </c>
      <c r="HE84" s="37" t="str">
        <v>F7</v>
      </c>
      <c r="HF84" s="37" t="str">
        <v>MB</v>
      </c>
      <c r="HG84" s="37" t="str">
        <v>MB</v>
      </c>
      <c r="HH84" s="37" t="str">
        <v>F6</v>
      </c>
      <c r="HK84" s="37">
        <v>1</v>
      </c>
      <c r="HL84" s="37">
        <v>20</v>
      </c>
      <c r="HM84" s="37">
        <v>1</v>
      </c>
      <c r="HN84" s="37">
        <v>1</v>
      </c>
      <c r="HO84" s="37">
        <v>20</v>
      </c>
    </row>
    <row r="85" spans="2:223" x14ac:dyDescent="0.35">
      <c r="B85" s="37" t="str">
        <v>F9</v>
      </c>
      <c r="C85" s="37" t="str">
        <v>M2</v>
      </c>
      <c r="D85" s="37" t="str">
        <v>MB</v>
      </c>
      <c r="E85" s="37" t="str">
        <v>M3</v>
      </c>
      <c r="F85" s="37" t="str">
        <v>M4</v>
      </c>
      <c r="I85" s="37">
        <v>1</v>
      </c>
      <c r="J85" s="37">
        <v>20</v>
      </c>
      <c r="K85" s="37">
        <v>1</v>
      </c>
      <c r="L85" s="37">
        <v>1</v>
      </c>
      <c r="M85" s="37">
        <v>20</v>
      </c>
      <c r="P85" s="37" t="str">
        <v>F9</v>
      </c>
      <c r="Q85" s="37" t="str">
        <v>M2</v>
      </c>
      <c r="R85" s="37" t="str">
        <v>MB</v>
      </c>
      <c r="S85" s="37" t="str">
        <v>M3</v>
      </c>
      <c r="T85" s="37" t="str">
        <v>M4</v>
      </c>
      <c r="W85" s="37">
        <v>1</v>
      </c>
      <c r="X85" s="37">
        <v>20</v>
      </c>
      <c r="Y85" s="37">
        <v>1</v>
      </c>
      <c r="Z85" s="37">
        <v>10</v>
      </c>
      <c r="AA85" s="37">
        <v>20</v>
      </c>
      <c r="AD85" s="37" t="str">
        <v>F9</v>
      </c>
      <c r="AE85" s="37" t="str">
        <v>M2</v>
      </c>
      <c r="AF85" s="37" t="str">
        <v>MB</v>
      </c>
      <c r="AG85" s="37" t="str">
        <v>M3</v>
      </c>
      <c r="AH85" s="37" t="str">
        <v>M4</v>
      </c>
      <c r="AK85" s="37">
        <v>1</v>
      </c>
      <c r="AL85" s="37">
        <v>20</v>
      </c>
      <c r="AM85" s="37">
        <v>1</v>
      </c>
      <c r="AN85" s="37">
        <v>2000</v>
      </c>
      <c r="AO85" s="37">
        <v>20</v>
      </c>
      <c r="AR85" s="37" t="str">
        <v>F9</v>
      </c>
      <c r="AS85" s="37" t="str">
        <v>M2</v>
      </c>
      <c r="AT85" s="37" t="str">
        <v>MB</v>
      </c>
      <c r="AU85" s="37" t="str">
        <v>M3</v>
      </c>
      <c r="AV85" s="37" t="str">
        <v>M4</v>
      </c>
      <c r="AY85" s="37">
        <v>1</v>
      </c>
      <c r="AZ85" s="37">
        <v>20</v>
      </c>
      <c r="BA85" s="37">
        <v>1</v>
      </c>
      <c r="BB85" s="37">
        <v>10</v>
      </c>
      <c r="BC85" s="37">
        <v>20</v>
      </c>
      <c r="BF85" s="37" t="str">
        <v>F9</v>
      </c>
      <c r="BG85" s="37" t="str">
        <v>M2</v>
      </c>
      <c r="BH85" s="37" t="str">
        <v>MB</v>
      </c>
      <c r="BI85" s="37" t="str">
        <v>M3</v>
      </c>
      <c r="BJ85" s="37" t="str">
        <v>M4</v>
      </c>
      <c r="BM85" s="37">
        <v>1</v>
      </c>
      <c r="BN85" s="37">
        <v>20</v>
      </c>
      <c r="BO85" s="37">
        <v>1</v>
      </c>
      <c r="BP85" s="37">
        <v>10</v>
      </c>
      <c r="BQ85" s="37">
        <v>20</v>
      </c>
      <c r="BT85" s="37" t="str">
        <v>F9</v>
      </c>
      <c r="BU85" s="37" t="str">
        <v>M2</v>
      </c>
      <c r="BV85" s="37" t="str">
        <v>MB</v>
      </c>
      <c r="BW85" s="37" t="str">
        <v>M3</v>
      </c>
      <c r="BX85" s="37" t="str">
        <v>M4</v>
      </c>
      <c r="CA85" s="37">
        <v>1</v>
      </c>
      <c r="CB85" s="37">
        <v>20</v>
      </c>
      <c r="CC85" s="37">
        <v>1</v>
      </c>
      <c r="CD85" s="37">
        <v>4000</v>
      </c>
      <c r="CE85" s="37">
        <v>20</v>
      </c>
      <c r="CH85" s="37" t="str">
        <v>F9</v>
      </c>
      <c r="CI85" s="37" t="str">
        <v>M2</v>
      </c>
      <c r="CJ85" s="37" t="str">
        <v>MB</v>
      </c>
      <c r="CK85" s="37" t="str">
        <v>M3</v>
      </c>
      <c r="CL85" s="37" t="str">
        <v>M4</v>
      </c>
      <c r="CO85" s="37">
        <v>1</v>
      </c>
      <c r="CP85" s="37">
        <v>20</v>
      </c>
      <c r="CQ85" s="37">
        <v>1</v>
      </c>
      <c r="CR85" s="37">
        <v>10</v>
      </c>
      <c r="CS85" s="37">
        <v>20</v>
      </c>
      <c r="CV85" s="37" t="str">
        <v>F9</v>
      </c>
      <c r="CW85" s="37" t="str">
        <v>M2</v>
      </c>
      <c r="CX85" s="37" t="str">
        <v>MB</v>
      </c>
      <c r="CY85" s="37" t="str">
        <v>M3</v>
      </c>
      <c r="CZ85" s="37" t="str">
        <v>M4</v>
      </c>
      <c r="DC85" s="37">
        <v>1</v>
      </c>
      <c r="DD85" s="37">
        <v>20</v>
      </c>
      <c r="DE85" s="37">
        <v>4000</v>
      </c>
      <c r="DF85" s="37">
        <v>10</v>
      </c>
      <c r="DG85" s="37">
        <v>20</v>
      </c>
      <c r="DJ85" s="37" t="str">
        <v>F9</v>
      </c>
      <c r="DK85" s="37" t="str">
        <v>M2</v>
      </c>
      <c r="DL85" s="37" t="str">
        <v>MB</v>
      </c>
      <c r="DM85" s="37" t="str">
        <v>M3</v>
      </c>
      <c r="DN85" s="37" t="str">
        <v>M4</v>
      </c>
      <c r="DQ85" s="37">
        <v>1</v>
      </c>
      <c r="DR85" s="37">
        <v>20</v>
      </c>
      <c r="DS85" s="37">
        <v>1</v>
      </c>
      <c r="DT85" s="37">
        <v>10</v>
      </c>
      <c r="DU85" s="37">
        <v>20</v>
      </c>
      <c r="DX85" s="37" t="str">
        <v>F9</v>
      </c>
      <c r="DY85" s="37" t="str">
        <v>M2</v>
      </c>
      <c r="DZ85" s="37" t="str">
        <v>MB</v>
      </c>
      <c r="EA85" s="37" t="str">
        <v>M3</v>
      </c>
      <c r="EB85" s="37" t="str">
        <v>M4</v>
      </c>
      <c r="EE85" s="37">
        <v>1</v>
      </c>
      <c r="EF85" s="37">
        <v>20</v>
      </c>
      <c r="EG85" s="37">
        <v>1</v>
      </c>
      <c r="EH85" s="37">
        <v>10</v>
      </c>
      <c r="EI85" s="37">
        <v>20</v>
      </c>
      <c r="EL85" s="37" t="str">
        <v>F9</v>
      </c>
      <c r="EM85" s="37" t="str">
        <v>M2</v>
      </c>
      <c r="EN85" s="37" t="str">
        <v>MB</v>
      </c>
      <c r="EO85" s="37" t="str">
        <v>M3</v>
      </c>
      <c r="EP85" s="37" t="str">
        <v>M4</v>
      </c>
      <c r="ES85" s="37">
        <v>1</v>
      </c>
      <c r="ET85" s="37">
        <v>20</v>
      </c>
      <c r="EU85" s="37">
        <v>1</v>
      </c>
      <c r="EV85" s="37">
        <v>10</v>
      </c>
      <c r="EW85" s="37">
        <v>20</v>
      </c>
      <c r="EZ85" s="37" t="str">
        <v>F9</v>
      </c>
      <c r="FA85" s="37" t="str">
        <v>M2</v>
      </c>
      <c r="FB85" s="37" t="str">
        <v>MB</v>
      </c>
      <c r="FC85" s="37" t="str">
        <v>M3</v>
      </c>
      <c r="FD85" s="37" t="str">
        <v>M4</v>
      </c>
      <c r="FG85" s="37">
        <v>1</v>
      </c>
      <c r="FH85" s="37">
        <v>20</v>
      </c>
      <c r="FI85" s="37">
        <v>1</v>
      </c>
      <c r="FJ85" s="37">
        <v>10</v>
      </c>
      <c r="FK85" s="37">
        <v>20</v>
      </c>
      <c r="FN85" s="37" t="str">
        <v>F9</v>
      </c>
      <c r="FO85" s="37" t="str">
        <v>M2</v>
      </c>
      <c r="FP85" s="37" t="str">
        <v>MB</v>
      </c>
      <c r="FQ85" s="37" t="str">
        <v>M3</v>
      </c>
      <c r="FR85" s="37" t="str">
        <v>M4</v>
      </c>
      <c r="FU85" s="37">
        <v>1</v>
      </c>
      <c r="FV85" s="37">
        <v>20</v>
      </c>
      <c r="FW85" s="37">
        <v>1</v>
      </c>
      <c r="FX85" s="37">
        <v>10</v>
      </c>
      <c r="FY85" s="37">
        <v>20</v>
      </c>
      <c r="GB85" s="37" t="str">
        <v>F9</v>
      </c>
      <c r="GC85" s="37" t="str">
        <v>M2</v>
      </c>
      <c r="GD85" s="37" t="str">
        <v>MB</v>
      </c>
      <c r="GE85" s="37" t="str">
        <v>M3</v>
      </c>
      <c r="GF85" s="37" t="str">
        <v>M4</v>
      </c>
      <c r="GI85" s="37">
        <v>1</v>
      </c>
      <c r="GJ85" s="37">
        <v>20</v>
      </c>
      <c r="GK85" s="37">
        <v>4000</v>
      </c>
      <c r="GL85" s="37">
        <v>10</v>
      </c>
      <c r="GM85" s="37">
        <v>20</v>
      </c>
      <c r="GP85" s="37" t="str">
        <v>F9</v>
      </c>
      <c r="GQ85" s="37" t="str">
        <v>M2</v>
      </c>
      <c r="GR85" s="37" t="str">
        <v>MB</v>
      </c>
      <c r="GS85" s="37" t="str">
        <v>M3</v>
      </c>
      <c r="GT85" s="37" t="str">
        <v>M4</v>
      </c>
      <c r="GW85" s="37">
        <v>1</v>
      </c>
      <c r="GX85" s="37">
        <v>20</v>
      </c>
      <c r="GY85" s="37">
        <v>10000</v>
      </c>
      <c r="GZ85" s="37">
        <v>10</v>
      </c>
      <c r="HA85" s="37">
        <v>20</v>
      </c>
      <c r="HD85" s="37" t="str">
        <v>F9</v>
      </c>
      <c r="HE85" s="37" t="str">
        <v>M2</v>
      </c>
      <c r="HF85" s="37" t="str">
        <v>MB</v>
      </c>
      <c r="HG85" s="37" t="str">
        <v>M3</v>
      </c>
      <c r="HH85" s="37" t="str">
        <v>M4</v>
      </c>
      <c r="HK85" s="37">
        <v>1</v>
      </c>
      <c r="HL85" s="37">
        <v>20</v>
      </c>
      <c r="HM85" s="37">
        <v>100000000</v>
      </c>
      <c r="HN85" s="37">
        <v>10</v>
      </c>
      <c r="HO85" s="37">
        <v>20</v>
      </c>
    </row>
    <row r="86" spans="2:223" x14ac:dyDescent="0.35">
      <c r="B86" s="37" t="str">
        <v>MB</v>
      </c>
      <c r="C86" s="37" t="str">
        <v>F6</v>
      </c>
      <c r="D86" s="37" t="str">
        <v>MB</v>
      </c>
      <c r="E86" s="37" t="str">
        <v>BN</v>
      </c>
      <c r="F86" s="37" t="str">
        <v>F8</v>
      </c>
      <c r="I86" s="37">
        <v>1</v>
      </c>
      <c r="J86" s="37">
        <v>20</v>
      </c>
      <c r="K86" s="37">
        <v>1</v>
      </c>
      <c r="L86" s="37">
        <v>10</v>
      </c>
      <c r="M86" s="37">
        <v>20</v>
      </c>
      <c r="P86" s="37" t="str">
        <v>MB</v>
      </c>
      <c r="Q86" s="37" t="str">
        <v>F6</v>
      </c>
      <c r="R86" s="37" t="str">
        <v>MB</v>
      </c>
      <c r="S86" s="37" t="str">
        <v>BN</v>
      </c>
      <c r="T86" s="37" t="str">
        <v>F8</v>
      </c>
      <c r="W86" s="37">
        <v>1</v>
      </c>
      <c r="X86" s="37">
        <v>20</v>
      </c>
      <c r="Y86" s="37">
        <v>1</v>
      </c>
      <c r="Z86" s="37">
        <v>10</v>
      </c>
      <c r="AA86" s="37">
        <v>20</v>
      </c>
      <c r="AD86" s="37" t="str">
        <v>MB</v>
      </c>
      <c r="AE86" s="37" t="str">
        <v>F6</v>
      </c>
      <c r="AF86" s="37" t="str">
        <v>MB</v>
      </c>
      <c r="AG86" s="37" t="str">
        <v>BN</v>
      </c>
      <c r="AH86" s="37" t="str">
        <v>F8</v>
      </c>
      <c r="AK86" s="37">
        <v>1</v>
      </c>
      <c r="AL86" s="37">
        <v>20</v>
      </c>
      <c r="AM86" s="37">
        <v>1</v>
      </c>
      <c r="AN86" s="37">
        <v>10</v>
      </c>
      <c r="AO86" s="37">
        <v>20</v>
      </c>
      <c r="AR86" s="37" t="str">
        <v>MB</v>
      </c>
      <c r="AS86" s="37" t="str">
        <v>F6</v>
      </c>
      <c r="AT86" s="37" t="str">
        <v>MB</v>
      </c>
      <c r="AU86" s="37" t="str">
        <v>BN</v>
      </c>
      <c r="AV86" s="37" t="str">
        <v>F8</v>
      </c>
      <c r="AY86" s="37">
        <v>1</v>
      </c>
      <c r="AZ86" s="37">
        <v>20</v>
      </c>
      <c r="BA86" s="37">
        <v>1</v>
      </c>
      <c r="BB86" s="37">
        <v>10</v>
      </c>
      <c r="BC86" s="37">
        <v>20</v>
      </c>
      <c r="BF86" s="37" t="str">
        <v>MB</v>
      </c>
      <c r="BG86" s="37" t="str">
        <v>F6</v>
      </c>
      <c r="BH86" s="37" t="str">
        <v>MB</v>
      </c>
      <c r="BI86" s="37" t="str">
        <v>BN</v>
      </c>
      <c r="BJ86" s="37" t="str">
        <v>F8</v>
      </c>
      <c r="BM86" s="37">
        <v>1</v>
      </c>
      <c r="BN86" s="37">
        <v>20</v>
      </c>
      <c r="BO86" s="37">
        <v>1</v>
      </c>
      <c r="BP86" s="37">
        <v>10</v>
      </c>
      <c r="BQ86" s="37">
        <v>20</v>
      </c>
      <c r="BT86" s="37" t="str">
        <v>MB</v>
      </c>
      <c r="BU86" s="37" t="str">
        <v>F6</v>
      </c>
      <c r="BV86" s="37" t="str">
        <v>MB</v>
      </c>
      <c r="BW86" s="37" t="str">
        <v>BN</v>
      </c>
      <c r="BX86" s="37" t="str">
        <v>F8</v>
      </c>
      <c r="CA86" s="37">
        <v>1</v>
      </c>
      <c r="CB86" s="37">
        <v>20</v>
      </c>
      <c r="CC86" s="37">
        <v>1</v>
      </c>
      <c r="CD86" s="37">
        <v>10</v>
      </c>
      <c r="CE86" s="37">
        <v>20</v>
      </c>
      <c r="CH86" s="37" t="str">
        <v>MB</v>
      </c>
      <c r="CI86" s="37" t="str">
        <v>F6</v>
      </c>
      <c r="CJ86" s="37" t="str">
        <v>MB</v>
      </c>
      <c r="CK86" s="37" t="str">
        <v>BN</v>
      </c>
      <c r="CL86" s="37" t="str">
        <v>F8</v>
      </c>
      <c r="CO86" s="37">
        <v>1</v>
      </c>
      <c r="CP86" s="37">
        <v>20</v>
      </c>
      <c r="CQ86" s="37">
        <v>1</v>
      </c>
      <c r="CR86" s="37">
        <v>10</v>
      </c>
      <c r="CS86" s="37">
        <v>20</v>
      </c>
      <c r="CV86" s="37" t="str">
        <v>MB</v>
      </c>
      <c r="CW86" s="37" t="str">
        <v>F6</v>
      </c>
      <c r="CX86" s="37" t="str">
        <v>MB</v>
      </c>
      <c r="CY86" s="37" t="str">
        <v>BN</v>
      </c>
      <c r="CZ86" s="37" t="str">
        <v>F8</v>
      </c>
      <c r="DC86" s="37">
        <v>1</v>
      </c>
      <c r="DD86" s="37">
        <v>20</v>
      </c>
      <c r="DE86" s="37">
        <v>1</v>
      </c>
      <c r="DF86" s="37">
        <v>10</v>
      </c>
      <c r="DG86" s="37">
        <v>20</v>
      </c>
      <c r="DJ86" s="37" t="str">
        <v>MB</v>
      </c>
      <c r="DK86" s="37" t="str">
        <v>F6</v>
      </c>
      <c r="DL86" s="37" t="str">
        <v>MB</v>
      </c>
      <c r="DM86" s="37" t="str">
        <v>BN</v>
      </c>
      <c r="DN86" s="37" t="str">
        <v>F8</v>
      </c>
      <c r="DQ86" s="37">
        <v>1</v>
      </c>
      <c r="DR86" s="37">
        <v>20</v>
      </c>
      <c r="DS86" s="37">
        <v>1</v>
      </c>
      <c r="DT86" s="37">
        <v>10</v>
      </c>
      <c r="DU86" s="37">
        <v>20</v>
      </c>
      <c r="DX86" s="37" t="str">
        <v>MB</v>
      </c>
      <c r="DY86" s="37" t="str">
        <v>F6</v>
      </c>
      <c r="DZ86" s="37" t="str">
        <v>MB</v>
      </c>
      <c r="EA86" s="37" t="str">
        <v>BN</v>
      </c>
      <c r="EB86" s="37" t="str">
        <v>F8</v>
      </c>
      <c r="EE86" s="37">
        <v>1</v>
      </c>
      <c r="EF86" s="37">
        <v>20</v>
      </c>
      <c r="EG86" s="37">
        <v>1</v>
      </c>
      <c r="EH86" s="37">
        <v>10</v>
      </c>
      <c r="EI86" s="37">
        <v>20</v>
      </c>
      <c r="EL86" s="37" t="str">
        <v>MB</v>
      </c>
      <c r="EM86" s="37" t="str">
        <v>F6</v>
      </c>
      <c r="EN86" s="37" t="str">
        <v>MB</v>
      </c>
      <c r="EO86" s="37" t="str">
        <v>BN</v>
      </c>
      <c r="EP86" s="37" t="str">
        <v>F8</v>
      </c>
      <c r="ES86" s="37">
        <v>1</v>
      </c>
      <c r="ET86" s="37">
        <v>20</v>
      </c>
      <c r="EU86" s="37">
        <v>1</v>
      </c>
      <c r="EV86" s="37">
        <v>10</v>
      </c>
      <c r="EW86" s="37">
        <v>20</v>
      </c>
      <c r="EZ86" s="37" t="str">
        <v>MB</v>
      </c>
      <c r="FA86" s="37" t="str">
        <v>F6</v>
      </c>
      <c r="FB86" s="37" t="str">
        <v>MB</v>
      </c>
      <c r="FC86" s="37" t="str">
        <v>BN</v>
      </c>
      <c r="FD86" s="37" t="str">
        <v>F8</v>
      </c>
      <c r="FG86" s="37">
        <v>1</v>
      </c>
      <c r="FH86" s="37">
        <v>20</v>
      </c>
      <c r="FI86" s="37">
        <v>1</v>
      </c>
      <c r="FJ86" s="37">
        <v>10</v>
      </c>
      <c r="FK86" s="37">
        <v>20</v>
      </c>
      <c r="FN86" s="37" t="str">
        <v>MB</v>
      </c>
      <c r="FO86" s="37" t="str">
        <v>F6</v>
      </c>
      <c r="FP86" s="37" t="str">
        <v>MB</v>
      </c>
      <c r="FQ86" s="37" t="str">
        <v>BN</v>
      </c>
      <c r="FR86" s="37" t="str">
        <v>F8</v>
      </c>
      <c r="FU86" s="37">
        <v>1</v>
      </c>
      <c r="FV86" s="37">
        <v>20</v>
      </c>
      <c r="FW86" s="37">
        <v>1</v>
      </c>
      <c r="FX86" s="37">
        <v>10</v>
      </c>
      <c r="FY86" s="37">
        <v>20</v>
      </c>
      <c r="GB86" s="37" t="str">
        <v>MB</v>
      </c>
      <c r="GC86" s="37" t="str">
        <v>F6</v>
      </c>
      <c r="GD86" s="37" t="str">
        <v>MB</v>
      </c>
      <c r="GE86" s="37" t="str">
        <v>BN</v>
      </c>
      <c r="GF86" s="37" t="str">
        <v>F8</v>
      </c>
      <c r="GI86" s="37">
        <v>1</v>
      </c>
      <c r="GJ86" s="37">
        <v>20</v>
      </c>
      <c r="GK86" s="37">
        <v>1</v>
      </c>
      <c r="GL86" s="37">
        <v>10</v>
      </c>
      <c r="GM86" s="37">
        <v>20</v>
      </c>
      <c r="GP86" s="37" t="str">
        <v>MB</v>
      </c>
      <c r="GQ86" s="37" t="str">
        <v>F6</v>
      </c>
      <c r="GR86" s="37" t="str">
        <v>MB</v>
      </c>
      <c r="GS86" s="37" t="str">
        <v>BN</v>
      </c>
      <c r="GT86" s="37" t="str">
        <v>F8</v>
      </c>
      <c r="GW86" s="37">
        <v>1</v>
      </c>
      <c r="GX86" s="37">
        <v>20</v>
      </c>
      <c r="GY86" s="37">
        <v>1</v>
      </c>
      <c r="GZ86" s="37">
        <v>10</v>
      </c>
      <c r="HA86" s="37">
        <v>20</v>
      </c>
      <c r="HD86" s="37" t="str">
        <v>MB</v>
      </c>
      <c r="HE86" s="37" t="str">
        <v>F6</v>
      </c>
      <c r="HF86" s="37" t="str">
        <v>MB</v>
      </c>
      <c r="HG86" s="37" t="str">
        <v>BN</v>
      </c>
      <c r="HH86" s="37" t="str">
        <v>F8</v>
      </c>
      <c r="HK86" s="37">
        <v>1</v>
      </c>
      <c r="HL86" s="37">
        <v>20</v>
      </c>
      <c r="HM86" s="37">
        <v>1</v>
      </c>
      <c r="HN86" s="37">
        <v>10</v>
      </c>
      <c r="HO86" s="37">
        <v>20</v>
      </c>
    </row>
    <row r="87" spans="2:223" x14ac:dyDescent="0.35">
      <c r="B87" s="37" t="str">
        <v>MB</v>
      </c>
      <c r="C87" s="37" t="str">
        <v>M3</v>
      </c>
      <c r="D87" s="37" t="str">
        <v>F5</v>
      </c>
      <c r="E87" s="37" t="str">
        <v>F9</v>
      </c>
      <c r="F87" s="37" t="str">
        <v>F7</v>
      </c>
      <c r="I87" s="37">
        <v>1</v>
      </c>
      <c r="J87" s="37">
        <v>1</v>
      </c>
      <c r="K87" s="37">
        <v>1</v>
      </c>
      <c r="L87" s="37">
        <v>10</v>
      </c>
      <c r="M87" s="37">
        <v>20</v>
      </c>
      <c r="P87" s="37" t="str">
        <v>MB</v>
      </c>
      <c r="Q87" s="37" t="str">
        <v>M3</v>
      </c>
      <c r="R87" s="37" t="str">
        <v>F5</v>
      </c>
      <c r="S87" s="37" t="str">
        <v>F9</v>
      </c>
      <c r="T87" s="37" t="str">
        <v>F7</v>
      </c>
      <c r="W87" s="37">
        <v>1</v>
      </c>
      <c r="X87" s="37">
        <v>1</v>
      </c>
      <c r="Y87" s="37">
        <v>1</v>
      </c>
      <c r="Z87" s="37">
        <v>10</v>
      </c>
      <c r="AA87" s="37">
        <v>20</v>
      </c>
      <c r="AD87" s="37" t="str">
        <v>MB</v>
      </c>
      <c r="AE87" s="37" t="str">
        <v>M3</v>
      </c>
      <c r="AF87" s="37" t="str">
        <v>F5</v>
      </c>
      <c r="AG87" s="37" t="str">
        <v>F9</v>
      </c>
      <c r="AH87" s="37" t="str">
        <v>F7</v>
      </c>
      <c r="AK87" s="37">
        <v>1</v>
      </c>
      <c r="AL87" s="37">
        <v>1</v>
      </c>
      <c r="AM87" s="37">
        <v>1</v>
      </c>
      <c r="AN87" s="37">
        <v>10</v>
      </c>
      <c r="AO87" s="37">
        <v>20</v>
      </c>
      <c r="AR87" s="37" t="str">
        <v>MB</v>
      </c>
      <c r="AS87" s="37" t="str">
        <v>M3</v>
      </c>
      <c r="AT87" s="37" t="str">
        <v>F5</v>
      </c>
      <c r="AU87" s="37" t="str">
        <v>F9</v>
      </c>
      <c r="AV87" s="37" t="str">
        <v>F7</v>
      </c>
      <c r="AY87" s="37">
        <v>1</v>
      </c>
      <c r="AZ87" s="37">
        <v>1</v>
      </c>
      <c r="BA87" s="37">
        <v>1</v>
      </c>
      <c r="BB87" s="37">
        <v>10</v>
      </c>
      <c r="BC87" s="37">
        <v>20</v>
      </c>
      <c r="BF87" s="37" t="str">
        <v>MB</v>
      </c>
      <c r="BG87" s="37" t="str">
        <v>M3</v>
      </c>
      <c r="BH87" s="37" t="str">
        <v>F5</v>
      </c>
      <c r="BI87" s="37" t="str">
        <v>F9</v>
      </c>
      <c r="BJ87" s="37" t="str">
        <v>F7</v>
      </c>
      <c r="BM87" s="37">
        <v>1</v>
      </c>
      <c r="BN87" s="37">
        <v>1</v>
      </c>
      <c r="BO87" s="37">
        <v>1</v>
      </c>
      <c r="BP87" s="37">
        <v>10</v>
      </c>
      <c r="BQ87" s="37">
        <v>20</v>
      </c>
      <c r="BT87" s="37" t="str">
        <v>MB</v>
      </c>
      <c r="BU87" s="37" t="str">
        <v>M3</v>
      </c>
      <c r="BV87" s="37" t="str">
        <v>F5</v>
      </c>
      <c r="BW87" s="37" t="str">
        <v>F9</v>
      </c>
      <c r="BX87" s="37" t="str">
        <v>F7</v>
      </c>
      <c r="CA87" s="37">
        <v>1</v>
      </c>
      <c r="CB87" s="37">
        <v>1</v>
      </c>
      <c r="CC87" s="37">
        <v>1</v>
      </c>
      <c r="CD87" s="37">
        <v>10</v>
      </c>
      <c r="CE87" s="37">
        <v>20</v>
      </c>
      <c r="CH87" s="37" t="str">
        <v>MB</v>
      </c>
      <c r="CI87" s="37" t="str">
        <v>M3</v>
      </c>
      <c r="CJ87" s="37" t="str">
        <v>F5</v>
      </c>
      <c r="CK87" s="37" t="str">
        <v>F9</v>
      </c>
      <c r="CL87" s="37" t="str">
        <v>F7</v>
      </c>
      <c r="CO87" s="37">
        <v>1</v>
      </c>
      <c r="CP87" s="37">
        <v>1</v>
      </c>
      <c r="CQ87" s="37">
        <v>1</v>
      </c>
      <c r="CR87" s="37">
        <v>10</v>
      </c>
      <c r="CS87" s="37">
        <v>20</v>
      </c>
      <c r="CV87" s="37" t="str">
        <v>MB</v>
      </c>
      <c r="CW87" s="37" t="str">
        <v>M3</v>
      </c>
      <c r="CX87" s="37" t="str">
        <v>F5</v>
      </c>
      <c r="CY87" s="37" t="str">
        <v>F9</v>
      </c>
      <c r="CZ87" s="37" t="str">
        <v>F7</v>
      </c>
      <c r="DC87" s="37">
        <v>1</v>
      </c>
      <c r="DD87" s="37">
        <v>1</v>
      </c>
      <c r="DE87" s="37">
        <v>1</v>
      </c>
      <c r="DF87" s="37">
        <v>10</v>
      </c>
      <c r="DG87" s="37">
        <v>20</v>
      </c>
      <c r="DJ87" s="37" t="str">
        <v>MB</v>
      </c>
      <c r="DK87" s="37" t="str">
        <v>M3</v>
      </c>
      <c r="DL87" s="37" t="str">
        <v>F5</v>
      </c>
      <c r="DM87" s="37" t="str">
        <v>F9</v>
      </c>
      <c r="DN87" s="37" t="str">
        <v>F7</v>
      </c>
      <c r="DQ87" s="37">
        <v>1</v>
      </c>
      <c r="DR87" s="37">
        <v>1</v>
      </c>
      <c r="DS87" s="37">
        <v>1</v>
      </c>
      <c r="DT87" s="37">
        <v>10</v>
      </c>
      <c r="DU87" s="37">
        <v>20</v>
      </c>
      <c r="DX87" s="37" t="str">
        <v>MB</v>
      </c>
      <c r="DY87" s="37" t="str">
        <v>M3</v>
      </c>
      <c r="DZ87" s="37" t="str">
        <v>F5</v>
      </c>
      <c r="EA87" s="37" t="str">
        <v>F9</v>
      </c>
      <c r="EB87" s="37" t="str">
        <v>F7</v>
      </c>
      <c r="EE87" s="37">
        <v>1</v>
      </c>
      <c r="EF87" s="37">
        <v>1</v>
      </c>
      <c r="EG87" s="37">
        <v>1</v>
      </c>
      <c r="EH87" s="37">
        <v>10</v>
      </c>
      <c r="EI87" s="37">
        <v>20</v>
      </c>
      <c r="EL87" s="37" t="str">
        <v>MB</v>
      </c>
      <c r="EM87" s="37" t="str">
        <v>M3</v>
      </c>
      <c r="EN87" s="37" t="str">
        <v>F5</v>
      </c>
      <c r="EO87" s="37" t="str">
        <v>F9</v>
      </c>
      <c r="EP87" s="37" t="str">
        <v>F7</v>
      </c>
      <c r="ES87" s="37">
        <v>1</v>
      </c>
      <c r="ET87" s="37">
        <v>1</v>
      </c>
      <c r="EU87" s="37">
        <v>1</v>
      </c>
      <c r="EV87" s="37">
        <v>10</v>
      </c>
      <c r="EW87" s="37">
        <v>20</v>
      </c>
      <c r="EZ87" s="37" t="str">
        <v>MB</v>
      </c>
      <c r="FA87" s="37" t="str">
        <v>M3</v>
      </c>
      <c r="FB87" s="37" t="str">
        <v>F5</v>
      </c>
      <c r="FC87" s="37" t="str">
        <v>F9</v>
      </c>
      <c r="FD87" s="37" t="str">
        <v>F7</v>
      </c>
      <c r="FG87" s="37">
        <v>1</v>
      </c>
      <c r="FH87" s="37">
        <v>1</v>
      </c>
      <c r="FI87" s="37">
        <v>1</v>
      </c>
      <c r="FJ87" s="37">
        <v>10</v>
      </c>
      <c r="FK87" s="37">
        <v>20</v>
      </c>
      <c r="FN87" s="37" t="str">
        <v>MB</v>
      </c>
      <c r="FO87" s="37" t="str">
        <v>M3</v>
      </c>
      <c r="FP87" s="37" t="str">
        <v>F5</v>
      </c>
      <c r="FQ87" s="37" t="str">
        <v>F9</v>
      </c>
      <c r="FR87" s="37" t="str">
        <v>F7</v>
      </c>
      <c r="FU87" s="37">
        <v>4000</v>
      </c>
      <c r="FV87" s="37">
        <v>1</v>
      </c>
      <c r="FW87" s="37">
        <v>1</v>
      </c>
      <c r="FX87" s="37">
        <v>10</v>
      </c>
      <c r="FY87" s="37">
        <v>20</v>
      </c>
      <c r="GB87" s="37" t="str">
        <v>MB</v>
      </c>
      <c r="GC87" s="37" t="str">
        <v>M3</v>
      </c>
      <c r="GD87" s="37" t="str">
        <v>F5</v>
      </c>
      <c r="GE87" s="37" t="str">
        <v>F9</v>
      </c>
      <c r="GF87" s="37" t="str">
        <v>F7</v>
      </c>
      <c r="GI87" s="37">
        <v>4000</v>
      </c>
      <c r="GJ87" s="37">
        <v>1</v>
      </c>
      <c r="GK87" s="37">
        <v>1</v>
      </c>
      <c r="GL87" s="37">
        <v>10</v>
      </c>
      <c r="GM87" s="37">
        <v>20</v>
      </c>
      <c r="GP87" s="37" t="str">
        <v>MB</v>
      </c>
      <c r="GQ87" s="37" t="str">
        <v>M3</v>
      </c>
      <c r="GR87" s="37" t="str">
        <v>F5</v>
      </c>
      <c r="GS87" s="37" t="str">
        <v>F9</v>
      </c>
      <c r="GT87" s="37" t="str">
        <v>F7</v>
      </c>
      <c r="GW87" s="37">
        <v>1</v>
      </c>
      <c r="GX87" s="37">
        <v>1</v>
      </c>
      <c r="GY87" s="37">
        <v>1</v>
      </c>
      <c r="GZ87" s="37">
        <v>10</v>
      </c>
      <c r="HA87" s="37">
        <v>20</v>
      </c>
      <c r="HD87" s="37" t="str">
        <v>MB</v>
      </c>
      <c r="HE87" s="37" t="str">
        <v>M3</v>
      </c>
      <c r="HF87" s="37" t="str">
        <v>F5</v>
      </c>
      <c r="HG87" s="37" t="str">
        <v>F9</v>
      </c>
      <c r="HH87" s="37" t="str">
        <v>F7</v>
      </c>
      <c r="HK87" s="37">
        <v>100000000</v>
      </c>
      <c r="HL87" s="37">
        <v>1</v>
      </c>
      <c r="HM87" s="37">
        <v>1</v>
      </c>
      <c r="HN87" s="37">
        <v>10</v>
      </c>
      <c r="HO87" s="37">
        <v>20</v>
      </c>
    </row>
    <row r="88" spans="2:223" x14ac:dyDescent="0.35">
      <c r="B88" s="37" t="str">
        <v>MB</v>
      </c>
      <c r="C88" s="37" t="str">
        <v>MB</v>
      </c>
      <c r="D88" s="37" t="str">
        <v>M4</v>
      </c>
      <c r="E88" s="37" t="str">
        <v>M2</v>
      </c>
      <c r="F88" s="37" t="str">
        <v>M3</v>
      </c>
      <c r="I88" s="37">
        <v>1</v>
      </c>
      <c r="J88" s="37">
        <v>1</v>
      </c>
      <c r="K88" s="37">
        <v>20</v>
      </c>
      <c r="L88" s="37">
        <v>1</v>
      </c>
      <c r="M88" s="37">
        <v>20</v>
      </c>
      <c r="P88" s="37" t="str">
        <v>MB</v>
      </c>
      <c r="Q88" s="37" t="str">
        <v>MB</v>
      </c>
      <c r="R88" s="37" t="str">
        <v>M4</v>
      </c>
      <c r="S88" s="37" t="str">
        <v>M2</v>
      </c>
      <c r="T88" s="37" t="str">
        <v>M3</v>
      </c>
      <c r="W88" s="37">
        <v>1</v>
      </c>
      <c r="X88" s="37">
        <v>1</v>
      </c>
      <c r="Y88" s="37">
        <v>20</v>
      </c>
      <c r="Z88" s="37">
        <v>1</v>
      </c>
      <c r="AA88" s="37">
        <v>20</v>
      </c>
      <c r="AD88" s="37" t="str">
        <v>MB</v>
      </c>
      <c r="AE88" s="37" t="str">
        <v>MB</v>
      </c>
      <c r="AF88" s="37" t="str">
        <v>M4</v>
      </c>
      <c r="AG88" s="37" t="str">
        <v>M2</v>
      </c>
      <c r="AH88" s="37" t="str">
        <v>M3</v>
      </c>
      <c r="AK88" s="37">
        <v>1</v>
      </c>
      <c r="AL88" s="37">
        <v>1</v>
      </c>
      <c r="AM88" s="37">
        <v>20</v>
      </c>
      <c r="AN88" s="37">
        <v>2000</v>
      </c>
      <c r="AO88" s="37">
        <v>20</v>
      </c>
      <c r="AR88" s="37" t="str">
        <v>MB</v>
      </c>
      <c r="AS88" s="37" t="str">
        <v>MB</v>
      </c>
      <c r="AT88" s="37" t="str">
        <v>M4</v>
      </c>
      <c r="AU88" s="37" t="str">
        <v>M2</v>
      </c>
      <c r="AV88" s="37" t="str">
        <v>M3</v>
      </c>
      <c r="AY88" s="37">
        <v>1</v>
      </c>
      <c r="AZ88" s="37">
        <v>1</v>
      </c>
      <c r="BA88" s="37">
        <v>20</v>
      </c>
      <c r="BB88" s="37">
        <v>1</v>
      </c>
      <c r="BC88" s="37">
        <v>20</v>
      </c>
      <c r="BF88" s="37" t="str">
        <v>MB</v>
      </c>
      <c r="BG88" s="37" t="str">
        <v>MB</v>
      </c>
      <c r="BH88" s="37" t="str">
        <v>M4</v>
      </c>
      <c r="BI88" s="37" t="str">
        <v>M2</v>
      </c>
      <c r="BJ88" s="37" t="str">
        <v>M3</v>
      </c>
      <c r="BM88" s="37">
        <v>1</v>
      </c>
      <c r="BN88" s="37">
        <v>1</v>
      </c>
      <c r="BO88" s="37">
        <v>20</v>
      </c>
      <c r="BP88" s="37">
        <v>1</v>
      </c>
      <c r="BQ88" s="37">
        <v>20</v>
      </c>
      <c r="BT88" s="37" t="str">
        <v>MB</v>
      </c>
      <c r="BU88" s="37" t="str">
        <v>MB</v>
      </c>
      <c r="BV88" s="37" t="str">
        <v>M4</v>
      </c>
      <c r="BW88" s="37" t="str">
        <v>M2</v>
      </c>
      <c r="BX88" s="37" t="str">
        <v>M3</v>
      </c>
      <c r="CA88" s="37">
        <v>1</v>
      </c>
      <c r="CB88" s="37">
        <v>1</v>
      </c>
      <c r="CC88" s="37">
        <v>20</v>
      </c>
      <c r="CD88" s="37">
        <v>4000</v>
      </c>
      <c r="CE88" s="37">
        <v>20</v>
      </c>
      <c r="CH88" s="37" t="str">
        <v>MB</v>
      </c>
      <c r="CI88" s="37" t="str">
        <v>MB</v>
      </c>
      <c r="CJ88" s="37" t="str">
        <v>M4</v>
      </c>
      <c r="CK88" s="37" t="str">
        <v>M2</v>
      </c>
      <c r="CL88" s="37" t="str">
        <v>M3</v>
      </c>
      <c r="CO88" s="37">
        <v>1</v>
      </c>
      <c r="CP88" s="37">
        <v>1</v>
      </c>
      <c r="CQ88" s="37">
        <v>20</v>
      </c>
      <c r="CR88" s="37">
        <v>1</v>
      </c>
      <c r="CS88" s="37">
        <v>20</v>
      </c>
      <c r="CV88" s="37" t="str">
        <v>MB</v>
      </c>
      <c r="CW88" s="37" t="str">
        <v>MB</v>
      </c>
      <c r="CX88" s="37" t="str">
        <v>M4</v>
      </c>
      <c r="CY88" s="37" t="str">
        <v>M2</v>
      </c>
      <c r="CZ88" s="37" t="str">
        <v>M3</v>
      </c>
      <c r="DC88" s="37">
        <v>1</v>
      </c>
      <c r="DD88" s="37">
        <v>1</v>
      </c>
      <c r="DE88" s="37">
        <v>20</v>
      </c>
      <c r="DF88" s="37">
        <v>1</v>
      </c>
      <c r="DG88" s="37">
        <v>20</v>
      </c>
      <c r="DJ88" s="37" t="str">
        <v>MB</v>
      </c>
      <c r="DK88" s="37" t="str">
        <v>MB</v>
      </c>
      <c r="DL88" s="37" t="str">
        <v>M4</v>
      </c>
      <c r="DM88" s="37" t="str">
        <v>M2</v>
      </c>
      <c r="DN88" s="37" t="str">
        <v>M3</v>
      </c>
      <c r="DQ88" s="37">
        <v>1</v>
      </c>
      <c r="DR88" s="37">
        <v>4000</v>
      </c>
      <c r="DS88" s="37">
        <v>20</v>
      </c>
      <c r="DT88" s="37">
        <v>1</v>
      </c>
      <c r="DU88" s="37">
        <v>20</v>
      </c>
      <c r="DX88" s="37" t="str">
        <v>MB</v>
      </c>
      <c r="DY88" s="37" t="str">
        <v>MB</v>
      </c>
      <c r="DZ88" s="37" t="str">
        <v>M4</v>
      </c>
      <c r="EA88" s="37" t="str">
        <v>M2</v>
      </c>
      <c r="EB88" s="37" t="str">
        <v>M3</v>
      </c>
      <c r="EE88" s="37">
        <v>1</v>
      </c>
      <c r="EF88" s="37">
        <v>1</v>
      </c>
      <c r="EG88" s="37">
        <v>20</v>
      </c>
      <c r="EH88" s="37">
        <v>1</v>
      </c>
      <c r="EI88" s="37">
        <v>20</v>
      </c>
      <c r="EL88" s="37" t="str">
        <v>MB</v>
      </c>
      <c r="EM88" s="37" t="str">
        <v>MB</v>
      </c>
      <c r="EN88" s="37" t="str">
        <v>M4</v>
      </c>
      <c r="EO88" s="37" t="str">
        <v>M2</v>
      </c>
      <c r="EP88" s="37" t="str">
        <v>M3</v>
      </c>
      <c r="ES88" s="37">
        <v>1</v>
      </c>
      <c r="ET88" s="37">
        <v>1</v>
      </c>
      <c r="EU88" s="37">
        <v>20</v>
      </c>
      <c r="EV88" s="37">
        <v>1</v>
      </c>
      <c r="EW88" s="37">
        <v>20</v>
      </c>
      <c r="EZ88" s="37" t="str">
        <v>MB</v>
      </c>
      <c r="FA88" s="37" t="str">
        <v>MB</v>
      </c>
      <c r="FB88" s="37" t="str">
        <v>M4</v>
      </c>
      <c r="FC88" s="37" t="str">
        <v>M2</v>
      </c>
      <c r="FD88" s="37" t="str">
        <v>M3</v>
      </c>
      <c r="FG88" s="37">
        <v>1</v>
      </c>
      <c r="FH88" s="37">
        <v>8000</v>
      </c>
      <c r="FI88" s="37">
        <v>20</v>
      </c>
      <c r="FJ88" s="37">
        <v>1</v>
      </c>
      <c r="FK88" s="37">
        <v>20</v>
      </c>
      <c r="FN88" s="37" t="str">
        <v>MB</v>
      </c>
      <c r="FO88" s="37" t="str">
        <v>MB</v>
      </c>
      <c r="FP88" s="37" t="str">
        <v>M4</v>
      </c>
      <c r="FQ88" s="37" t="str">
        <v>M2</v>
      </c>
      <c r="FR88" s="37" t="str">
        <v>M3</v>
      </c>
      <c r="FU88" s="37">
        <v>1</v>
      </c>
      <c r="FV88" s="37">
        <v>1</v>
      </c>
      <c r="FW88" s="37">
        <v>20</v>
      </c>
      <c r="FX88" s="37">
        <v>1</v>
      </c>
      <c r="FY88" s="37">
        <v>20</v>
      </c>
      <c r="GB88" s="37" t="str">
        <v>MB</v>
      </c>
      <c r="GC88" s="37" t="str">
        <v>MB</v>
      </c>
      <c r="GD88" s="37" t="str">
        <v>M4</v>
      </c>
      <c r="GE88" s="37" t="str">
        <v>M2</v>
      </c>
      <c r="GF88" s="37" t="str">
        <v>M3</v>
      </c>
      <c r="GI88" s="37">
        <v>1</v>
      </c>
      <c r="GJ88" s="37">
        <v>4000</v>
      </c>
      <c r="GK88" s="37">
        <v>20</v>
      </c>
      <c r="GL88" s="37">
        <v>1</v>
      </c>
      <c r="GM88" s="37">
        <v>20</v>
      </c>
      <c r="GP88" s="37" t="str">
        <v>MB</v>
      </c>
      <c r="GQ88" s="37" t="str">
        <v>MB</v>
      </c>
      <c r="GR88" s="37" t="str">
        <v>M4</v>
      </c>
      <c r="GS88" s="37" t="str">
        <v>M2</v>
      </c>
      <c r="GT88" s="37" t="str">
        <v>M3</v>
      </c>
      <c r="GW88" s="37">
        <v>1</v>
      </c>
      <c r="GX88" s="37">
        <v>1</v>
      </c>
      <c r="GY88" s="37">
        <v>20</v>
      </c>
      <c r="GZ88" s="37">
        <v>1</v>
      </c>
      <c r="HA88" s="37">
        <v>20</v>
      </c>
      <c r="HD88" s="37" t="str">
        <v>MB</v>
      </c>
      <c r="HE88" s="37" t="str">
        <v>MB</v>
      </c>
      <c r="HF88" s="37" t="str">
        <v>M4</v>
      </c>
      <c r="HG88" s="37" t="str">
        <v>M2</v>
      </c>
      <c r="HH88" s="37" t="str">
        <v>M3</v>
      </c>
      <c r="HK88" s="37">
        <v>1</v>
      </c>
      <c r="HL88" s="37">
        <v>1</v>
      </c>
      <c r="HM88" s="37">
        <v>20</v>
      </c>
      <c r="HN88" s="37">
        <v>1</v>
      </c>
      <c r="HO88" s="37">
        <v>20</v>
      </c>
    </row>
    <row r="89" spans="2:223" x14ac:dyDescent="0.35">
      <c r="B89" s="37" t="str">
        <v>F9</v>
      </c>
      <c r="C89" s="37" t="str">
        <v>MB</v>
      </c>
      <c r="D89" s="37" t="str">
        <v>M3</v>
      </c>
      <c r="E89" s="37" t="str">
        <v>MB</v>
      </c>
      <c r="F89" s="37" t="str">
        <v>F9</v>
      </c>
      <c r="I89" s="37">
        <v>1</v>
      </c>
      <c r="J89" s="37">
        <v>1</v>
      </c>
      <c r="K89" s="37">
        <v>15</v>
      </c>
      <c r="L89" s="37">
        <v>1</v>
      </c>
      <c r="M89" s="37">
        <v>20</v>
      </c>
      <c r="P89" s="37" t="str">
        <v>F9</v>
      </c>
      <c r="Q89" s="37" t="str">
        <v>MB</v>
      </c>
      <c r="R89" s="37" t="str">
        <v>M3</v>
      </c>
      <c r="S89" s="37" t="str">
        <v>MB</v>
      </c>
      <c r="T89" s="37" t="str">
        <v>F9</v>
      </c>
      <c r="W89" s="37">
        <v>1</v>
      </c>
      <c r="X89" s="37">
        <v>1</v>
      </c>
      <c r="Y89" s="37">
        <v>15</v>
      </c>
      <c r="Z89" s="37">
        <v>1</v>
      </c>
      <c r="AA89" s="37">
        <v>20</v>
      </c>
      <c r="AD89" s="37" t="str">
        <v>F9</v>
      </c>
      <c r="AE89" s="37" t="str">
        <v>MB</v>
      </c>
      <c r="AF89" s="37" t="str">
        <v>M3</v>
      </c>
      <c r="AG89" s="37" t="str">
        <v>MB</v>
      </c>
      <c r="AH89" s="37" t="str">
        <v>F9</v>
      </c>
      <c r="AK89" s="37">
        <v>1</v>
      </c>
      <c r="AL89" s="37">
        <v>1</v>
      </c>
      <c r="AM89" s="37">
        <v>15</v>
      </c>
      <c r="AN89" s="37">
        <v>2000</v>
      </c>
      <c r="AO89" s="37">
        <v>20</v>
      </c>
      <c r="AR89" s="37" t="str">
        <v>F9</v>
      </c>
      <c r="AS89" s="37" t="str">
        <v>MB</v>
      </c>
      <c r="AT89" s="37" t="str">
        <v>M3</v>
      </c>
      <c r="AU89" s="37" t="str">
        <v>MB</v>
      </c>
      <c r="AV89" s="37" t="str">
        <v>F9</v>
      </c>
      <c r="AY89" s="37">
        <v>1</v>
      </c>
      <c r="AZ89" s="37">
        <v>1</v>
      </c>
      <c r="BA89" s="37">
        <v>15</v>
      </c>
      <c r="BB89" s="37">
        <v>1</v>
      </c>
      <c r="BC89" s="37">
        <v>20</v>
      </c>
      <c r="BF89" s="37" t="str">
        <v>F9</v>
      </c>
      <c r="BG89" s="37" t="str">
        <v>MB</v>
      </c>
      <c r="BH89" s="37" t="str">
        <v>M3</v>
      </c>
      <c r="BI89" s="37" t="str">
        <v>MB</v>
      </c>
      <c r="BJ89" s="37" t="str">
        <v>F9</v>
      </c>
      <c r="BM89" s="37">
        <v>1</v>
      </c>
      <c r="BN89" s="37">
        <v>1</v>
      </c>
      <c r="BO89" s="37">
        <v>15</v>
      </c>
      <c r="BP89" s="37">
        <v>1</v>
      </c>
      <c r="BQ89" s="37">
        <v>20</v>
      </c>
      <c r="BT89" s="37" t="str">
        <v>F9</v>
      </c>
      <c r="BU89" s="37" t="str">
        <v>MB</v>
      </c>
      <c r="BV89" s="37" t="str">
        <v>M3</v>
      </c>
      <c r="BW89" s="37" t="str">
        <v>MB</v>
      </c>
      <c r="BX89" s="37" t="str">
        <v>F9</v>
      </c>
      <c r="CA89" s="37">
        <v>1</v>
      </c>
      <c r="CB89" s="37">
        <v>1</v>
      </c>
      <c r="CC89" s="37">
        <v>15</v>
      </c>
      <c r="CD89" s="37">
        <v>4000</v>
      </c>
      <c r="CE89" s="37">
        <v>20</v>
      </c>
      <c r="CH89" s="37" t="str">
        <v>F9</v>
      </c>
      <c r="CI89" s="37" t="str">
        <v>MB</v>
      </c>
      <c r="CJ89" s="37" t="str">
        <v>M3</v>
      </c>
      <c r="CK89" s="37" t="str">
        <v>MB</v>
      </c>
      <c r="CL89" s="37" t="str">
        <v>F9</v>
      </c>
      <c r="CO89" s="37">
        <v>1</v>
      </c>
      <c r="CP89" s="37">
        <v>1</v>
      </c>
      <c r="CQ89" s="37">
        <v>15</v>
      </c>
      <c r="CR89" s="37">
        <v>1</v>
      </c>
      <c r="CS89" s="37">
        <v>20</v>
      </c>
      <c r="CV89" s="37" t="str">
        <v>F9</v>
      </c>
      <c r="CW89" s="37" t="str">
        <v>MB</v>
      </c>
      <c r="CX89" s="37" t="str">
        <v>M3</v>
      </c>
      <c r="CY89" s="37" t="str">
        <v>MB</v>
      </c>
      <c r="CZ89" s="37" t="str">
        <v>F9</v>
      </c>
      <c r="DC89" s="37">
        <v>1</v>
      </c>
      <c r="DD89" s="37">
        <v>1</v>
      </c>
      <c r="DE89" s="37">
        <v>15</v>
      </c>
      <c r="DF89" s="37">
        <v>1</v>
      </c>
      <c r="DG89" s="37">
        <v>20</v>
      </c>
      <c r="DJ89" s="37" t="str">
        <v>F9</v>
      </c>
      <c r="DK89" s="37" t="str">
        <v>MB</v>
      </c>
      <c r="DL89" s="37" t="str">
        <v>M3</v>
      </c>
      <c r="DM89" s="37" t="str">
        <v>MB</v>
      </c>
      <c r="DN89" s="37" t="str">
        <v>F9</v>
      </c>
      <c r="DQ89" s="37">
        <v>1</v>
      </c>
      <c r="DR89" s="37">
        <v>4000</v>
      </c>
      <c r="DS89" s="37">
        <v>15</v>
      </c>
      <c r="DT89" s="37">
        <v>1</v>
      </c>
      <c r="DU89" s="37">
        <v>20</v>
      </c>
      <c r="DX89" s="37" t="str">
        <v>F9</v>
      </c>
      <c r="DY89" s="37" t="str">
        <v>MB</v>
      </c>
      <c r="DZ89" s="37" t="str">
        <v>M3</v>
      </c>
      <c r="EA89" s="37" t="str">
        <v>MB</v>
      </c>
      <c r="EB89" s="37" t="str">
        <v>F9</v>
      </c>
      <c r="EE89" s="37">
        <v>1</v>
      </c>
      <c r="EF89" s="37">
        <v>1</v>
      </c>
      <c r="EG89" s="37">
        <v>15</v>
      </c>
      <c r="EH89" s="37">
        <v>1</v>
      </c>
      <c r="EI89" s="37">
        <v>20</v>
      </c>
      <c r="EL89" s="37" t="str">
        <v>F9</v>
      </c>
      <c r="EM89" s="37" t="str">
        <v>MB</v>
      </c>
      <c r="EN89" s="37" t="str">
        <v>M3</v>
      </c>
      <c r="EO89" s="37" t="str">
        <v>MB</v>
      </c>
      <c r="EP89" s="37" t="str">
        <v>F9</v>
      </c>
      <c r="ES89" s="37">
        <v>1</v>
      </c>
      <c r="ET89" s="37">
        <v>1</v>
      </c>
      <c r="EU89" s="37">
        <v>15</v>
      </c>
      <c r="EV89" s="37">
        <v>1</v>
      </c>
      <c r="EW89" s="37">
        <v>20</v>
      </c>
      <c r="EZ89" s="37" t="str">
        <v>F9</v>
      </c>
      <c r="FA89" s="37" t="str">
        <v>MB</v>
      </c>
      <c r="FB89" s="37" t="str">
        <v>M3</v>
      </c>
      <c r="FC89" s="37" t="str">
        <v>MB</v>
      </c>
      <c r="FD89" s="37" t="str">
        <v>F9</v>
      </c>
      <c r="FG89" s="37">
        <v>1</v>
      </c>
      <c r="FH89" s="37">
        <v>8000</v>
      </c>
      <c r="FI89" s="37">
        <v>15</v>
      </c>
      <c r="FJ89" s="37">
        <v>1</v>
      </c>
      <c r="FK89" s="37">
        <v>20</v>
      </c>
      <c r="FN89" s="37" t="str">
        <v>F9</v>
      </c>
      <c r="FO89" s="37" t="str">
        <v>MB</v>
      </c>
      <c r="FP89" s="37" t="str">
        <v>M3</v>
      </c>
      <c r="FQ89" s="37" t="str">
        <v>MB</v>
      </c>
      <c r="FR89" s="37" t="str">
        <v>F9</v>
      </c>
      <c r="FU89" s="37">
        <v>1</v>
      </c>
      <c r="FV89" s="37">
        <v>1</v>
      </c>
      <c r="FW89" s="37">
        <v>15</v>
      </c>
      <c r="FX89" s="37">
        <v>1</v>
      </c>
      <c r="FY89" s="37">
        <v>20</v>
      </c>
      <c r="GB89" s="37" t="str">
        <v>F9</v>
      </c>
      <c r="GC89" s="37" t="str">
        <v>MB</v>
      </c>
      <c r="GD89" s="37" t="str">
        <v>M3</v>
      </c>
      <c r="GE89" s="37" t="str">
        <v>MB</v>
      </c>
      <c r="GF89" s="37" t="str">
        <v>F9</v>
      </c>
      <c r="GI89" s="37">
        <v>1</v>
      </c>
      <c r="GJ89" s="37">
        <v>4000</v>
      </c>
      <c r="GK89" s="37">
        <v>15</v>
      </c>
      <c r="GL89" s="37">
        <v>1</v>
      </c>
      <c r="GM89" s="37">
        <v>20</v>
      </c>
      <c r="GP89" s="37" t="str">
        <v>F9</v>
      </c>
      <c r="GQ89" s="37" t="str">
        <v>MB</v>
      </c>
      <c r="GR89" s="37" t="str">
        <v>M3</v>
      </c>
      <c r="GS89" s="37" t="str">
        <v>MB</v>
      </c>
      <c r="GT89" s="37" t="str">
        <v>F9</v>
      </c>
      <c r="GW89" s="37">
        <v>1</v>
      </c>
      <c r="GX89" s="37">
        <v>1</v>
      </c>
      <c r="GY89" s="37">
        <v>15</v>
      </c>
      <c r="GZ89" s="37">
        <v>1</v>
      </c>
      <c r="HA89" s="37">
        <v>20</v>
      </c>
      <c r="HD89" s="37" t="str">
        <v>F9</v>
      </c>
      <c r="HE89" s="37" t="str">
        <v>MB</v>
      </c>
      <c r="HF89" s="37" t="str">
        <v>M3</v>
      </c>
      <c r="HG89" s="37" t="str">
        <v>MB</v>
      </c>
      <c r="HH89" s="37" t="str">
        <v>F9</v>
      </c>
      <c r="HK89" s="37">
        <v>1</v>
      </c>
      <c r="HL89" s="37">
        <v>1</v>
      </c>
      <c r="HM89" s="37">
        <v>15</v>
      </c>
      <c r="HN89" s="37">
        <v>1</v>
      </c>
      <c r="HO89" s="37">
        <v>20</v>
      </c>
    </row>
    <row r="90" spans="2:223" x14ac:dyDescent="0.35">
      <c r="B90" s="37" t="str">
        <v>F7</v>
      </c>
      <c r="C90" s="37" t="str">
        <v>M2</v>
      </c>
      <c r="D90" s="37" t="str">
        <v>BN</v>
      </c>
      <c r="E90" s="37" t="str">
        <v>F9</v>
      </c>
      <c r="F90" s="37" t="str">
        <v>M4</v>
      </c>
      <c r="I90" s="37">
        <v>20</v>
      </c>
      <c r="J90" s="37">
        <v>1</v>
      </c>
      <c r="K90" s="37">
        <v>15</v>
      </c>
      <c r="L90" s="37">
        <v>1</v>
      </c>
      <c r="M90" s="37">
        <v>1</v>
      </c>
      <c r="P90" s="37" t="str">
        <v>F7</v>
      </c>
      <c r="Q90" s="37" t="str">
        <v>M2</v>
      </c>
      <c r="R90" s="37" t="str">
        <v>BN</v>
      </c>
      <c r="S90" s="37" t="str">
        <v>F9</v>
      </c>
      <c r="T90" s="37" t="str">
        <v>M4</v>
      </c>
      <c r="W90" s="37">
        <v>20</v>
      </c>
      <c r="X90" s="37">
        <v>1</v>
      </c>
      <c r="Y90" s="37">
        <v>15</v>
      </c>
      <c r="Z90" s="37">
        <v>1</v>
      </c>
      <c r="AA90" s="37">
        <v>1</v>
      </c>
      <c r="AD90" s="37" t="str">
        <v>F7</v>
      </c>
      <c r="AE90" s="37" t="str">
        <v>M2</v>
      </c>
      <c r="AF90" s="37" t="str">
        <v>BN</v>
      </c>
      <c r="AG90" s="37" t="str">
        <v>F9</v>
      </c>
      <c r="AH90" s="37" t="str">
        <v>M4</v>
      </c>
      <c r="AK90" s="37">
        <v>20</v>
      </c>
      <c r="AL90" s="37">
        <v>1</v>
      </c>
      <c r="AM90" s="37">
        <v>15</v>
      </c>
      <c r="AN90" s="37">
        <v>2000</v>
      </c>
      <c r="AO90" s="37">
        <v>1</v>
      </c>
      <c r="AR90" s="37" t="str">
        <v>F7</v>
      </c>
      <c r="AS90" s="37" t="str">
        <v>M2</v>
      </c>
      <c r="AT90" s="37" t="str">
        <v>BN</v>
      </c>
      <c r="AU90" s="37" t="str">
        <v>F9</v>
      </c>
      <c r="AV90" s="37" t="str">
        <v>M4</v>
      </c>
      <c r="AY90" s="37">
        <v>20</v>
      </c>
      <c r="AZ90" s="37">
        <v>1</v>
      </c>
      <c r="BA90" s="37">
        <v>15</v>
      </c>
      <c r="BB90" s="37">
        <v>1</v>
      </c>
      <c r="BC90" s="37">
        <v>1</v>
      </c>
      <c r="BF90" s="37" t="str">
        <v>F7</v>
      </c>
      <c r="BG90" s="37" t="str">
        <v>M2</v>
      </c>
      <c r="BH90" s="37" t="str">
        <v>BN</v>
      </c>
      <c r="BI90" s="37" t="str">
        <v>F9</v>
      </c>
      <c r="BJ90" s="37" t="str">
        <v>M4</v>
      </c>
      <c r="BM90" s="37">
        <v>20</v>
      </c>
      <c r="BN90" s="37">
        <v>1</v>
      </c>
      <c r="BO90" s="37">
        <v>15</v>
      </c>
      <c r="BP90" s="37">
        <v>1</v>
      </c>
      <c r="BQ90" s="37">
        <v>1</v>
      </c>
      <c r="BT90" s="37" t="str">
        <v>F7</v>
      </c>
      <c r="BU90" s="37" t="str">
        <v>M2</v>
      </c>
      <c r="BV90" s="37" t="str">
        <v>BN</v>
      </c>
      <c r="BW90" s="37" t="str">
        <v>F9</v>
      </c>
      <c r="BX90" s="37" t="str">
        <v>M4</v>
      </c>
      <c r="CA90" s="37">
        <v>20</v>
      </c>
      <c r="CB90" s="37">
        <v>1</v>
      </c>
      <c r="CC90" s="37">
        <v>15</v>
      </c>
      <c r="CD90" s="37">
        <v>4000</v>
      </c>
      <c r="CE90" s="37">
        <v>1</v>
      </c>
      <c r="CH90" s="37" t="str">
        <v>F7</v>
      </c>
      <c r="CI90" s="37" t="str">
        <v>M2</v>
      </c>
      <c r="CJ90" s="37" t="str">
        <v>BN</v>
      </c>
      <c r="CK90" s="37" t="str">
        <v>F9</v>
      </c>
      <c r="CL90" s="37" t="str">
        <v>M4</v>
      </c>
      <c r="CO90" s="37">
        <v>20</v>
      </c>
      <c r="CP90" s="37">
        <v>1</v>
      </c>
      <c r="CQ90" s="37">
        <v>15</v>
      </c>
      <c r="CR90" s="37">
        <v>1</v>
      </c>
      <c r="CS90" s="37">
        <v>1</v>
      </c>
      <c r="CV90" s="37" t="str">
        <v>F7</v>
      </c>
      <c r="CW90" s="37" t="str">
        <v>M2</v>
      </c>
      <c r="CX90" s="37" t="str">
        <v>BN</v>
      </c>
      <c r="CY90" s="37" t="str">
        <v>F9</v>
      </c>
      <c r="CZ90" s="37" t="str">
        <v>M4</v>
      </c>
      <c r="DC90" s="37">
        <v>20</v>
      </c>
      <c r="DD90" s="37">
        <v>1</v>
      </c>
      <c r="DE90" s="37">
        <v>15</v>
      </c>
      <c r="DF90" s="37">
        <v>1</v>
      </c>
      <c r="DG90" s="37">
        <v>1</v>
      </c>
      <c r="DJ90" s="37" t="str">
        <v>F7</v>
      </c>
      <c r="DK90" s="37" t="str">
        <v>M2</v>
      </c>
      <c r="DL90" s="37" t="str">
        <v>BN</v>
      </c>
      <c r="DM90" s="37" t="str">
        <v>F9</v>
      </c>
      <c r="DN90" s="37" t="str">
        <v>M4</v>
      </c>
      <c r="DQ90" s="37">
        <v>20</v>
      </c>
      <c r="DR90" s="37">
        <v>1</v>
      </c>
      <c r="DS90" s="37">
        <v>15</v>
      </c>
      <c r="DT90" s="37">
        <v>1</v>
      </c>
      <c r="DU90" s="37">
        <v>1</v>
      </c>
      <c r="DX90" s="37" t="str">
        <v>F7</v>
      </c>
      <c r="DY90" s="37" t="str">
        <v>M2</v>
      </c>
      <c r="DZ90" s="37" t="str">
        <v>BN</v>
      </c>
      <c r="EA90" s="37" t="str">
        <v>F9</v>
      </c>
      <c r="EB90" s="37" t="str">
        <v>M4</v>
      </c>
      <c r="EE90" s="37">
        <v>20</v>
      </c>
      <c r="EF90" s="37">
        <v>1</v>
      </c>
      <c r="EG90" s="37">
        <v>15</v>
      </c>
      <c r="EH90" s="37">
        <v>1</v>
      </c>
      <c r="EI90" s="37">
        <v>1</v>
      </c>
      <c r="EL90" s="37" t="str">
        <v>F7</v>
      </c>
      <c r="EM90" s="37" t="str">
        <v>M2</v>
      </c>
      <c r="EN90" s="37" t="str">
        <v>BN</v>
      </c>
      <c r="EO90" s="37" t="str">
        <v>F9</v>
      </c>
      <c r="EP90" s="37" t="str">
        <v>M4</v>
      </c>
      <c r="ES90" s="37">
        <v>20</v>
      </c>
      <c r="ET90" s="37">
        <v>1</v>
      </c>
      <c r="EU90" s="37">
        <v>15</v>
      </c>
      <c r="EV90" s="37">
        <v>1</v>
      </c>
      <c r="EW90" s="37">
        <v>1</v>
      </c>
      <c r="EZ90" s="37" t="str">
        <v>F7</v>
      </c>
      <c r="FA90" s="37" t="str">
        <v>M2</v>
      </c>
      <c r="FB90" s="37" t="str">
        <v>BN</v>
      </c>
      <c r="FC90" s="37" t="str">
        <v>F9</v>
      </c>
      <c r="FD90" s="37" t="str">
        <v>M4</v>
      </c>
      <c r="FG90" s="37">
        <v>20</v>
      </c>
      <c r="FH90" s="37">
        <v>1</v>
      </c>
      <c r="FI90" s="37">
        <v>15</v>
      </c>
      <c r="FJ90" s="37">
        <v>1</v>
      </c>
      <c r="FK90" s="37">
        <v>1</v>
      </c>
      <c r="FN90" s="37" t="str">
        <v>F7</v>
      </c>
      <c r="FO90" s="37" t="str">
        <v>M2</v>
      </c>
      <c r="FP90" s="37" t="str">
        <v>BN</v>
      </c>
      <c r="FQ90" s="37" t="str">
        <v>F9</v>
      </c>
      <c r="FR90" s="37" t="str">
        <v>M4</v>
      </c>
      <c r="FU90" s="37">
        <v>20</v>
      </c>
      <c r="FV90" s="37">
        <v>1</v>
      </c>
      <c r="FW90" s="37">
        <v>15</v>
      </c>
      <c r="FX90" s="37">
        <v>1</v>
      </c>
      <c r="FY90" s="37">
        <v>1</v>
      </c>
      <c r="GB90" s="37" t="str">
        <v>F7</v>
      </c>
      <c r="GC90" s="37" t="str">
        <v>M2</v>
      </c>
      <c r="GD90" s="37" t="str">
        <v>BN</v>
      </c>
      <c r="GE90" s="37" t="str">
        <v>F9</v>
      </c>
      <c r="GF90" s="37" t="str">
        <v>M4</v>
      </c>
      <c r="GI90" s="37">
        <v>20</v>
      </c>
      <c r="GJ90" s="37">
        <v>1</v>
      </c>
      <c r="GK90" s="37">
        <v>15</v>
      </c>
      <c r="GL90" s="37">
        <v>1</v>
      </c>
      <c r="GM90" s="37">
        <v>1</v>
      </c>
      <c r="GP90" s="37" t="str">
        <v>F7</v>
      </c>
      <c r="GQ90" s="37" t="str">
        <v>M2</v>
      </c>
      <c r="GR90" s="37" t="str">
        <v>BN</v>
      </c>
      <c r="GS90" s="37" t="str">
        <v>F9</v>
      </c>
      <c r="GT90" s="37" t="str">
        <v>M4</v>
      </c>
      <c r="GW90" s="37">
        <v>20</v>
      </c>
      <c r="GX90" s="37">
        <v>1</v>
      </c>
      <c r="GY90" s="37">
        <v>15</v>
      </c>
      <c r="GZ90" s="37">
        <v>1</v>
      </c>
      <c r="HA90" s="37">
        <v>1</v>
      </c>
      <c r="HD90" s="37" t="str">
        <v>F7</v>
      </c>
      <c r="HE90" s="37" t="str">
        <v>M2</v>
      </c>
      <c r="HF90" s="37" t="str">
        <v>BN</v>
      </c>
      <c r="HG90" s="37" t="str">
        <v>F9</v>
      </c>
      <c r="HH90" s="37" t="str">
        <v>M4</v>
      </c>
      <c r="HK90" s="37">
        <v>20</v>
      </c>
      <c r="HL90" s="37">
        <v>1</v>
      </c>
      <c r="HM90" s="37">
        <v>15</v>
      </c>
      <c r="HN90" s="37">
        <v>1</v>
      </c>
      <c r="HO90" s="37">
        <v>1</v>
      </c>
    </row>
    <row r="91" spans="2:223" x14ac:dyDescent="0.35">
      <c r="B91" s="37" t="str">
        <v>F7</v>
      </c>
      <c r="C91" s="37" t="str">
        <v>F8</v>
      </c>
      <c r="D91" s="37" t="str">
        <v>M4</v>
      </c>
      <c r="E91" s="37" t="str">
        <v>F9</v>
      </c>
      <c r="F91" s="37" t="str">
        <v>MB</v>
      </c>
      <c r="I91" s="37">
        <v>20</v>
      </c>
      <c r="J91" s="37">
        <v>15</v>
      </c>
      <c r="K91" s="37">
        <v>15</v>
      </c>
      <c r="L91" s="37">
        <v>20</v>
      </c>
      <c r="M91" s="37">
        <v>1</v>
      </c>
      <c r="P91" s="37" t="str">
        <v>F7</v>
      </c>
      <c r="Q91" s="37" t="str">
        <v>F8</v>
      </c>
      <c r="R91" s="37" t="str">
        <v>M4</v>
      </c>
      <c r="S91" s="37" t="str">
        <v>F9</v>
      </c>
      <c r="T91" s="37" t="str">
        <v>MB</v>
      </c>
      <c r="W91" s="37">
        <v>20</v>
      </c>
      <c r="X91" s="37">
        <v>15</v>
      </c>
      <c r="Y91" s="37">
        <v>15</v>
      </c>
      <c r="Z91" s="37">
        <v>15</v>
      </c>
      <c r="AA91" s="37">
        <v>1</v>
      </c>
      <c r="AD91" s="37" t="str">
        <v>F7</v>
      </c>
      <c r="AE91" s="37" t="str">
        <v>F8</v>
      </c>
      <c r="AF91" s="37" t="str">
        <v>M4</v>
      </c>
      <c r="AG91" s="37" t="str">
        <v>F9</v>
      </c>
      <c r="AH91" s="37" t="str">
        <v>MB</v>
      </c>
      <c r="AK91" s="37">
        <v>20</v>
      </c>
      <c r="AL91" s="37">
        <v>15</v>
      </c>
      <c r="AM91" s="37">
        <v>15</v>
      </c>
      <c r="AN91" s="37">
        <v>15</v>
      </c>
      <c r="AO91" s="37">
        <v>1</v>
      </c>
      <c r="AR91" s="37" t="str">
        <v>F7</v>
      </c>
      <c r="AS91" s="37" t="str">
        <v>F8</v>
      </c>
      <c r="AT91" s="37" t="str">
        <v>M4</v>
      </c>
      <c r="AU91" s="37" t="str">
        <v>F9</v>
      </c>
      <c r="AV91" s="37" t="str">
        <v>MB</v>
      </c>
      <c r="AY91" s="37">
        <v>20</v>
      </c>
      <c r="AZ91" s="37">
        <v>15</v>
      </c>
      <c r="BA91" s="37">
        <v>15</v>
      </c>
      <c r="BB91" s="37">
        <v>15</v>
      </c>
      <c r="BC91" s="37">
        <v>1</v>
      </c>
      <c r="BF91" s="37" t="str">
        <v>F7</v>
      </c>
      <c r="BG91" s="37" t="str">
        <v>F8</v>
      </c>
      <c r="BH91" s="37" t="str">
        <v>M4</v>
      </c>
      <c r="BI91" s="37" t="str">
        <v>F9</v>
      </c>
      <c r="BJ91" s="37" t="str">
        <v>MB</v>
      </c>
      <c r="BM91" s="37">
        <v>20</v>
      </c>
      <c r="BN91" s="37">
        <v>15</v>
      </c>
      <c r="BO91" s="37">
        <v>5000</v>
      </c>
      <c r="BP91" s="37">
        <v>15</v>
      </c>
      <c r="BQ91" s="37">
        <v>1</v>
      </c>
      <c r="BT91" s="37" t="str">
        <v>F7</v>
      </c>
      <c r="BU91" s="37" t="str">
        <v>F8</v>
      </c>
      <c r="BV91" s="37" t="str">
        <v>M4</v>
      </c>
      <c r="BW91" s="37" t="str">
        <v>F9</v>
      </c>
      <c r="BX91" s="37" t="str">
        <v>MB</v>
      </c>
      <c r="CA91" s="37">
        <v>1</v>
      </c>
      <c r="CB91" s="37">
        <v>15</v>
      </c>
      <c r="CC91" s="37">
        <v>15</v>
      </c>
      <c r="CD91" s="37">
        <v>15</v>
      </c>
      <c r="CE91" s="37">
        <v>1</v>
      </c>
      <c r="CH91" s="37" t="str">
        <v>F7</v>
      </c>
      <c r="CI91" s="37" t="str">
        <v>F8</v>
      </c>
      <c r="CJ91" s="37" t="str">
        <v>M4</v>
      </c>
      <c r="CK91" s="37" t="str">
        <v>F9</v>
      </c>
      <c r="CL91" s="37" t="str">
        <v>MB</v>
      </c>
      <c r="CO91" s="37">
        <v>20</v>
      </c>
      <c r="CP91" s="37">
        <v>15</v>
      </c>
      <c r="CQ91" s="37">
        <v>15</v>
      </c>
      <c r="CR91" s="37">
        <v>15</v>
      </c>
      <c r="CS91" s="37">
        <v>1</v>
      </c>
      <c r="CV91" s="37" t="str">
        <v>F7</v>
      </c>
      <c r="CW91" s="37" t="str">
        <v>F8</v>
      </c>
      <c r="CX91" s="37" t="str">
        <v>M4</v>
      </c>
      <c r="CY91" s="37" t="str">
        <v>F9</v>
      </c>
      <c r="CZ91" s="37" t="str">
        <v>MB</v>
      </c>
      <c r="DC91" s="37">
        <v>20</v>
      </c>
      <c r="DD91" s="37">
        <v>15</v>
      </c>
      <c r="DE91" s="37">
        <v>15</v>
      </c>
      <c r="DF91" s="37">
        <v>15</v>
      </c>
      <c r="DG91" s="37">
        <v>1</v>
      </c>
      <c r="DJ91" s="37" t="str">
        <v>F7</v>
      </c>
      <c r="DK91" s="37" t="str">
        <v>F8</v>
      </c>
      <c r="DL91" s="37" t="str">
        <v>M4</v>
      </c>
      <c r="DM91" s="37" t="str">
        <v>F9</v>
      </c>
      <c r="DN91" s="37" t="str">
        <v>MB</v>
      </c>
      <c r="DQ91" s="37">
        <v>20</v>
      </c>
      <c r="DR91" s="37">
        <v>15</v>
      </c>
      <c r="DS91" s="37">
        <v>4000</v>
      </c>
      <c r="DT91" s="37">
        <v>15</v>
      </c>
      <c r="DU91" s="37">
        <v>1</v>
      </c>
      <c r="DX91" s="37" t="str">
        <v>F7</v>
      </c>
      <c r="DY91" s="37" t="str">
        <v>F8</v>
      </c>
      <c r="DZ91" s="37" t="str">
        <v>M4</v>
      </c>
      <c r="EA91" s="37" t="str">
        <v>F9</v>
      </c>
      <c r="EB91" s="37" t="str">
        <v>MB</v>
      </c>
      <c r="EE91" s="37">
        <v>20</v>
      </c>
      <c r="EF91" s="37">
        <v>15</v>
      </c>
      <c r="EG91" s="37">
        <v>15</v>
      </c>
      <c r="EH91" s="37">
        <v>15</v>
      </c>
      <c r="EI91" s="37">
        <v>1</v>
      </c>
      <c r="EL91" s="37" t="str">
        <v>F7</v>
      </c>
      <c r="EM91" s="37" t="str">
        <v>F8</v>
      </c>
      <c r="EN91" s="37" t="str">
        <v>M4</v>
      </c>
      <c r="EO91" s="37" t="str">
        <v>F9</v>
      </c>
      <c r="EP91" s="37" t="str">
        <v>MB</v>
      </c>
      <c r="ES91" s="37">
        <v>20</v>
      </c>
      <c r="ET91" s="37">
        <v>15</v>
      </c>
      <c r="EU91" s="37">
        <v>15</v>
      </c>
      <c r="EV91" s="37">
        <v>15</v>
      </c>
      <c r="EW91" s="37">
        <v>1</v>
      </c>
      <c r="EZ91" s="37" t="str">
        <v>F7</v>
      </c>
      <c r="FA91" s="37" t="str">
        <v>F8</v>
      </c>
      <c r="FB91" s="37" t="str">
        <v>M4</v>
      </c>
      <c r="FC91" s="37" t="str">
        <v>F9</v>
      </c>
      <c r="FD91" s="37" t="str">
        <v>MB</v>
      </c>
      <c r="FG91" s="37">
        <v>20</v>
      </c>
      <c r="FH91" s="37">
        <v>15</v>
      </c>
      <c r="FI91" s="37">
        <v>15</v>
      </c>
      <c r="FJ91" s="37">
        <v>15</v>
      </c>
      <c r="FK91" s="37">
        <v>1</v>
      </c>
      <c r="FN91" s="37" t="str">
        <v>F7</v>
      </c>
      <c r="FO91" s="37" t="str">
        <v>F8</v>
      </c>
      <c r="FP91" s="37" t="str">
        <v>M4</v>
      </c>
      <c r="FQ91" s="37" t="str">
        <v>F9</v>
      </c>
      <c r="FR91" s="37" t="str">
        <v>MB</v>
      </c>
      <c r="FU91" s="37">
        <v>20</v>
      </c>
      <c r="FV91" s="37">
        <v>15</v>
      </c>
      <c r="FW91" s="37">
        <v>15</v>
      </c>
      <c r="FX91" s="37">
        <v>15</v>
      </c>
      <c r="FY91" s="37">
        <v>1</v>
      </c>
      <c r="GB91" s="37" t="str">
        <v>F7</v>
      </c>
      <c r="GC91" s="37" t="str">
        <v>F8</v>
      </c>
      <c r="GD91" s="37" t="str">
        <v>M4</v>
      </c>
      <c r="GE91" s="37" t="str">
        <v>F9</v>
      </c>
      <c r="GF91" s="37" t="str">
        <v>MB</v>
      </c>
      <c r="GI91" s="37">
        <v>20</v>
      </c>
      <c r="GJ91" s="37">
        <v>15</v>
      </c>
      <c r="GK91" s="37">
        <v>15</v>
      </c>
      <c r="GL91" s="37">
        <v>15</v>
      </c>
      <c r="GM91" s="37">
        <v>1</v>
      </c>
      <c r="GP91" s="37" t="str">
        <v>F7</v>
      </c>
      <c r="GQ91" s="37" t="str">
        <v>F8</v>
      </c>
      <c r="GR91" s="37" t="str">
        <v>M4</v>
      </c>
      <c r="GS91" s="37" t="str">
        <v>F9</v>
      </c>
      <c r="GT91" s="37" t="str">
        <v>MB</v>
      </c>
      <c r="GW91" s="37">
        <v>20</v>
      </c>
      <c r="GX91" s="37">
        <v>15</v>
      </c>
      <c r="GY91" s="37">
        <v>15</v>
      </c>
      <c r="GZ91" s="37">
        <v>15</v>
      </c>
      <c r="HA91" s="37">
        <v>1</v>
      </c>
      <c r="HD91" s="37" t="str">
        <v>F7</v>
      </c>
      <c r="HE91" s="37" t="str">
        <v>F8</v>
      </c>
      <c r="HF91" s="37" t="str">
        <v>M4</v>
      </c>
      <c r="HG91" s="37" t="str">
        <v>F9</v>
      </c>
      <c r="HH91" s="37" t="str">
        <v>MB</v>
      </c>
      <c r="HK91" s="37">
        <v>20</v>
      </c>
      <c r="HL91" s="37">
        <v>15</v>
      </c>
      <c r="HM91" s="37">
        <v>15</v>
      </c>
      <c r="HN91" s="37">
        <v>15</v>
      </c>
      <c r="HO91" s="37">
        <v>1</v>
      </c>
    </row>
    <row r="92" spans="2:223" x14ac:dyDescent="0.35">
      <c r="B92" s="37" t="str">
        <v>M4</v>
      </c>
      <c r="C92" s="37" t="str">
        <v>BN</v>
      </c>
      <c r="D92" s="37" t="str">
        <v>MB</v>
      </c>
      <c r="E92" s="37" t="str">
        <v>WW</v>
      </c>
      <c r="F92" s="37" t="str">
        <v>MB</v>
      </c>
      <c r="I92" s="37">
        <v>1</v>
      </c>
      <c r="J92" s="37">
        <v>15</v>
      </c>
      <c r="K92" s="37">
        <v>1</v>
      </c>
      <c r="L92" s="37">
        <v>15</v>
      </c>
      <c r="M92" s="37">
        <v>1</v>
      </c>
      <c r="P92" s="37" t="str">
        <v>M4</v>
      </c>
      <c r="Q92" s="37" t="str">
        <v>BN</v>
      </c>
      <c r="R92" s="37" t="str">
        <v>MB</v>
      </c>
      <c r="S92" s="37" t="str">
        <v>WW</v>
      </c>
      <c r="T92" s="37" t="str">
        <v>MB</v>
      </c>
      <c r="W92" s="37">
        <v>1</v>
      </c>
      <c r="X92" s="37">
        <v>15</v>
      </c>
      <c r="Y92" s="37">
        <v>1</v>
      </c>
      <c r="Z92" s="37">
        <v>15</v>
      </c>
      <c r="AA92" s="37">
        <v>1</v>
      </c>
      <c r="AD92" s="37" t="str">
        <v>M4</v>
      </c>
      <c r="AE92" s="37" t="str">
        <v>BN</v>
      </c>
      <c r="AF92" s="37" t="str">
        <v>MB</v>
      </c>
      <c r="AG92" s="37" t="str">
        <v>WW</v>
      </c>
      <c r="AH92" s="37" t="str">
        <v>MB</v>
      </c>
      <c r="AK92" s="37">
        <v>1</v>
      </c>
      <c r="AL92" s="37">
        <v>15</v>
      </c>
      <c r="AM92" s="37">
        <v>1</v>
      </c>
      <c r="AN92" s="37">
        <v>15</v>
      </c>
      <c r="AO92" s="37">
        <v>1</v>
      </c>
      <c r="AR92" s="37" t="str">
        <v>M4</v>
      </c>
      <c r="AS92" s="37" t="str">
        <v>BN</v>
      </c>
      <c r="AT92" s="37" t="str">
        <v>MB</v>
      </c>
      <c r="AU92" s="37" t="str">
        <v>WW</v>
      </c>
      <c r="AV92" s="37" t="str">
        <v>MB</v>
      </c>
      <c r="AY92" s="37">
        <v>1</v>
      </c>
      <c r="AZ92" s="37">
        <v>15</v>
      </c>
      <c r="BA92" s="37">
        <v>1</v>
      </c>
      <c r="BB92" s="37">
        <v>15</v>
      </c>
      <c r="BC92" s="37">
        <v>1</v>
      </c>
      <c r="BF92" s="37" t="str">
        <v>M4</v>
      </c>
      <c r="BG92" s="37" t="str">
        <v>BN</v>
      </c>
      <c r="BH92" s="37" t="str">
        <v>MB</v>
      </c>
      <c r="BI92" s="37" t="str">
        <v>WW</v>
      </c>
      <c r="BJ92" s="37" t="str">
        <v>MB</v>
      </c>
      <c r="BM92" s="37">
        <v>1</v>
      </c>
      <c r="BN92" s="37">
        <v>15</v>
      </c>
      <c r="BO92" s="37">
        <v>5000</v>
      </c>
      <c r="BP92" s="37">
        <v>15</v>
      </c>
      <c r="BQ92" s="37">
        <v>1</v>
      </c>
      <c r="BT92" s="37" t="str">
        <v>M4</v>
      </c>
      <c r="BU92" s="37" t="str">
        <v>BN</v>
      </c>
      <c r="BV92" s="37" t="str">
        <v>MB</v>
      </c>
      <c r="BW92" s="37" t="str">
        <v>WW</v>
      </c>
      <c r="BX92" s="37" t="str">
        <v>MB</v>
      </c>
      <c r="CA92" s="37">
        <v>1</v>
      </c>
      <c r="CB92" s="37">
        <v>15</v>
      </c>
      <c r="CC92" s="37">
        <v>1</v>
      </c>
      <c r="CD92" s="37">
        <v>15</v>
      </c>
      <c r="CE92" s="37">
        <v>1</v>
      </c>
      <c r="CH92" s="37" t="str">
        <v>M4</v>
      </c>
      <c r="CI92" s="37" t="str">
        <v>BN</v>
      </c>
      <c r="CJ92" s="37" t="str">
        <v>MB</v>
      </c>
      <c r="CK92" s="37" t="str">
        <v>WW</v>
      </c>
      <c r="CL92" s="37" t="str">
        <v>MB</v>
      </c>
      <c r="CO92" s="37">
        <v>1</v>
      </c>
      <c r="CP92" s="37">
        <v>15</v>
      </c>
      <c r="CQ92" s="37">
        <v>1</v>
      </c>
      <c r="CR92" s="37">
        <v>15</v>
      </c>
      <c r="CS92" s="37">
        <v>1</v>
      </c>
      <c r="CV92" s="37" t="str">
        <v>M4</v>
      </c>
      <c r="CW92" s="37" t="str">
        <v>BN</v>
      </c>
      <c r="CX92" s="37" t="str">
        <v>MB</v>
      </c>
      <c r="CY92" s="37" t="str">
        <v>WW</v>
      </c>
      <c r="CZ92" s="37" t="str">
        <v>MB</v>
      </c>
      <c r="DC92" s="37">
        <v>1</v>
      </c>
      <c r="DD92" s="37">
        <v>15</v>
      </c>
      <c r="DE92" s="37">
        <v>1</v>
      </c>
      <c r="DF92" s="37">
        <v>15</v>
      </c>
      <c r="DG92" s="37">
        <v>1</v>
      </c>
      <c r="DJ92" s="37" t="str">
        <v>M4</v>
      </c>
      <c r="DK92" s="37" t="str">
        <v>BN</v>
      </c>
      <c r="DL92" s="37" t="str">
        <v>MB</v>
      </c>
      <c r="DM92" s="37" t="str">
        <v>WW</v>
      </c>
      <c r="DN92" s="37" t="str">
        <v>MB</v>
      </c>
      <c r="DQ92" s="37">
        <v>1</v>
      </c>
      <c r="DR92" s="37">
        <v>15</v>
      </c>
      <c r="DS92" s="37">
        <v>4000</v>
      </c>
      <c r="DT92" s="37">
        <v>15</v>
      </c>
      <c r="DU92" s="37">
        <v>1</v>
      </c>
      <c r="DX92" s="37" t="str">
        <v>M4</v>
      </c>
      <c r="DY92" s="37" t="str">
        <v>BN</v>
      </c>
      <c r="DZ92" s="37" t="str">
        <v>MB</v>
      </c>
      <c r="EA92" s="37" t="str">
        <v>WW</v>
      </c>
      <c r="EB92" s="37" t="str">
        <v>MB</v>
      </c>
      <c r="EE92" s="37">
        <v>1</v>
      </c>
      <c r="EF92" s="37">
        <v>15</v>
      </c>
      <c r="EG92" s="37">
        <v>1</v>
      </c>
      <c r="EH92" s="37">
        <v>15</v>
      </c>
      <c r="EI92" s="37">
        <v>1</v>
      </c>
      <c r="EL92" s="37" t="str">
        <v>M4</v>
      </c>
      <c r="EM92" s="37" t="str">
        <v>BN</v>
      </c>
      <c r="EN92" s="37" t="str">
        <v>MB</v>
      </c>
      <c r="EO92" s="37" t="str">
        <v>WW</v>
      </c>
      <c r="EP92" s="37" t="str">
        <v>MB</v>
      </c>
      <c r="ES92" s="37">
        <v>1</v>
      </c>
      <c r="ET92" s="37">
        <v>15</v>
      </c>
      <c r="EU92" s="37">
        <v>1</v>
      </c>
      <c r="EV92" s="37">
        <v>15</v>
      </c>
      <c r="EW92" s="37">
        <v>1</v>
      </c>
      <c r="EZ92" s="37" t="str">
        <v>M4</v>
      </c>
      <c r="FA92" s="37" t="str">
        <v>BN</v>
      </c>
      <c r="FB92" s="37" t="str">
        <v>MB</v>
      </c>
      <c r="FC92" s="37" t="str">
        <v>WW</v>
      </c>
      <c r="FD92" s="37" t="str">
        <v>MB</v>
      </c>
      <c r="FG92" s="37">
        <v>1</v>
      </c>
      <c r="FH92" s="37">
        <v>15</v>
      </c>
      <c r="FI92" s="37">
        <v>1</v>
      </c>
      <c r="FJ92" s="37">
        <v>15</v>
      </c>
      <c r="FK92" s="37">
        <v>1</v>
      </c>
      <c r="FN92" s="37" t="str">
        <v>M4</v>
      </c>
      <c r="FO92" s="37" t="str">
        <v>BN</v>
      </c>
      <c r="FP92" s="37" t="str">
        <v>MB</v>
      </c>
      <c r="FQ92" s="37" t="str">
        <v>WW</v>
      </c>
      <c r="FR92" s="37" t="str">
        <v>MB</v>
      </c>
      <c r="FU92" s="37">
        <v>1</v>
      </c>
      <c r="FV92" s="37">
        <v>15</v>
      </c>
      <c r="FW92" s="37">
        <v>1</v>
      </c>
      <c r="FX92" s="37">
        <v>15</v>
      </c>
      <c r="FY92" s="37">
        <v>1</v>
      </c>
      <c r="GB92" s="37" t="str">
        <v>M4</v>
      </c>
      <c r="GC92" s="37" t="str">
        <v>BN</v>
      </c>
      <c r="GD92" s="37" t="str">
        <v>MB</v>
      </c>
      <c r="GE92" s="37" t="str">
        <v>WW</v>
      </c>
      <c r="GF92" s="37" t="str">
        <v>MB</v>
      </c>
      <c r="GI92" s="37">
        <v>1</v>
      </c>
      <c r="GJ92" s="37">
        <v>15</v>
      </c>
      <c r="GK92" s="37">
        <v>1</v>
      </c>
      <c r="GL92" s="37">
        <v>15</v>
      </c>
      <c r="GM92" s="37">
        <v>1</v>
      </c>
      <c r="GP92" s="37" t="str">
        <v>M4</v>
      </c>
      <c r="GQ92" s="37" t="str">
        <v>BN</v>
      </c>
      <c r="GR92" s="37" t="str">
        <v>MB</v>
      </c>
      <c r="GS92" s="37" t="str">
        <v>WW</v>
      </c>
      <c r="GT92" s="37" t="str">
        <v>MB</v>
      </c>
      <c r="GW92" s="37">
        <v>1</v>
      </c>
      <c r="GX92" s="37">
        <v>15</v>
      </c>
      <c r="GY92" s="37">
        <v>1</v>
      </c>
      <c r="GZ92" s="37">
        <v>15</v>
      </c>
      <c r="HA92" s="37">
        <v>1</v>
      </c>
      <c r="HD92" s="37" t="str">
        <v>M4</v>
      </c>
      <c r="HE92" s="37" t="str">
        <v>BN</v>
      </c>
      <c r="HF92" s="37" t="str">
        <v>MB</v>
      </c>
      <c r="HG92" s="37" t="str">
        <v>WW</v>
      </c>
      <c r="HH92" s="37" t="str">
        <v>MB</v>
      </c>
      <c r="HK92" s="37">
        <v>1</v>
      </c>
      <c r="HL92" s="37">
        <v>15</v>
      </c>
      <c r="HM92" s="37">
        <v>1</v>
      </c>
      <c r="HN92" s="37">
        <v>15</v>
      </c>
      <c r="HO92" s="37">
        <v>1</v>
      </c>
    </row>
    <row r="93" spans="2:223" x14ac:dyDescent="0.35">
      <c r="B93" s="37" t="str">
        <v>MB</v>
      </c>
      <c r="C93" s="37" t="str">
        <v>F6</v>
      </c>
      <c r="D93" s="37" t="str">
        <v>F7</v>
      </c>
      <c r="E93" s="37" t="str">
        <v>WW</v>
      </c>
      <c r="F93" s="37" t="str">
        <v>M2</v>
      </c>
      <c r="I93" s="37">
        <v>1</v>
      </c>
      <c r="J93" s="37">
        <v>15</v>
      </c>
      <c r="K93" s="37">
        <v>1</v>
      </c>
      <c r="L93" s="37">
        <v>15</v>
      </c>
      <c r="M93" s="37">
        <v>1</v>
      </c>
      <c r="P93" s="37" t="str">
        <v>MB</v>
      </c>
      <c r="Q93" s="37" t="str">
        <v>F6</v>
      </c>
      <c r="R93" s="37" t="str">
        <v>F7</v>
      </c>
      <c r="S93" s="37" t="str">
        <v>WW</v>
      </c>
      <c r="T93" s="37" t="str">
        <v>M2</v>
      </c>
      <c r="W93" s="37">
        <v>1</v>
      </c>
      <c r="X93" s="37">
        <v>15</v>
      </c>
      <c r="Y93" s="37">
        <v>1</v>
      </c>
      <c r="Z93" s="37">
        <v>15</v>
      </c>
      <c r="AA93" s="37">
        <v>1</v>
      </c>
      <c r="AD93" s="37" t="str">
        <v>MB</v>
      </c>
      <c r="AE93" s="37" t="str">
        <v>F6</v>
      </c>
      <c r="AF93" s="37" t="str">
        <v>F7</v>
      </c>
      <c r="AG93" s="37" t="str">
        <v>WW</v>
      </c>
      <c r="AH93" s="37" t="str">
        <v>M2</v>
      </c>
      <c r="AK93" s="37">
        <v>1</v>
      </c>
      <c r="AL93" s="37">
        <v>15</v>
      </c>
      <c r="AM93" s="37">
        <v>1</v>
      </c>
      <c r="AN93" s="37">
        <v>15</v>
      </c>
      <c r="AO93" s="37">
        <v>1</v>
      </c>
      <c r="AR93" s="37" t="str">
        <v>MB</v>
      </c>
      <c r="AS93" s="37" t="str">
        <v>F6</v>
      </c>
      <c r="AT93" s="37" t="str">
        <v>F7</v>
      </c>
      <c r="AU93" s="37" t="str">
        <v>WW</v>
      </c>
      <c r="AV93" s="37" t="str">
        <v>M2</v>
      </c>
      <c r="AY93" s="37">
        <v>1</v>
      </c>
      <c r="AZ93" s="37">
        <v>15</v>
      </c>
      <c r="BA93" s="37">
        <v>1</v>
      </c>
      <c r="BB93" s="37">
        <v>15</v>
      </c>
      <c r="BC93" s="37">
        <v>1</v>
      </c>
      <c r="BF93" s="37" t="str">
        <v>MB</v>
      </c>
      <c r="BG93" s="37" t="str">
        <v>F6</v>
      </c>
      <c r="BH93" s="37" t="str">
        <v>F7</v>
      </c>
      <c r="BI93" s="37" t="str">
        <v>WW</v>
      </c>
      <c r="BJ93" s="37" t="str">
        <v>M2</v>
      </c>
      <c r="BM93" s="37">
        <v>1</v>
      </c>
      <c r="BN93" s="37">
        <v>15</v>
      </c>
      <c r="BO93" s="37">
        <v>5000</v>
      </c>
      <c r="BP93" s="37">
        <v>15</v>
      </c>
      <c r="BQ93" s="37">
        <v>1</v>
      </c>
      <c r="BT93" s="37" t="str">
        <v>MB</v>
      </c>
      <c r="BU93" s="37" t="str">
        <v>F6</v>
      </c>
      <c r="BV93" s="37" t="str">
        <v>F7</v>
      </c>
      <c r="BW93" s="37" t="str">
        <v>WW</v>
      </c>
      <c r="BX93" s="37" t="str">
        <v>M2</v>
      </c>
      <c r="CA93" s="37">
        <v>1</v>
      </c>
      <c r="CB93" s="37">
        <v>15</v>
      </c>
      <c r="CC93" s="37">
        <v>1</v>
      </c>
      <c r="CD93" s="37">
        <v>15</v>
      </c>
      <c r="CE93" s="37">
        <v>1</v>
      </c>
      <c r="CH93" s="37" t="str">
        <v>MB</v>
      </c>
      <c r="CI93" s="37" t="str">
        <v>F6</v>
      </c>
      <c r="CJ93" s="37" t="str">
        <v>F7</v>
      </c>
      <c r="CK93" s="37" t="str">
        <v>WW</v>
      </c>
      <c r="CL93" s="37" t="str">
        <v>M2</v>
      </c>
      <c r="CO93" s="37">
        <v>1</v>
      </c>
      <c r="CP93" s="37">
        <v>15</v>
      </c>
      <c r="CQ93" s="37">
        <v>1</v>
      </c>
      <c r="CR93" s="37">
        <v>15</v>
      </c>
      <c r="CS93" s="37">
        <v>1</v>
      </c>
      <c r="CV93" s="37" t="str">
        <v>MB</v>
      </c>
      <c r="CW93" s="37" t="str">
        <v>F6</v>
      </c>
      <c r="CX93" s="37" t="str">
        <v>F7</v>
      </c>
      <c r="CY93" s="37" t="str">
        <v>WW</v>
      </c>
      <c r="CZ93" s="37" t="str">
        <v>M2</v>
      </c>
      <c r="DC93" s="37">
        <v>1</v>
      </c>
      <c r="DD93" s="37">
        <v>15</v>
      </c>
      <c r="DE93" s="37">
        <v>1</v>
      </c>
      <c r="DF93" s="37">
        <v>15</v>
      </c>
      <c r="DG93" s="37">
        <v>1</v>
      </c>
      <c r="DJ93" s="37" t="str">
        <v>MB</v>
      </c>
      <c r="DK93" s="37" t="str">
        <v>F6</v>
      </c>
      <c r="DL93" s="37" t="str">
        <v>F7</v>
      </c>
      <c r="DM93" s="37" t="str">
        <v>WW</v>
      </c>
      <c r="DN93" s="37" t="str">
        <v>M2</v>
      </c>
      <c r="DQ93" s="37">
        <v>1</v>
      </c>
      <c r="DR93" s="37">
        <v>15</v>
      </c>
      <c r="DS93" s="37">
        <v>4000</v>
      </c>
      <c r="DT93" s="37">
        <v>15</v>
      </c>
      <c r="DU93" s="37">
        <v>1</v>
      </c>
      <c r="DX93" s="37" t="str">
        <v>MB</v>
      </c>
      <c r="DY93" s="37" t="str">
        <v>F6</v>
      </c>
      <c r="DZ93" s="37" t="str">
        <v>F7</v>
      </c>
      <c r="EA93" s="37" t="str">
        <v>WW</v>
      </c>
      <c r="EB93" s="37" t="str">
        <v>M2</v>
      </c>
      <c r="EE93" s="37">
        <v>1</v>
      </c>
      <c r="EF93" s="37">
        <v>15</v>
      </c>
      <c r="EG93" s="37">
        <v>1</v>
      </c>
      <c r="EH93" s="37">
        <v>15</v>
      </c>
      <c r="EI93" s="37">
        <v>1</v>
      </c>
      <c r="EL93" s="37" t="str">
        <v>MB</v>
      </c>
      <c r="EM93" s="37" t="str">
        <v>F6</v>
      </c>
      <c r="EN93" s="37" t="str">
        <v>F7</v>
      </c>
      <c r="EO93" s="37" t="str">
        <v>WW</v>
      </c>
      <c r="EP93" s="37" t="str">
        <v>M2</v>
      </c>
      <c r="ES93" s="37">
        <v>1</v>
      </c>
      <c r="ET93" s="37">
        <v>15</v>
      </c>
      <c r="EU93" s="37">
        <v>1</v>
      </c>
      <c r="EV93" s="37">
        <v>15</v>
      </c>
      <c r="EW93" s="37">
        <v>1</v>
      </c>
      <c r="EZ93" s="37" t="str">
        <v>MB</v>
      </c>
      <c r="FA93" s="37" t="str">
        <v>F6</v>
      </c>
      <c r="FB93" s="37" t="str">
        <v>F7</v>
      </c>
      <c r="FC93" s="37" t="str">
        <v>WW</v>
      </c>
      <c r="FD93" s="37" t="str">
        <v>M2</v>
      </c>
      <c r="FG93" s="37">
        <v>1</v>
      </c>
      <c r="FH93" s="37">
        <v>15</v>
      </c>
      <c r="FI93" s="37">
        <v>1</v>
      </c>
      <c r="FJ93" s="37">
        <v>15</v>
      </c>
      <c r="FK93" s="37">
        <v>1</v>
      </c>
      <c r="FN93" s="37" t="str">
        <v>MB</v>
      </c>
      <c r="FO93" s="37" t="str">
        <v>F6</v>
      </c>
      <c r="FP93" s="37" t="str">
        <v>F7</v>
      </c>
      <c r="FQ93" s="37" t="str">
        <v>WW</v>
      </c>
      <c r="FR93" s="37" t="str">
        <v>M2</v>
      </c>
      <c r="FU93" s="37">
        <v>1</v>
      </c>
      <c r="FV93" s="37">
        <v>15</v>
      </c>
      <c r="FW93" s="37">
        <v>1</v>
      </c>
      <c r="FX93" s="37">
        <v>15</v>
      </c>
      <c r="FY93" s="37">
        <v>1</v>
      </c>
      <c r="GB93" s="37" t="str">
        <v>MB</v>
      </c>
      <c r="GC93" s="37" t="str">
        <v>F6</v>
      </c>
      <c r="GD93" s="37" t="str">
        <v>F7</v>
      </c>
      <c r="GE93" s="37" t="str">
        <v>WW</v>
      </c>
      <c r="GF93" s="37" t="str">
        <v>M2</v>
      </c>
      <c r="GI93" s="37">
        <v>1</v>
      </c>
      <c r="GJ93" s="37">
        <v>15</v>
      </c>
      <c r="GK93" s="37">
        <v>1</v>
      </c>
      <c r="GL93" s="37">
        <v>15</v>
      </c>
      <c r="GM93" s="37">
        <v>1</v>
      </c>
      <c r="GP93" s="37" t="str">
        <v>MB</v>
      </c>
      <c r="GQ93" s="37" t="str">
        <v>F6</v>
      </c>
      <c r="GR93" s="37" t="str">
        <v>F7</v>
      </c>
      <c r="GS93" s="37" t="str">
        <v>WW</v>
      </c>
      <c r="GT93" s="37" t="str">
        <v>M2</v>
      </c>
      <c r="GW93" s="37">
        <v>1</v>
      </c>
      <c r="GX93" s="37">
        <v>15</v>
      </c>
      <c r="GY93" s="37">
        <v>1</v>
      </c>
      <c r="GZ93" s="37">
        <v>15</v>
      </c>
      <c r="HA93" s="37">
        <v>1</v>
      </c>
      <c r="HD93" s="37" t="str">
        <v>MB</v>
      </c>
      <c r="HE93" s="37" t="str">
        <v>F6</v>
      </c>
      <c r="HF93" s="37" t="str">
        <v>F7</v>
      </c>
      <c r="HG93" s="37" t="str">
        <v>WW</v>
      </c>
      <c r="HH93" s="37" t="str">
        <v>M2</v>
      </c>
      <c r="HK93" s="37">
        <v>1</v>
      </c>
      <c r="HL93" s="37">
        <v>15</v>
      </c>
      <c r="HM93" s="37">
        <v>1</v>
      </c>
      <c r="HN93" s="37">
        <v>15</v>
      </c>
      <c r="HO93" s="37">
        <v>1</v>
      </c>
    </row>
    <row r="94" spans="2:223" x14ac:dyDescent="0.35">
      <c r="B94" s="37" t="str">
        <v>MB</v>
      </c>
      <c r="C94" s="37" t="str">
        <v>M1</v>
      </c>
      <c r="D94" s="37" t="str">
        <v>F8</v>
      </c>
      <c r="E94" s="37" t="str">
        <v>WW</v>
      </c>
      <c r="F94" s="37" t="str">
        <v>F7</v>
      </c>
      <c r="I94" s="37">
        <v>1</v>
      </c>
      <c r="J94" s="37">
        <v>20</v>
      </c>
      <c r="K94" s="37">
        <v>20</v>
      </c>
      <c r="L94" s="37">
        <v>20</v>
      </c>
      <c r="M94" s="37">
        <v>20</v>
      </c>
      <c r="P94" s="37" t="str">
        <v>MB</v>
      </c>
      <c r="Q94" s="37" t="str">
        <v>M1</v>
      </c>
      <c r="R94" s="37" t="str">
        <v>F8</v>
      </c>
      <c r="S94" s="37" t="str">
        <v>WW</v>
      </c>
      <c r="T94" s="37" t="str">
        <v>F7</v>
      </c>
      <c r="W94" s="37">
        <v>1</v>
      </c>
      <c r="X94" s="37">
        <v>20</v>
      </c>
      <c r="Y94" s="37">
        <v>20</v>
      </c>
      <c r="Z94" s="37">
        <v>20</v>
      </c>
      <c r="AA94" s="37">
        <v>20</v>
      </c>
      <c r="AD94" s="37" t="str">
        <v>MB</v>
      </c>
      <c r="AE94" s="37" t="str">
        <v>M1</v>
      </c>
      <c r="AF94" s="37" t="str">
        <v>F8</v>
      </c>
      <c r="AG94" s="37" t="str">
        <v>WW</v>
      </c>
      <c r="AH94" s="37" t="str">
        <v>F7</v>
      </c>
      <c r="AK94" s="37">
        <v>1</v>
      </c>
      <c r="AL94" s="37">
        <v>20</v>
      </c>
      <c r="AM94" s="37">
        <v>20</v>
      </c>
      <c r="AN94" s="37">
        <v>20</v>
      </c>
      <c r="AO94" s="37">
        <v>20</v>
      </c>
      <c r="AR94" s="37" t="str">
        <v>MB</v>
      </c>
      <c r="AS94" s="37" t="str">
        <v>M1</v>
      </c>
      <c r="AT94" s="37" t="str">
        <v>F8</v>
      </c>
      <c r="AU94" s="37" t="str">
        <v>WW</v>
      </c>
      <c r="AV94" s="37" t="str">
        <v>F7</v>
      </c>
      <c r="AY94" s="37">
        <v>1</v>
      </c>
      <c r="AZ94" s="37">
        <v>20</v>
      </c>
      <c r="BA94" s="37">
        <v>20</v>
      </c>
      <c r="BB94" s="37">
        <v>20</v>
      </c>
      <c r="BC94" s="37">
        <v>20</v>
      </c>
      <c r="BF94" s="37" t="str">
        <v>MB</v>
      </c>
      <c r="BG94" s="37" t="str">
        <v>M1</v>
      </c>
      <c r="BH94" s="37" t="str">
        <v>F8</v>
      </c>
      <c r="BI94" s="37" t="str">
        <v>WW</v>
      </c>
      <c r="BJ94" s="37" t="str">
        <v>F7</v>
      </c>
      <c r="BM94" s="37">
        <v>1</v>
      </c>
      <c r="BN94" s="37">
        <v>20</v>
      </c>
      <c r="BO94" s="37">
        <v>20</v>
      </c>
      <c r="BP94" s="37">
        <v>20</v>
      </c>
      <c r="BQ94" s="37">
        <v>20</v>
      </c>
      <c r="BT94" s="37" t="str">
        <v>MB</v>
      </c>
      <c r="BU94" s="37" t="str">
        <v>M1</v>
      </c>
      <c r="BV94" s="37" t="str">
        <v>F8</v>
      </c>
      <c r="BW94" s="37" t="str">
        <v>WW</v>
      </c>
      <c r="BX94" s="37" t="str">
        <v>F7</v>
      </c>
      <c r="CA94" s="37">
        <v>1</v>
      </c>
      <c r="CB94" s="37">
        <v>20</v>
      </c>
      <c r="CC94" s="37">
        <v>20</v>
      </c>
      <c r="CD94" s="37">
        <v>20</v>
      </c>
      <c r="CE94" s="37">
        <v>20</v>
      </c>
      <c r="CH94" s="37" t="str">
        <v>MB</v>
      </c>
      <c r="CI94" s="37" t="str">
        <v>M1</v>
      </c>
      <c r="CJ94" s="37" t="str">
        <v>F8</v>
      </c>
      <c r="CK94" s="37" t="str">
        <v>WW</v>
      </c>
      <c r="CL94" s="37" t="str">
        <v>F7</v>
      </c>
      <c r="CO94" s="37">
        <v>1</v>
      </c>
      <c r="CP94" s="37">
        <v>20</v>
      </c>
      <c r="CQ94" s="37">
        <v>20</v>
      </c>
      <c r="CR94" s="37">
        <v>20</v>
      </c>
      <c r="CS94" s="37">
        <v>20</v>
      </c>
      <c r="CV94" s="37" t="str">
        <v>MB</v>
      </c>
      <c r="CW94" s="37" t="str">
        <v>M1</v>
      </c>
      <c r="CX94" s="37" t="str">
        <v>F8</v>
      </c>
      <c r="CY94" s="37" t="str">
        <v>WW</v>
      </c>
      <c r="CZ94" s="37" t="str">
        <v>F7</v>
      </c>
      <c r="DC94" s="37">
        <v>1</v>
      </c>
      <c r="DD94" s="37">
        <v>20</v>
      </c>
      <c r="DE94" s="37">
        <v>20</v>
      </c>
      <c r="DF94" s="37">
        <v>20</v>
      </c>
      <c r="DG94" s="37">
        <v>20</v>
      </c>
      <c r="DJ94" s="37" t="str">
        <v>MB</v>
      </c>
      <c r="DK94" s="37" t="str">
        <v>M1</v>
      </c>
      <c r="DL94" s="37" t="str">
        <v>F8</v>
      </c>
      <c r="DM94" s="37" t="str">
        <v>WW</v>
      </c>
      <c r="DN94" s="37" t="str">
        <v>F7</v>
      </c>
      <c r="DQ94" s="37">
        <v>1</v>
      </c>
      <c r="DR94" s="37">
        <v>20</v>
      </c>
      <c r="DS94" s="37">
        <v>20</v>
      </c>
      <c r="DT94" s="37">
        <v>20</v>
      </c>
      <c r="DU94" s="37">
        <v>20</v>
      </c>
      <c r="DX94" s="37" t="str">
        <v>MB</v>
      </c>
      <c r="DY94" s="37" t="str">
        <v>M1</v>
      </c>
      <c r="DZ94" s="37" t="str">
        <v>F8</v>
      </c>
      <c r="EA94" s="37" t="str">
        <v>WW</v>
      </c>
      <c r="EB94" s="37" t="str">
        <v>F7</v>
      </c>
      <c r="EE94" s="37">
        <v>1</v>
      </c>
      <c r="EF94" s="37">
        <v>20</v>
      </c>
      <c r="EG94" s="37">
        <v>20</v>
      </c>
      <c r="EH94" s="37">
        <v>20</v>
      </c>
      <c r="EI94" s="37">
        <v>20</v>
      </c>
      <c r="EL94" s="37" t="str">
        <v>MB</v>
      </c>
      <c r="EM94" s="37" t="str">
        <v>M1</v>
      </c>
      <c r="EN94" s="37" t="str">
        <v>F8</v>
      </c>
      <c r="EO94" s="37" t="str">
        <v>WW</v>
      </c>
      <c r="EP94" s="37" t="str">
        <v>F7</v>
      </c>
      <c r="ES94" s="37">
        <v>1</v>
      </c>
      <c r="ET94" s="37">
        <v>20</v>
      </c>
      <c r="EU94" s="37">
        <v>20</v>
      </c>
      <c r="EV94" s="37">
        <v>20</v>
      </c>
      <c r="EW94" s="37">
        <v>20</v>
      </c>
      <c r="EZ94" s="37" t="str">
        <v>MB</v>
      </c>
      <c r="FA94" s="37" t="str">
        <v>M1</v>
      </c>
      <c r="FB94" s="37" t="str">
        <v>F8</v>
      </c>
      <c r="FC94" s="37" t="str">
        <v>WW</v>
      </c>
      <c r="FD94" s="37" t="str">
        <v>F7</v>
      </c>
      <c r="FG94" s="37">
        <v>1</v>
      </c>
      <c r="FH94" s="37">
        <v>20</v>
      </c>
      <c r="FI94" s="37">
        <v>20</v>
      </c>
      <c r="FJ94" s="37">
        <v>20</v>
      </c>
      <c r="FK94" s="37">
        <v>20</v>
      </c>
      <c r="FN94" s="37" t="str">
        <v>MB</v>
      </c>
      <c r="FO94" s="37" t="str">
        <v>M1</v>
      </c>
      <c r="FP94" s="37" t="str">
        <v>F8</v>
      </c>
      <c r="FQ94" s="37" t="str">
        <v>WW</v>
      </c>
      <c r="FR94" s="37" t="str">
        <v>F7</v>
      </c>
      <c r="FU94" s="37">
        <v>4000</v>
      </c>
      <c r="FV94" s="37">
        <v>20</v>
      </c>
      <c r="FW94" s="37">
        <v>20</v>
      </c>
      <c r="FX94" s="37">
        <v>20</v>
      </c>
      <c r="FY94" s="37">
        <v>20</v>
      </c>
      <c r="GB94" s="37" t="str">
        <v>MB</v>
      </c>
      <c r="GC94" s="37" t="str">
        <v>M1</v>
      </c>
      <c r="GD94" s="37" t="str">
        <v>F8</v>
      </c>
      <c r="GE94" s="37" t="str">
        <v>WW</v>
      </c>
      <c r="GF94" s="37" t="str">
        <v>F7</v>
      </c>
      <c r="GI94" s="37">
        <v>4000</v>
      </c>
      <c r="GJ94" s="37">
        <v>20</v>
      </c>
      <c r="GK94" s="37">
        <v>20</v>
      </c>
      <c r="GL94" s="37">
        <v>20</v>
      </c>
      <c r="GM94" s="37">
        <v>20</v>
      </c>
      <c r="GP94" s="37" t="str">
        <v>MB</v>
      </c>
      <c r="GQ94" s="37" t="str">
        <v>M1</v>
      </c>
      <c r="GR94" s="37" t="str">
        <v>F8</v>
      </c>
      <c r="GS94" s="37" t="str">
        <v>WW</v>
      </c>
      <c r="GT94" s="37" t="str">
        <v>F7</v>
      </c>
      <c r="GW94" s="37">
        <v>1</v>
      </c>
      <c r="GX94" s="37">
        <v>20</v>
      </c>
      <c r="GY94" s="37">
        <v>20</v>
      </c>
      <c r="GZ94" s="37">
        <v>20</v>
      </c>
      <c r="HA94" s="37">
        <v>20</v>
      </c>
      <c r="HD94" s="37" t="str">
        <v>MB</v>
      </c>
      <c r="HE94" s="37" t="str">
        <v>M1</v>
      </c>
      <c r="HF94" s="37" t="str">
        <v>F8</v>
      </c>
      <c r="HG94" s="37" t="str">
        <v>WW</v>
      </c>
      <c r="HH94" s="37" t="str">
        <v>F7</v>
      </c>
      <c r="HK94" s="37">
        <v>100000000</v>
      </c>
      <c r="HL94" s="37">
        <v>20</v>
      </c>
      <c r="HM94" s="37">
        <v>20</v>
      </c>
      <c r="HN94" s="37">
        <v>20</v>
      </c>
      <c r="HO94" s="37">
        <v>20</v>
      </c>
    </row>
    <row r="95" spans="2:223" x14ac:dyDescent="0.35">
      <c r="B95" s="37" t="str">
        <v>MB</v>
      </c>
      <c r="C95" s="37" t="str">
        <v>F9</v>
      </c>
      <c r="D95" s="37" t="str">
        <v>M1</v>
      </c>
      <c r="E95" s="37" t="str">
        <v>F9</v>
      </c>
      <c r="F95" s="37" t="str">
        <v>M3</v>
      </c>
      <c r="I95" s="37">
        <v>1</v>
      </c>
      <c r="J95" s="37">
        <v>20</v>
      </c>
      <c r="K95" s="37">
        <v>1</v>
      </c>
      <c r="L95" s="37">
        <v>1</v>
      </c>
      <c r="M95" s="37">
        <v>20</v>
      </c>
      <c r="P95" s="37" t="str">
        <v>MB</v>
      </c>
      <c r="Q95" s="37" t="str">
        <v>F9</v>
      </c>
      <c r="R95" s="37" t="str">
        <v>M1</v>
      </c>
      <c r="S95" s="37" t="str">
        <v>F9</v>
      </c>
      <c r="T95" s="37" t="str">
        <v>M3</v>
      </c>
      <c r="W95" s="37">
        <v>1</v>
      </c>
      <c r="X95" s="37">
        <v>20</v>
      </c>
      <c r="Y95" s="37">
        <v>1</v>
      </c>
      <c r="Z95" s="37">
        <v>1</v>
      </c>
      <c r="AA95" s="37">
        <v>20</v>
      </c>
      <c r="AD95" s="37" t="str">
        <v>MB</v>
      </c>
      <c r="AE95" s="37" t="str">
        <v>F9</v>
      </c>
      <c r="AF95" s="37" t="str">
        <v>M1</v>
      </c>
      <c r="AG95" s="37" t="str">
        <v>F9</v>
      </c>
      <c r="AH95" s="37" t="str">
        <v>M3</v>
      </c>
      <c r="AK95" s="37">
        <v>1</v>
      </c>
      <c r="AL95" s="37">
        <v>20</v>
      </c>
      <c r="AM95" s="37">
        <v>1</v>
      </c>
      <c r="AN95" s="37">
        <v>1</v>
      </c>
      <c r="AO95" s="37">
        <v>20</v>
      </c>
      <c r="AR95" s="37" t="str">
        <v>MB</v>
      </c>
      <c r="AS95" s="37" t="str">
        <v>F9</v>
      </c>
      <c r="AT95" s="37" t="str">
        <v>M1</v>
      </c>
      <c r="AU95" s="37" t="str">
        <v>F9</v>
      </c>
      <c r="AV95" s="37" t="str">
        <v>M3</v>
      </c>
      <c r="AY95" s="37">
        <v>1</v>
      </c>
      <c r="AZ95" s="37">
        <v>20</v>
      </c>
      <c r="BA95" s="37">
        <v>1</v>
      </c>
      <c r="BB95" s="37">
        <v>1</v>
      </c>
      <c r="BC95" s="37">
        <v>20</v>
      </c>
      <c r="BF95" s="37" t="str">
        <v>MB</v>
      </c>
      <c r="BG95" s="37" t="str">
        <v>F9</v>
      </c>
      <c r="BH95" s="37" t="str">
        <v>M1</v>
      </c>
      <c r="BI95" s="37" t="str">
        <v>F9</v>
      </c>
      <c r="BJ95" s="37" t="str">
        <v>M3</v>
      </c>
      <c r="BM95" s="37">
        <v>1</v>
      </c>
      <c r="BN95" s="37">
        <v>20</v>
      </c>
      <c r="BO95" s="37">
        <v>1</v>
      </c>
      <c r="BP95" s="37">
        <v>1</v>
      </c>
      <c r="BQ95" s="37">
        <v>20</v>
      </c>
      <c r="BT95" s="37" t="str">
        <v>MB</v>
      </c>
      <c r="BU95" s="37" t="str">
        <v>F9</v>
      </c>
      <c r="BV95" s="37" t="str">
        <v>M1</v>
      </c>
      <c r="BW95" s="37" t="str">
        <v>F9</v>
      </c>
      <c r="BX95" s="37" t="str">
        <v>M3</v>
      </c>
      <c r="CA95" s="37">
        <v>1</v>
      </c>
      <c r="CB95" s="37">
        <v>20</v>
      </c>
      <c r="CC95" s="37">
        <v>1</v>
      </c>
      <c r="CD95" s="37">
        <v>1</v>
      </c>
      <c r="CE95" s="37">
        <v>20</v>
      </c>
      <c r="CH95" s="37" t="str">
        <v>MB</v>
      </c>
      <c r="CI95" s="37" t="str">
        <v>F9</v>
      </c>
      <c r="CJ95" s="37" t="str">
        <v>M1</v>
      </c>
      <c r="CK95" s="37" t="str">
        <v>F9</v>
      </c>
      <c r="CL95" s="37" t="str">
        <v>M3</v>
      </c>
      <c r="CO95" s="37">
        <v>1</v>
      </c>
      <c r="CP95" s="37">
        <v>20</v>
      </c>
      <c r="CQ95" s="37">
        <v>1</v>
      </c>
      <c r="CR95" s="37">
        <v>1</v>
      </c>
      <c r="CS95" s="37">
        <v>20</v>
      </c>
      <c r="CV95" s="37" t="str">
        <v>MB</v>
      </c>
      <c r="CW95" s="37" t="str">
        <v>F9</v>
      </c>
      <c r="CX95" s="37" t="str">
        <v>M1</v>
      </c>
      <c r="CY95" s="37" t="str">
        <v>F9</v>
      </c>
      <c r="CZ95" s="37" t="str">
        <v>M3</v>
      </c>
      <c r="DC95" s="37">
        <v>1</v>
      </c>
      <c r="DD95" s="37">
        <v>20</v>
      </c>
      <c r="DE95" s="37">
        <v>1</v>
      </c>
      <c r="DF95" s="37">
        <v>1</v>
      </c>
      <c r="DG95" s="37">
        <v>20</v>
      </c>
      <c r="DJ95" s="37" t="str">
        <v>MB</v>
      </c>
      <c r="DK95" s="37" t="str">
        <v>F9</v>
      </c>
      <c r="DL95" s="37" t="str">
        <v>M1</v>
      </c>
      <c r="DM95" s="37" t="str">
        <v>F9</v>
      </c>
      <c r="DN95" s="37" t="str">
        <v>M3</v>
      </c>
      <c r="DQ95" s="37">
        <v>1</v>
      </c>
      <c r="DR95" s="37">
        <v>20</v>
      </c>
      <c r="DS95" s="37">
        <v>1</v>
      </c>
      <c r="DT95" s="37">
        <v>1</v>
      </c>
      <c r="DU95" s="37">
        <v>20</v>
      </c>
      <c r="DX95" s="37" t="str">
        <v>MB</v>
      </c>
      <c r="DY95" s="37" t="str">
        <v>F9</v>
      </c>
      <c r="DZ95" s="37" t="str">
        <v>M1</v>
      </c>
      <c r="EA95" s="37" t="str">
        <v>F9</v>
      </c>
      <c r="EB95" s="37" t="str">
        <v>M3</v>
      </c>
      <c r="EE95" s="37">
        <v>1</v>
      </c>
      <c r="EF95" s="37">
        <v>20</v>
      </c>
      <c r="EG95" s="37">
        <v>1</v>
      </c>
      <c r="EH95" s="37">
        <v>1</v>
      </c>
      <c r="EI95" s="37">
        <v>20</v>
      </c>
      <c r="EL95" s="37" t="str">
        <v>MB</v>
      </c>
      <c r="EM95" s="37" t="str">
        <v>F9</v>
      </c>
      <c r="EN95" s="37" t="str">
        <v>M1</v>
      </c>
      <c r="EO95" s="37" t="str">
        <v>F9</v>
      </c>
      <c r="EP95" s="37" t="str">
        <v>M3</v>
      </c>
      <c r="ES95" s="37">
        <v>1</v>
      </c>
      <c r="ET95" s="37">
        <v>20</v>
      </c>
      <c r="EU95" s="37">
        <v>1</v>
      </c>
      <c r="EV95" s="37">
        <v>1</v>
      </c>
      <c r="EW95" s="37">
        <v>20</v>
      </c>
      <c r="EZ95" s="37" t="str">
        <v>MB</v>
      </c>
      <c r="FA95" s="37" t="str">
        <v>F9</v>
      </c>
      <c r="FB95" s="37" t="str">
        <v>M1</v>
      </c>
      <c r="FC95" s="37" t="str">
        <v>F9</v>
      </c>
      <c r="FD95" s="37" t="str">
        <v>M3</v>
      </c>
      <c r="FG95" s="37">
        <v>1</v>
      </c>
      <c r="FH95" s="37">
        <v>20</v>
      </c>
      <c r="FI95" s="37">
        <v>1</v>
      </c>
      <c r="FJ95" s="37">
        <v>1</v>
      </c>
      <c r="FK95" s="37">
        <v>20</v>
      </c>
      <c r="FN95" s="37" t="str">
        <v>MB</v>
      </c>
      <c r="FO95" s="37" t="str">
        <v>F9</v>
      </c>
      <c r="FP95" s="37" t="str">
        <v>M1</v>
      </c>
      <c r="FQ95" s="37" t="str">
        <v>F9</v>
      </c>
      <c r="FR95" s="37" t="str">
        <v>M3</v>
      </c>
      <c r="FU95" s="37">
        <v>1</v>
      </c>
      <c r="FV95" s="37">
        <v>20</v>
      </c>
      <c r="FW95" s="37">
        <v>1</v>
      </c>
      <c r="FX95" s="37">
        <v>1</v>
      </c>
      <c r="FY95" s="37">
        <v>20</v>
      </c>
      <c r="GB95" s="37" t="str">
        <v>MB</v>
      </c>
      <c r="GC95" s="37" t="str">
        <v>F9</v>
      </c>
      <c r="GD95" s="37" t="str">
        <v>M1</v>
      </c>
      <c r="GE95" s="37" t="str">
        <v>F9</v>
      </c>
      <c r="GF95" s="37" t="str">
        <v>M3</v>
      </c>
      <c r="GI95" s="37">
        <v>1</v>
      </c>
      <c r="GJ95" s="37">
        <v>20</v>
      </c>
      <c r="GK95" s="37">
        <v>1</v>
      </c>
      <c r="GL95" s="37">
        <v>1</v>
      </c>
      <c r="GM95" s="37">
        <v>20</v>
      </c>
      <c r="GP95" s="37" t="str">
        <v>MB</v>
      </c>
      <c r="GQ95" s="37" t="str">
        <v>F9</v>
      </c>
      <c r="GR95" s="37" t="str">
        <v>M1</v>
      </c>
      <c r="GS95" s="37" t="str">
        <v>F9</v>
      </c>
      <c r="GT95" s="37" t="str">
        <v>M3</v>
      </c>
      <c r="GW95" s="37">
        <v>1</v>
      </c>
      <c r="GX95" s="37">
        <v>20</v>
      </c>
      <c r="GY95" s="37">
        <v>1</v>
      </c>
      <c r="GZ95" s="37">
        <v>1</v>
      </c>
      <c r="HA95" s="37">
        <v>20</v>
      </c>
      <c r="HD95" s="37" t="str">
        <v>MB</v>
      </c>
      <c r="HE95" s="37" t="str">
        <v>F9</v>
      </c>
      <c r="HF95" s="37" t="str">
        <v>M1</v>
      </c>
      <c r="HG95" s="37" t="str">
        <v>F9</v>
      </c>
      <c r="HH95" s="37" t="str">
        <v>M3</v>
      </c>
      <c r="HK95" s="37">
        <v>1</v>
      </c>
      <c r="HL95" s="37">
        <v>20</v>
      </c>
      <c r="HM95" s="37">
        <v>1</v>
      </c>
      <c r="HN95" s="37">
        <v>20</v>
      </c>
      <c r="HO95" s="37">
        <v>20</v>
      </c>
    </row>
    <row r="96" spans="2:223" x14ac:dyDescent="0.35">
      <c r="B96" s="37" t="str">
        <v>F8</v>
      </c>
      <c r="C96" s="37" t="str">
        <v>M3</v>
      </c>
      <c r="D96" s="37" t="str">
        <v>MB</v>
      </c>
      <c r="E96" s="37" t="str">
        <v>MB</v>
      </c>
      <c r="F96" s="37" t="str">
        <v>F9</v>
      </c>
      <c r="I96" s="37">
        <v>1</v>
      </c>
      <c r="J96" s="37">
        <v>20</v>
      </c>
      <c r="K96" s="37">
        <v>1</v>
      </c>
      <c r="L96" s="37">
        <v>1</v>
      </c>
      <c r="M96" s="37">
        <v>20</v>
      </c>
      <c r="P96" s="37" t="str">
        <v>F8</v>
      </c>
      <c r="Q96" s="37" t="str">
        <v>M3</v>
      </c>
      <c r="R96" s="37" t="str">
        <v>MB</v>
      </c>
      <c r="S96" s="37" t="str">
        <v>MB</v>
      </c>
      <c r="T96" s="37" t="str">
        <v>F9</v>
      </c>
      <c r="W96" s="37">
        <v>1</v>
      </c>
      <c r="X96" s="37">
        <v>20</v>
      </c>
      <c r="Y96" s="37">
        <v>1</v>
      </c>
      <c r="Z96" s="37">
        <v>1</v>
      </c>
      <c r="AA96" s="37">
        <v>20</v>
      </c>
      <c r="AD96" s="37" t="str">
        <v>F8</v>
      </c>
      <c r="AE96" s="37" t="str">
        <v>M3</v>
      </c>
      <c r="AF96" s="37" t="str">
        <v>MB</v>
      </c>
      <c r="AG96" s="37" t="str">
        <v>MB</v>
      </c>
      <c r="AH96" s="37" t="str">
        <v>F9</v>
      </c>
      <c r="AK96" s="37">
        <v>1</v>
      </c>
      <c r="AL96" s="37">
        <v>20</v>
      </c>
      <c r="AM96" s="37">
        <v>1</v>
      </c>
      <c r="AN96" s="37">
        <v>1</v>
      </c>
      <c r="AO96" s="37">
        <v>20</v>
      </c>
      <c r="AR96" s="37" t="str">
        <v>F8</v>
      </c>
      <c r="AS96" s="37" t="str">
        <v>M3</v>
      </c>
      <c r="AT96" s="37" t="str">
        <v>MB</v>
      </c>
      <c r="AU96" s="37" t="str">
        <v>MB</v>
      </c>
      <c r="AV96" s="37" t="str">
        <v>F9</v>
      </c>
      <c r="AY96" s="37">
        <v>1</v>
      </c>
      <c r="AZ96" s="37">
        <v>20</v>
      </c>
      <c r="BA96" s="37">
        <v>1</v>
      </c>
      <c r="BB96" s="37">
        <v>4000</v>
      </c>
      <c r="BC96" s="37">
        <v>20</v>
      </c>
      <c r="BF96" s="37" t="str">
        <v>F8</v>
      </c>
      <c r="BG96" s="37" t="str">
        <v>M3</v>
      </c>
      <c r="BH96" s="37" t="str">
        <v>MB</v>
      </c>
      <c r="BI96" s="37" t="str">
        <v>MB</v>
      </c>
      <c r="BJ96" s="37" t="str">
        <v>F9</v>
      </c>
      <c r="BM96" s="37">
        <v>1</v>
      </c>
      <c r="BN96" s="37">
        <v>20</v>
      </c>
      <c r="BO96" s="37">
        <v>1</v>
      </c>
      <c r="BP96" s="37">
        <v>1</v>
      </c>
      <c r="BQ96" s="37">
        <v>20</v>
      </c>
      <c r="BT96" s="37" t="str">
        <v>F8</v>
      </c>
      <c r="BU96" s="37" t="str">
        <v>M3</v>
      </c>
      <c r="BV96" s="37" t="str">
        <v>MB</v>
      </c>
      <c r="BW96" s="37" t="str">
        <v>MB</v>
      </c>
      <c r="BX96" s="37" t="str">
        <v>F9</v>
      </c>
      <c r="CA96" s="37">
        <v>1</v>
      </c>
      <c r="CB96" s="37">
        <v>20</v>
      </c>
      <c r="CC96" s="37">
        <v>1</v>
      </c>
      <c r="CD96" s="37">
        <v>1</v>
      </c>
      <c r="CE96" s="37">
        <v>20</v>
      </c>
      <c r="CH96" s="37" t="str">
        <v>F8</v>
      </c>
      <c r="CI96" s="37" t="str">
        <v>M3</v>
      </c>
      <c r="CJ96" s="37" t="str">
        <v>MB</v>
      </c>
      <c r="CK96" s="37" t="str">
        <v>MB</v>
      </c>
      <c r="CL96" s="37" t="str">
        <v>F9</v>
      </c>
      <c r="CO96" s="37">
        <v>1</v>
      </c>
      <c r="CP96" s="37">
        <v>20</v>
      </c>
      <c r="CQ96" s="37">
        <v>1</v>
      </c>
      <c r="CR96" s="37">
        <v>1</v>
      </c>
      <c r="CS96" s="37">
        <v>20</v>
      </c>
      <c r="CV96" s="37" t="str">
        <v>F8</v>
      </c>
      <c r="CW96" s="37" t="str">
        <v>M3</v>
      </c>
      <c r="CX96" s="37" t="str">
        <v>MB</v>
      </c>
      <c r="CY96" s="37" t="str">
        <v>MB</v>
      </c>
      <c r="CZ96" s="37" t="str">
        <v>F9</v>
      </c>
      <c r="DC96" s="37">
        <v>1</v>
      </c>
      <c r="DD96" s="37">
        <v>20</v>
      </c>
      <c r="DE96" s="37">
        <v>1</v>
      </c>
      <c r="DF96" s="37">
        <v>1</v>
      </c>
      <c r="DG96" s="37">
        <v>20</v>
      </c>
      <c r="DJ96" s="37" t="str">
        <v>F8</v>
      </c>
      <c r="DK96" s="37" t="str">
        <v>M3</v>
      </c>
      <c r="DL96" s="37" t="str">
        <v>MB</v>
      </c>
      <c r="DM96" s="37" t="str">
        <v>MB</v>
      </c>
      <c r="DN96" s="37" t="str">
        <v>F9</v>
      </c>
      <c r="DQ96" s="37">
        <v>1</v>
      </c>
      <c r="DR96" s="37">
        <v>20</v>
      </c>
      <c r="DS96" s="37">
        <v>1</v>
      </c>
      <c r="DT96" s="37">
        <v>1</v>
      </c>
      <c r="DU96" s="37">
        <v>20</v>
      </c>
      <c r="DX96" s="37" t="str">
        <v>F8</v>
      </c>
      <c r="DY96" s="37" t="str">
        <v>M3</v>
      </c>
      <c r="DZ96" s="37" t="str">
        <v>MB</v>
      </c>
      <c r="EA96" s="37" t="str">
        <v>MB</v>
      </c>
      <c r="EB96" s="37" t="str">
        <v>F9</v>
      </c>
      <c r="EE96" s="37">
        <v>1</v>
      </c>
      <c r="EF96" s="37">
        <v>20</v>
      </c>
      <c r="EG96" s="37">
        <v>1</v>
      </c>
      <c r="EH96" s="37">
        <v>1</v>
      </c>
      <c r="EI96" s="37">
        <v>20</v>
      </c>
      <c r="EL96" s="37" t="str">
        <v>F8</v>
      </c>
      <c r="EM96" s="37" t="str">
        <v>M3</v>
      </c>
      <c r="EN96" s="37" t="str">
        <v>MB</v>
      </c>
      <c r="EO96" s="37" t="str">
        <v>MB</v>
      </c>
      <c r="EP96" s="37" t="str">
        <v>F9</v>
      </c>
      <c r="ES96" s="37">
        <v>1</v>
      </c>
      <c r="ET96" s="37">
        <v>20</v>
      </c>
      <c r="EU96" s="37">
        <v>1</v>
      </c>
      <c r="EV96" s="37">
        <v>1</v>
      </c>
      <c r="EW96" s="37">
        <v>20</v>
      </c>
      <c r="EZ96" s="37" t="str">
        <v>F8</v>
      </c>
      <c r="FA96" s="37" t="str">
        <v>M3</v>
      </c>
      <c r="FB96" s="37" t="str">
        <v>MB</v>
      </c>
      <c r="FC96" s="37" t="str">
        <v>MB</v>
      </c>
      <c r="FD96" s="37" t="str">
        <v>F9</v>
      </c>
      <c r="FG96" s="37">
        <v>1</v>
      </c>
      <c r="FH96" s="37">
        <v>20</v>
      </c>
      <c r="FI96" s="37">
        <v>1</v>
      </c>
      <c r="FJ96" s="37">
        <v>1</v>
      </c>
      <c r="FK96" s="37">
        <v>20</v>
      </c>
      <c r="FN96" s="37" t="str">
        <v>F8</v>
      </c>
      <c r="FO96" s="37" t="str">
        <v>M3</v>
      </c>
      <c r="FP96" s="37" t="str">
        <v>MB</v>
      </c>
      <c r="FQ96" s="37" t="str">
        <v>MB</v>
      </c>
      <c r="FR96" s="37" t="str">
        <v>F9</v>
      </c>
      <c r="FU96" s="37">
        <v>1</v>
      </c>
      <c r="FV96" s="37">
        <v>20</v>
      </c>
      <c r="FW96" s="37">
        <v>1</v>
      </c>
      <c r="FX96" s="37">
        <v>1</v>
      </c>
      <c r="FY96" s="37">
        <v>20</v>
      </c>
      <c r="GB96" s="37" t="str">
        <v>F8</v>
      </c>
      <c r="GC96" s="37" t="str">
        <v>M3</v>
      </c>
      <c r="GD96" s="37" t="str">
        <v>MB</v>
      </c>
      <c r="GE96" s="37" t="str">
        <v>MB</v>
      </c>
      <c r="GF96" s="37" t="str">
        <v>F9</v>
      </c>
      <c r="GI96" s="37">
        <v>1</v>
      </c>
      <c r="GJ96" s="37">
        <v>20</v>
      </c>
      <c r="GK96" s="37">
        <v>1</v>
      </c>
      <c r="GL96" s="37">
        <v>4000</v>
      </c>
      <c r="GM96" s="37">
        <v>20</v>
      </c>
      <c r="GP96" s="37" t="str">
        <v>F8</v>
      </c>
      <c r="GQ96" s="37" t="str">
        <v>M3</v>
      </c>
      <c r="GR96" s="37" t="str">
        <v>MB</v>
      </c>
      <c r="GS96" s="37" t="str">
        <v>MB</v>
      </c>
      <c r="GT96" s="37" t="str">
        <v>F9</v>
      </c>
      <c r="GW96" s="37">
        <v>1</v>
      </c>
      <c r="GX96" s="37">
        <v>20</v>
      </c>
      <c r="GY96" s="37">
        <v>1</v>
      </c>
      <c r="GZ96" s="37">
        <v>1</v>
      </c>
      <c r="HA96" s="37">
        <v>20</v>
      </c>
      <c r="HD96" s="37" t="str">
        <v>F8</v>
      </c>
      <c r="HE96" s="37" t="str">
        <v>M3</v>
      </c>
      <c r="HF96" s="37" t="str">
        <v>MB</v>
      </c>
      <c r="HG96" s="37" t="str">
        <v>MB</v>
      </c>
      <c r="HH96" s="37" t="str">
        <v>F9</v>
      </c>
      <c r="HK96" s="37">
        <v>1</v>
      </c>
      <c r="HL96" s="37">
        <v>20</v>
      </c>
      <c r="HM96" s="37">
        <v>1</v>
      </c>
      <c r="HN96" s="37">
        <v>1</v>
      </c>
      <c r="HO96" s="37">
        <v>20</v>
      </c>
    </row>
    <row r="97" spans="2:223" x14ac:dyDescent="0.35">
      <c r="B97" s="37" t="str">
        <v>F8</v>
      </c>
      <c r="C97" s="37" t="str">
        <v>F8</v>
      </c>
      <c r="D97" s="37" t="str">
        <v>MB</v>
      </c>
      <c r="E97" s="37" t="str">
        <v>MB</v>
      </c>
      <c r="F97" s="37" t="str">
        <v>F5</v>
      </c>
      <c r="I97" s="37">
        <v>20</v>
      </c>
      <c r="J97" s="37">
        <v>1</v>
      </c>
      <c r="K97" s="37">
        <v>1</v>
      </c>
      <c r="L97" s="37">
        <v>1</v>
      </c>
      <c r="M97" s="37">
        <v>20</v>
      </c>
      <c r="P97" s="37" t="str">
        <v>F8</v>
      </c>
      <c r="Q97" s="37" t="str">
        <v>F8</v>
      </c>
      <c r="R97" s="37" t="str">
        <v>MB</v>
      </c>
      <c r="S97" s="37" t="str">
        <v>MB</v>
      </c>
      <c r="T97" s="37" t="str">
        <v>F5</v>
      </c>
      <c r="W97" s="37">
        <v>20</v>
      </c>
      <c r="X97" s="37">
        <v>1</v>
      </c>
      <c r="Y97" s="37">
        <v>1</v>
      </c>
      <c r="Z97" s="37">
        <v>1</v>
      </c>
      <c r="AA97" s="37">
        <v>20</v>
      </c>
      <c r="AD97" s="37" t="str">
        <v>F8</v>
      </c>
      <c r="AE97" s="37" t="str">
        <v>F8</v>
      </c>
      <c r="AF97" s="37" t="str">
        <v>MB</v>
      </c>
      <c r="AG97" s="37" t="str">
        <v>MB</v>
      </c>
      <c r="AH97" s="37" t="str">
        <v>F5</v>
      </c>
      <c r="AK97" s="37">
        <v>20</v>
      </c>
      <c r="AL97" s="37">
        <v>1</v>
      </c>
      <c r="AM97" s="37">
        <v>1</v>
      </c>
      <c r="AN97" s="37">
        <v>1</v>
      </c>
      <c r="AO97" s="37">
        <v>20</v>
      </c>
      <c r="AR97" s="37" t="str">
        <v>F8</v>
      </c>
      <c r="AS97" s="37" t="str">
        <v>F8</v>
      </c>
      <c r="AT97" s="37" t="str">
        <v>MB</v>
      </c>
      <c r="AU97" s="37" t="str">
        <v>MB</v>
      </c>
      <c r="AV97" s="37" t="str">
        <v>F5</v>
      </c>
      <c r="AY97" s="37">
        <v>20</v>
      </c>
      <c r="AZ97" s="37">
        <v>1</v>
      </c>
      <c r="BA97" s="37">
        <v>1</v>
      </c>
      <c r="BB97" s="37">
        <v>4000</v>
      </c>
      <c r="BC97" s="37">
        <v>20</v>
      </c>
      <c r="BF97" s="37" t="str">
        <v>F8</v>
      </c>
      <c r="BG97" s="37" t="str">
        <v>F8</v>
      </c>
      <c r="BH97" s="37" t="str">
        <v>MB</v>
      </c>
      <c r="BI97" s="37" t="str">
        <v>MB</v>
      </c>
      <c r="BJ97" s="37" t="str">
        <v>F5</v>
      </c>
      <c r="BM97" s="37">
        <v>20</v>
      </c>
      <c r="BN97" s="37">
        <v>1</v>
      </c>
      <c r="BO97" s="37">
        <v>1</v>
      </c>
      <c r="BP97" s="37">
        <v>1</v>
      </c>
      <c r="BQ97" s="37">
        <v>20</v>
      </c>
      <c r="BT97" s="37" t="str">
        <v>F8</v>
      </c>
      <c r="BU97" s="37" t="str">
        <v>F8</v>
      </c>
      <c r="BV97" s="37" t="str">
        <v>MB</v>
      </c>
      <c r="BW97" s="37" t="str">
        <v>MB</v>
      </c>
      <c r="BX97" s="37" t="str">
        <v>F5</v>
      </c>
      <c r="CA97" s="37">
        <v>20</v>
      </c>
      <c r="CB97" s="37">
        <v>1</v>
      </c>
      <c r="CC97" s="37">
        <v>1</v>
      </c>
      <c r="CD97" s="37">
        <v>1</v>
      </c>
      <c r="CE97" s="37">
        <v>20</v>
      </c>
      <c r="CH97" s="37" t="str">
        <v>F8</v>
      </c>
      <c r="CI97" s="37" t="str">
        <v>F8</v>
      </c>
      <c r="CJ97" s="37" t="str">
        <v>MB</v>
      </c>
      <c r="CK97" s="37" t="str">
        <v>MB</v>
      </c>
      <c r="CL97" s="37" t="str">
        <v>F5</v>
      </c>
      <c r="CO97" s="37">
        <v>20</v>
      </c>
      <c r="CP97" s="37">
        <v>1</v>
      </c>
      <c r="CQ97" s="37">
        <v>1</v>
      </c>
      <c r="CR97" s="37">
        <v>1</v>
      </c>
      <c r="CS97" s="37">
        <v>20</v>
      </c>
      <c r="CV97" s="37" t="str">
        <v>F8</v>
      </c>
      <c r="CW97" s="37" t="str">
        <v>F8</v>
      </c>
      <c r="CX97" s="37" t="str">
        <v>MB</v>
      </c>
      <c r="CY97" s="37" t="str">
        <v>MB</v>
      </c>
      <c r="CZ97" s="37" t="str">
        <v>F5</v>
      </c>
      <c r="DC97" s="37">
        <v>20</v>
      </c>
      <c r="DD97" s="37">
        <v>1</v>
      </c>
      <c r="DE97" s="37">
        <v>4000</v>
      </c>
      <c r="DF97" s="37">
        <v>1</v>
      </c>
      <c r="DG97" s="37">
        <v>20</v>
      </c>
      <c r="DJ97" s="37" t="str">
        <v>F8</v>
      </c>
      <c r="DK97" s="37" t="str">
        <v>F8</v>
      </c>
      <c r="DL97" s="37" t="str">
        <v>MB</v>
      </c>
      <c r="DM97" s="37" t="str">
        <v>MB</v>
      </c>
      <c r="DN97" s="37" t="str">
        <v>F5</v>
      </c>
      <c r="DQ97" s="37">
        <v>20</v>
      </c>
      <c r="DR97" s="37">
        <v>1</v>
      </c>
      <c r="DS97" s="37">
        <v>1</v>
      </c>
      <c r="DT97" s="37">
        <v>1</v>
      </c>
      <c r="DU97" s="37">
        <v>20</v>
      </c>
      <c r="DX97" s="37" t="str">
        <v>F8</v>
      </c>
      <c r="DY97" s="37" t="str">
        <v>F8</v>
      </c>
      <c r="DZ97" s="37" t="str">
        <v>MB</v>
      </c>
      <c r="EA97" s="37" t="str">
        <v>MB</v>
      </c>
      <c r="EB97" s="37" t="str">
        <v>F5</v>
      </c>
      <c r="EE97" s="37">
        <v>20</v>
      </c>
      <c r="EF97" s="37">
        <v>1</v>
      </c>
      <c r="EG97" s="37">
        <v>1</v>
      </c>
      <c r="EH97" s="37">
        <v>1</v>
      </c>
      <c r="EI97" s="37">
        <v>20</v>
      </c>
      <c r="EL97" s="37" t="str">
        <v>F8</v>
      </c>
      <c r="EM97" s="37" t="str">
        <v>F8</v>
      </c>
      <c r="EN97" s="37" t="str">
        <v>MB</v>
      </c>
      <c r="EO97" s="37" t="str">
        <v>MB</v>
      </c>
      <c r="EP97" s="37" t="str">
        <v>F5</v>
      </c>
      <c r="ES97" s="37">
        <v>20</v>
      </c>
      <c r="ET97" s="37">
        <v>1</v>
      </c>
      <c r="EU97" s="37">
        <v>1</v>
      </c>
      <c r="EV97" s="37">
        <v>1</v>
      </c>
      <c r="EW97" s="37">
        <v>20</v>
      </c>
      <c r="EZ97" s="37" t="str">
        <v>F8</v>
      </c>
      <c r="FA97" s="37" t="str">
        <v>F8</v>
      </c>
      <c r="FB97" s="37" t="str">
        <v>MB</v>
      </c>
      <c r="FC97" s="37" t="str">
        <v>MB</v>
      </c>
      <c r="FD97" s="37" t="str">
        <v>F5</v>
      </c>
      <c r="FG97" s="37">
        <v>20</v>
      </c>
      <c r="FH97" s="37">
        <v>1</v>
      </c>
      <c r="FI97" s="37">
        <v>1</v>
      </c>
      <c r="FJ97" s="37">
        <v>1</v>
      </c>
      <c r="FK97" s="37">
        <v>20</v>
      </c>
      <c r="FN97" s="37" t="str">
        <v>F8</v>
      </c>
      <c r="FO97" s="37" t="str">
        <v>F8</v>
      </c>
      <c r="FP97" s="37" t="str">
        <v>MB</v>
      </c>
      <c r="FQ97" s="37" t="str">
        <v>MB</v>
      </c>
      <c r="FR97" s="37" t="str">
        <v>F5</v>
      </c>
      <c r="FU97" s="37">
        <v>20</v>
      </c>
      <c r="FV97" s="37">
        <v>1</v>
      </c>
      <c r="FW97" s="37">
        <v>1</v>
      </c>
      <c r="FX97" s="37">
        <v>1</v>
      </c>
      <c r="FY97" s="37">
        <v>20</v>
      </c>
      <c r="GB97" s="37" t="str">
        <v>F8</v>
      </c>
      <c r="GC97" s="37" t="str">
        <v>F8</v>
      </c>
      <c r="GD97" s="37" t="str">
        <v>MB</v>
      </c>
      <c r="GE97" s="37" t="str">
        <v>MB</v>
      </c>
      <c r="GF97" s="37" t="str">
        <v>F5</v>
      </c>
      <c r="GI97" s="37">
        <v>20</v>
      </c>
      <c r="GJ97" s="37">
        <v>1</v>
      </c>
      <c r="GK97" s="37">
        <v>4000</v>
      </c>
      <c r="GL97" s="37">
        <v>4000</v>
      </c>
      <c r="GM97" s="37">
        <v>20</v>
      </c>
      <c r="GP97" s="37" t="str">
        <v>F8</v>
      </c>
      <c r="GQ97" s="37" t="str">
        <v>F8</v>
      </c>
      <c r="GR97" s="37" t="str">
        <v>MB</v>
      </c>
      <c r="GS97" s="37" t="str">
        <v>MB</v>
      </c>
      <c r="GT97" s="37" t="str">
        <v>F5</v>
      </c>
      <c r="GW97" s="37">
        <v>20</v>
      </c>
      <c r="GX97" s="37">
        <v>1</v>
      </c>
      <c r="GY97" s="37">
        <v>10000</v>
      </c>
      <c r="GZ97" s="37">
        <v>1</v>
      </c>
      <c r="HA97" s="37">
        <v>20</v>
      </c>
      <c r="HD97" s="37" t="str">
        <v>F8</v>
      </c>
      <c r="HE97" s="37" t="str">
        <v>F8</v>
      </c>
      <c r="HF97" s="37" t="str">
        <v>MB</v>
      </c>
      <c r="HG97" s="37" t="str">
        <v>MB</v>
      </c>
      <c r="HH97" s="37" t="str">
        <v>F5</v>
      </c>
      <c r="HK97" s="37">
        <v>20</v>
      </c>
      <c r="HL97" s="37">
        <v>1</v>
      </c>
      <c r="HM97" s="37">
        <v>100000000</v>
      </c>
      <c r="HN97" s="37">
        <v>1</v>
      </c>
      <c r="HO97" s="37">
        <v>20</v>
      </c>
    </row>
    <row r="98" spans="2:223" x14ac:dyDescent="0.35">
      <c r="B98" s="37" t="str">
        <v>F6</v>
      </c>
      <c r="C98" s="37" t="str">
        <v>MB</v>
      </c>
      <c r="D98" s="37" t="str">
        <v>MB</v>
      </c>
      <c r="E98" s="37" t="str">
        <v>M1</v>
      </c>
      <c r="F98" s="37" t="str">
        <v>M1</v>
      </c>
      <c r="I98" s="37">
        <v>20</v>
      </c>
      <c r="J98" s="37">
        <v>1</v>
      </c>
      <c r="K98" s="37">
        <v>1</v>
      </c>
      <c r="L98" s="37">
        <v>1</v>
      </c>
      <c r="M98" s="37">
        <v>20</v>
      </c>
      <c r="P98" s="37" t="str">
        <v>F6</v>
      </c>
      <c r="Q98" s="37" t="str">
        <v>MB</v>
      </c>
      <c r="R98" s="37" t="str">
        <v>MB</v>
      </c>
      <c r="S98" s="37" t="str">
        <v>M1</v>
      </c>
      <c r="T98" s="37" t="str">
        <v>M1</v>
      </c>
      <c r="W98" s="37">
        <v>20</v>
      </c>
      <c r="X98" s="37">
        <v>1</v>
      </c>
      <c r="Y98" s="37">
        <v>1</v>
      </c>
      <c r="Z98" s="37">
        <v>1</v>
      </c>
      <c r="AA98" s="37">
        <v>20</v>
      </c>
      <c r="AD98" s="37" t="str">
        <v>F6</v>
      </c>
      <c r="AE98" s="37" t="str">
        <v>MB</v>
      </c>
      <c r="AF98" s="37" t="str">
        <v>MB</v>
      </c>
      <c r="AG98" s="37" t="str">
        <v>M1</v>
      </c>
      <c r="AH98" s="37" t="str">
        <v>M1</v>
      </c>
      <c r="AK98" s="37">
        <v>20</v>
      </c>
      <c r="AL98" s="37">
        <v>1</v>
      </c>
      <c r="AM98" s="37">
        <v>1</v>
      </c>
      <c r="AN98" s="37">
        <v>1</v>
      </c>
      <c r="AO98" s="37">
        <v>20</v>
      </c>
      <c r="AR98" s="37" t="str">
        <v>F6</v>
      </c>
      <c r="AS98" s="37" t="str">
        <v>MB</v>
      </c>
      <c r="AT98" s="37" t="str">
        <v>MB</v>
      </c>
      <c r="AU98" s="37" t="str">
        <v>M1</v>
      </c>
      <c r="AV98" s="37" t="str">
        <v>M1</v>
      </c>
      <c r="AY98" s="37">
        <v>20</v>
      </c>
      <c r="AZ98" s="37">
        <v>1</v>
      </c>
      <c r="BA98" s="37">
        <v>1</v>
      </c>
      <c r="BB98" s="37">
        <v>1</v>
      </c>
      <c r="BC98" s="37">
        <v>20</v>
      </c>
      <c r="BF98" s="37" t="str">
        <v>F6</v>
      </c>
      <c r="BG98" s="37" t="str">
        <v>MB</v>
      </c>
      <c r="BH98" s="37" t="str">
        <v>MB</v>
      </c>
      <c r="BI98" s="37" t="str">
        <v>M1</v>
      </c>
      <c r="BJ98" s="37" t="str">
        <v>M1</v>
      </c>
      <c r="BM98" s="37">
        <v>20</v>
      </c>
      <c r="BN98" s="37">
        <v>1</v>
      </c>
      <c r="BO98" s="37">
        <v>1</v>
      </c>
      <c r="BP98" s="37">
        <v>1</v>
      </c>
      <c r="BQ98" s="37">
        <v>20</v>
      </c>
      <c r="BT98" s="37" t="str">
        <v>F6</v>
      </c>
      <c r="BU98" s="37" t="str">
        <v>MB</v>
      </c>
      <c r="BV98" s="37" t="str">
        <v>MB</v>
      </c>
      <c r="BW98" s="37" t="str">
        <v>M1</v>
      </c>
      <c r="BX98" s="37" t="str">
        <v>M1</v>
      </c>
      <c r="CA98" s="37">
        <v>20</v>
      </c>
      <c r="CB98" s="37">
        <v>1</v>
      </c>
      <c r="CC98" s="37">
        <v>1</v>
      </c>
      <c r="CD98" s="37">
        <v>1</v>
      </c>
      <c r="CE98" s="37">
        <v>20</v>
      </c>
      <c r="CH98" s="37" t="str">
        <v>F6</v>
      </c>
      <c r="CI98" s="37" t="str">
        <v>MB</v>
      </c>
      <c r="CJ98" s="37" t="str">
        <v>MB</v>
      </c>
      <c r="CK98" s="37" t="str">
        <v>M1</v>
      </c>
      <c r="CL98" s="37" t="str">
        <v>M1</v>
      </c>
      <c r="CO98" s="37">
        <v>20</v>
      </c>
      <c r="CP98" s="37">
        <v>1</v>
      </c>
      <c r="CQ98" s="37">
        <v>1</v>
      </c>
      <c r="CR98" s="37">
        <v>1</v>
      </c>
      <c r="CS98" s="37">
        <v>20</v>
      </c>
      <c r="CV98" s="37" t="str">
        <v>F6</v>
      </c>
      <c r="CW98" s="37" t="str">
        <v>MB</v>
      </c>
      <c r="CX98" s="37" t="str">
        <v>MB</v>
      </c>
      <c r="CY98" s="37" t="str">
        <v>M1</v>
      </c>
      <c r="CZ98" s="37" t="str">
        <v>M1</v>
      </c>
      <c r="DC98" s="37">
        <v>20</v>
      </c>
      <c r="DD98" s="37">
        <v>1</v>
      </c>
      <c r="DE98" s="37">
        <v>1</v>
      </c>
      <c r="DF98" s="37">
        <v>1</v>
      </c>
      <c r="DG98" s="37">
        <v>20</v>
      </c>
      <c r="DJ98" s="37" t="str">
        <v>F6</v>
      </c>
      <c r="DK98" s="37" t="str">
        <v>MB</v>
      </c>
      <c r="DL98" s="37" t="str">
        <v>MB</v>
      </c>
      <c r="DM98" s="37" t="str">
        <v>M1</v>
      </c>
      <c r="DN98" s="37" t="str">
        <v>M1</v>
      </c>
      <c r="DQ98" s="37">
        <v>20</v>
      </c>
      <c r="DR98" s="37">
        <v>1</v>
      </c>
      <c r="DS98" s="37">
        <v>1</v>
      </c>
      <c r="DT98" s="37">
        <v>1</v>
      </c>
      <c r="DU98" s="37">
        <v>20</v>
      </c>
      <c r="DX98" s="37" t="str">
        <v>F6</v>
      </c>
      <c r="DY98" s="37" t="str">
        <v>MB</v>
      </c>
      <c r="DZ98" s="37" t="str">
        <v>MB</v>
      </c>
      <c r="EA98" s="37" t="str">
        <v>M1</v>
      </c>
      <c r="EB98" s="37" t="str">
        <v>M1</v>
      </c>
      <c r="EE98" s="37">
        <v>20</v>
      </c>
      <c r="EF98" s="37">
        <v>1</v>
      </c>
      <c r="EG98" s="37">
        <v>1</v>
      </c>
      <c r="EH98" s="37">
        <v>1</v>
      </c>
      <c r="EI98" s="37">
        <v>20</v>
      </c>
      <c r="EL98" s="37" t="str">
        <v>F6</v>
      </c>
      <c r="EM98" s="37" t="str">
        <v>MB</v>
      </c>
      <c r="EN98" s="37" t="str">
        <v>MB</v>
      </c>
      <c r="EO98" s="37" t="str">
        <v>M1</v>
      </c>
      <c r="EP98" s="37" t="str">
        <v>M1</v>
      </c>
      <c r="ES98" s="37">
        <v>20</v>
      </c>
      <c r="ET98" s="37">
        <v>1</v>
      </c>
      <c r="EU98" s="37">
        <v>1</v>
      </c>
      <c r="EV98" s="37">
        <v>1</v>
      </c>
      <c r="EW98" s="37">
        <v>20</v>
      </c>
      <c r="EZ98" s="37" t="str">
        <v>F6</v>
      </c>
      <c r="FA98" s="37" t="str">
        <v>MB</v>
      </c>
      <c r="FB98" s="37" t="str">
        <v>MB</v>
      </c>
      <c r="FC98" s="37" t="str">
        <v>M1</v>
      </c>
      <c r="FD98" s="37" t="str">
        <v>M1</v>
      </c>
      <c r="FG98" s="37">
        <v>20</v>
      </c>
      <c r="FH98" s="37">
        <v>1</v>
      </c>
      <c r="FI98" s="37">
        <v>1</v>
      </c>
      <c r="FJ98" s="37">
        <v>1</v>
      </c>
      <c r="FK98" s="37">
        <v>20</v>
      </c>
      <c r="FN98" s="37" t="str">
        <v>F6</v>
      </c>
      <c r="FO98" s="37" t="str">
        <v>MB</v>
      </c>
      <c r="FP98" s="37" t="str">
        <v>MB</v>
      </c>
      <c r="FQ98" s="37" t="str">
        <v>M1</v>
      </c>
      <c r="FR98" s="37" t="str">
        <v>M1</v>
      </c>
      <c r="FU98" s="37">
        <v>20</v>
      </c>
      <c r="FV98" s="37">
        <v>1</v>
      </c>
      <c r="FW98" s="37">
        <v>1</v>
      </c>
      <c r="FX98" s="37">
        <v>1</v>
      </c>
      <c r="FY98" s="37">
        <v>20</v>
      </c>
      <c r="GB98" s="37" t="str">
        <v>F6</v>
      </c>
      <c r="GC98" s="37" t="str">
        <v>MB</v>
      </c>
      <c r="GD98" s="37" t="str">
        <v>MB</v>
      </c>
      <c r="GE98" s="37" t="str">
        <v>M1</v>
      </c>
      <c r="GF98" s="37" t="str">
        <v>M1</v>
      </c>
      <c r="GI98" s="37">
        <v>20</v>
      </c>
      <c r="GJ98" s="37">
        <v>1</v>
      </c>
      <c r="GK98" s="37">
        <v>1</v>
      </c>
      <c r="GL98" s="37">
        <v>1</v>
      </c>
      <c r="GM98" s="37">
        <v>20</v>
      </c>
      <c r="GP98" s="37" t="str">
        <v>F6</v>
      </c>
      <c r="GQ98" s="37" t="str">
        <v>MB</v>
      </c>
      <c r="GR98" s="37" t="str">
        <v>MB</v>
      </c>
      <c r="GS98" s="37" t="str">
        <v>M1</v>
      </c>
      <c r="GT98" s="37" t="str">
        <v>M1</v>
      </c>
      <c r="GW98" s="37">
        <v>20</v>
      </c>
      <c r="GX98" s="37">
        <v>1</v>
      </c>
      <c r="GY98" s="37">
        <v>1</v>
      </c>
      <c r="GZ98" s="37">
        <v>1</v>
      </c>
      <c r="HA98" s="37">
        <v>20</v>
      </c>
      <c r="HD98" s="37" t="str">
        <v>F6</v>
      </c>
      <c r="HE98" s="37" t="str">
        <v>MB</v>
      </c>
      <c r="HF98" s="37" t="str">
        <v>MB</v>
      </c>
      <c r="HG98" s="37" t="str">
        <v>M1</v>
      </c>
      <c r="HH98" s="37" t="str">
        <v>M1</v>
      </c>
      <c r="HK98" s="37">
        <v>20</v>
      </c>
      <c r="HL98" s="37">
        <v>1</v>
      </c>
      <c r="HM98" s="37">
        <v>1</v>
      </c>
      <c r="HN98" s="37">
        <v>1</v>
      </c>
      <c r="HO98" s="37">
        <v>20</v>
      </c>
    </row>
    <row r="99" spans="2:223" x14ac:dyDescent="0.35">
      <c r="B99" s="37" t="str">
        <v>F9</v>
      </c>
      <c r="C99" s="37" t="str">
        <v>MB</v>
      </c>
      <c r="D99" s="37" t="str">
        <v>F5</v>
      </c>
      <c r="E99" s="37" t="str">
        <v>F7</v>
      </c>
      <c r="F99" s="37" t="str">
        <v>F7</v>
      </c>
      <c r="I99" s="37">
        <v>20</v>
      </c>
      <c r="J99" s="37">
        <v>1</v>
      </c>
      <c r="K99" s="37">
        <v>12</v>
      </c>
      <c r="L99" s="37">
        <v>20</v>
      </c>
      <c r="M99" s="37">
        <v>1</v>
      </c>
      <c r="P99" s="37" t="str">
        <v>F9</v>
      </c>
      <c r="Q99" s="37" t="str">
        <v>MB</v>
      </c>
      <c r="R99" s="37" t="str">
        <v>F5</v>
      </c>
      <c r="S99" s="37" t="str">
        <v>F7</v>
      </c>
      <c r="T99" s="37" t="str">
        <v>F7</v>
      </c>
      <c r="W99" s="37">
        <v>20</v>
      </c>
      <c r="X99" s="37">
        <v>1</v>
      </c>
      <c r="Y99" s="37">
        <v>12</v>
      </c>
      <c r="Z99" s="37">
        <v>20</v>
      </c>
      <c r="AA99" s="37">
        <v>1</v>
      </c>
      <c r="AD99" s="37" t="str">
        <v>F9</v>
      </c>
      <c r="AE99" s="37" t="str">
        <v>MB</v>
      </c>
      <c r="AF99" s="37" t="str">
        <v>F5</v>
      </c>
      <c r="AG99" s="37" t="str">
        <v>F7</v>
      </c>
      <c r="AH99" s="37" t="str">
        <v>F7</v>
      </c>
      <c r="AK99" s="37">
        <v>20</v>
      </c>
      <c r="AL99" s="37">
        <v>1</v>
      </c>
      <c r="AM99" s="37">
        <v>12</v>
      </c>
      <c r="AN99" s="37">
        <v>20</v>
      </c>
      <c r="AO99" s="37">
        <v>1</v>
      </c>
      <c r="AR99" s="37" t="str">
        <v>F9</v>
      </c>
      <c r="AS99" s="37" t="str">
        <v>MB</v>
      </c>
      <c r="AT99" s="37" t="str">
        <v>F5</v>
      </c>
      <c r="AU99" s="37" t="str">
        <v>F7</v>
      </c>
      <c r="AV99" s="37" t="str">
        <v>F7</v>
      </c>
      <c r="AY99" s="37">
        <v>20</v>
      </c>
      <c r="AZ99" s="37">
        <v>1</v>
      </c>
      <c r="BA99" s="37">
        <v>12</v>
      </c>
      <c r="BB99" s="37">
        <v>20</v>
      </c>
      <c r="BC99" s="37">
        <v>1</v>
      </c>
      <c r="BF99" s="37" t="str">
        <v>F9</v>
      </c>
      <c r="BG99" s="37" t="str">
        <v>MB</v>
      </c>
      <c r="BH99" s="37" t="str">
        <v>F5</v>
      </c>
      <c r="BI99" s="37" t="str">
        <v>F7</v>
      </c>
      <c r="BJ99" s="37" t="str">
        <v>F7</v>
      </c>
      <c r="BM99" s="37">
        <v>20</v>
      </c>
      <c r="BN99" s="37">
        <v>1</v>
      </c>
      <c r="BO99" s="37">
        <v>12</v>
      </c>
      <c r="BP99" s="37">
        <v>20</v>
      </c>
      <c r="BQ99" s="37">
        <v>1</v>
      </c>
      <c r="BT99" s="37" t="str">
        <v>F9</v>
      </c>
      <c r="BU99" s="37" t="str">
        <v>MB</v>
      </c>
      <c r="BV99" s="37" t="str">
        <v>F5</v>
      </c>
      <c r="BW99" s="37" t="str">
        <v>F7</v>
      </c>
      <c r="BX99" s="37" t="str">
        <v>F7</v>
      </c>
      <c r="CA99" s="37">
        <v>20</v>
      </c>
      <c r="CB99" s="37">
        <v>1</v>
      </c>
      <c r="CC99" s="37">
        <v>12</v>
      </c>
      <c r="CD99" s="37">
        <v>20</v>
      </c>
      <c r="CE99" s="37">
        <v>1</v>
      </c>
      <c r="CH99" s="37" t="str">
        <v>F9</v>
      </c>
      <c r="CI99" s="37" t="str">
        <v>MB</v>
      </c>
      <c r="CJ99" s="37" t="str">
        <v>F5</v>
      </c>
      <c r="CK99" s="37" t="str">
        <v>F7</v>
      </c>
      <c r="CL99" s="37" t="str">
        <v>F7</v>
      </c>
      <c r="CO99" s="37">
        <v>20</v>
      </c>
      <c r="CP99" s="37">
        <v>1</v>
      </c>
      <c r="CQ99" s="37">
        <v>12</v>
      </c>
      <c r="CR99" s="37">
        <v>20</v>
      </c>
      <c r="CS99" s="37">
        <v>1</v>
      </c>
      <c r="CV99" s="37" t="str">
        <v>F9</v>
      </c>
      <c r="CW99" s="37" t="str">
        <v>MB</v>
      </c>
      <c r="CX99" s="37" t="str">
        <v>F5</v>
      </c>
      <c r="CY99" s="37" t="str">
        <v>F7</v>
      </c>
      <c r="CZ99" s="37" t="str">
        <v>F7</v>
      </c>
      <c r="DC99" s="37">
        <v>20</v>
      </c>
      <c r="DD99" s="37">
        <v>1</v>
      </c>
      <c r="DE99" s="37">
        <v>12</v>
      </c>
      <c r="DF99" s="37">
        <v>20</v>
      </c>
      <c r="DG99" s="37">
        <v>1</v>
      </c>
      <c r="DJ99" s="37" t="str">
        <v>F9</v>
      </c>
      <c r="DK99" s="37" t="str">
        <v>MB</v>
      </c>
      <c r="DL99" s="37" t="str">
        <v>F5</v>
      </c>
      <c r="DM99" s="37" t="str">
        <v>F7</v>
      </c>
      <c r="DN99" s="37" t="str">
        <v>F7</v>
      </c>
      <c r="DQ99" s="37">
        <v>20</v>
      </c>
      <c r="DR99" s="37">
        <v>1</v>
      </c>
      <c r="DS99" s="37">
        <v>12</v>
      </c>
      <c r="DT99" s="37">
        <v>20</v>
      </c>
      <c r="DU99" s="37">
        <v>1</v>
      </c>
      <c r="DX99" s="37" t="str">
        <v>F9</v>
      </c>
      <c r="DY99" s="37" t="str">
        <v>MB</v>
      </c>
      <c r="DZ99" s="37" t="str">
        <v>F5</v>
      </c>
      <c r="EA99" s="37" t="str">
        <v>F7</v>
      </c>
      <c r="EB99" s="37" t="str">
        <v>F7</v>
      </c>
      <c r="EE99" s="37">
        <v>20</v>
      </c>
      <c r="EF99" s="37">
        <v>1</v>
      </c>
      <c r="EG99" s="37">
        <v>12</v>
      </c>
      <c r="EH99" s="37">
        <v>20</v>
      </c>
      <c r="EI99" s="37">
        <v>1</v>
      </c>
      <c r="EL99" s="37" t="str">
        <v>F9</v>
      </c>
      <c r="EM99" s="37" t="str">
        <v>MB</v>
      </c>
      <c r="EN99" s="37" t="str">
        <v>F5</v>
      </c>
      <c r="EO99" s="37" t="str">
        <v>F7</v>
      </c>
      <c r="EP99" s="37" t="str">
        <v>F7</v>
      </c>
      <c r="ES99" s="37">
        <v>20</v>
      </c>
      <c r="ET99" s="37">
        <v>1</v>
      </c>
      <c r="EU99" s="37">
        <v>12</v>
      </c>
      <c r="EV99" s="37">
        <v>20</v>
      </c>
      <c r="EW99" s="37">
        <v>1</v>
      </c>
      <c r="EZ99" s="37" t="str">
        <v>F9</v>
      </c>
      <c r="FA99" s="37" t="str">
        <v>MB</v>
      </c>
      <c r="FB99" s="37" t="str">
        <v>F5</v>
      </c>
      <c r="FC99" s="37" t="str">
        <v>F7</v>
      </c>
      <c r="FD99" s="37" t="str">
        <v>F7</v>
      </c>
      <c r="FG99" s="37">
        <v>20</v>
      </c>
      <c r="FH99" s="37">
        <v>1</v>
      </c>
      <c r="FI99" s="37">
        <v>12</v>
      </c>
      <c r="FJ99" s="37">
        <v>20</v>
      </c>
      <c r="FK99" s="37">
        <v>1</v>
      </c>
      <c r="FN99" s="37" t="str">
        <v>F9</v>
      </c>
      <c r="FO99" s="37" t="str">
        <v>MB</v>
      </c>
      <c r="FP99" s="37" t="str">
        <v>F5</v>
      </c>
      <c r="FQ99" s="37" t="str">
        <v>F7</v>
      </c>
      <c r="FR99" s="37" t="str">
        <v>F7</v>
      </c>
      <c r="FU99" s="37">
        <v>20</v>
      </c>
      <c r="FV99" s="37">
        <v>1</v>
      </c>
      <c r="FW99" s="37">
        <v>12</v>
      </c>
      <c r="FX99" s="37">
        <v>20</v>
      </c>
      <c r="FY99" s="37">
        <v>1</v>
      </c>
      <c r="GB99" s="37" t="str">
        <v>F9</v>
      </c>
      <c r="GC99" s="37" t="str">
        <v>MB</v>
      </c>
      <c r="GD99" s="37" t="str">
        <v>F5</v>
      </c>
      <c r="GE99" s="37" t="str">
        <v>F7</v>
      </c>
      <c r="GF99" s="37" t="str">
        <v>F7</v>
      </c>
      <c r="GI99" s="37">
        <v>20</v>
      </c>
      <c r="GJ99" s="37">
        <v>1</v>
      </c>
      <c r="GK99" s="37">
        <v>12</v>
      </c>
      <c r="GL99" s="37">
        <v>20</v>
      </c>
      <c r="GM99" s="37">
        <v>1</v>
      </c>
      <c r="GP99" s="37" t="str">
        <v>F9</v>
      </c>
      <c r="GQ99" s="37" t="str">
        <v>MB</v>
      </c>
      <c r="GR99" s="37" t="str">
        <v>F5</v>
      </c>
      <c r="GS99" s="37" t="str">
        <v>F7</v>
      </c>
      <c r="GT99" s="37" t="str">
        <v>F7</v>
      </c>
      <c r="GW99" s="37">
        <v>20</v>
      </c>
      <c r="GX99" s="37">
        <v>10000</v>
      </c>
      <c r="GY99" s="37">
        <v>12</v>
      </c>
      <c r="GZ99" s="37">
        <v>20</v>
      </c>
      <c r="HA99" s="37">
        <v>1</v>
      </c>
      <c r="HD99" s="37" t="str">
        <v>F9</v>
      </c>
      <c r="HE99" s="37" t="str">
        <v>MB</v>
      </c>
      <c r="HF99" s="37" t="str">
        <v>F5</v>
      </c>
      <c r="HG99" s="37" t="str">
        <v>F7</v>
      </c>
      <c r="HH99" s="37" t="str">
        <v>F7</v>
      </c>
      <c r="HK99" s="37">
        <v>20</v>
      </c>
      <c r="HL99" s="37">
        <v>100000000</v>
      </c>
      <c r="HM99" s="37">
        <v>12</v>
      </c>
      <c r="HN99" s="37">
        <v>20</v>
      </c>
      <c r="HO99" s="37">
        <v>1</v>
      </c>
    </row>
    <row r="100" spans="2:223" x14ac:dyDescent="0.35">
      <c r="B100" s="37" t="str">
        <v>M4</v>
      </c>
      <c r="C100" s="37" t="str">
        <v>MB</v>
      </c>
      <c r="D100" s="37" t="str">
        <v>BN</v>
      </c>
      <c r="E100" s="37" t="str">
        <v>M4</v>
      </c>
      <c r="F100" s="37" t="str">
        <v>MB</v>
      </c>
      <c r="I100" s="37">
        <v>20</v>
      </c>
      <c r="J100" s="37">
        <v>1</v>
      </c>
      <c r="K100" s="37">
        <v>12</v>
      </c>
      <c r="L100" s="37">
        <v>20</v>
      </c>
      <c r="M100" s="37">
        <v>1</v>
      </c>
      <c r="P100" s="37" t="str">
        <v>M4</v>
      </c>
      <c r="Q100" s="37" t="str">
        <v>MB</v>
      </c>
      <c r="R100" s="37" t="str">
        <v>BN</v>
      </c>
      <c r="S100" s="37" t="str">
        <v>M4</v>
      </c>
      <c r="T100" s="37" t="str">
        <v>MB</v>
      </c>
      <c r="W100" s="37">
        <v>20</v>
      </c>
      <c r="X100" s="37">
        <v>1</v>
      </c>
      <c r="Y100" s="37">
        <v>12</v>
      </c>
      <c r="Z100" s="37">
        <v>20</v>
      </c>
      <c r="AA100" s="37">
        <v>1</v>
      </c>
      <c r="AD100" s="37" t="str">
        <v>M4</v>
      </c>
      <c r="AE100" s="37" t="str">
        <v>MB</v>
      </c>
      <c r="AF100" s="37" t="str">
        <v>BN</v>
      </c>
      <c r="AG100" s="37" t="str">
        <v>M4</v>
      </c>
      <c r="AH100" s="37" t="str">
        <v>MB</v>
      </c>
      <c r="AK100" s="37">
        <v>20</v>
      </c>
      <c r="AL100" s="37">
        <v>1</v>
      </c>
      <c r="AM100" s="37">
        <v>12</v>
      </c>
      <c r="AN100" s="37">
        <v>20</v>
      </c>
      <c r="AO100" s="37">
        <v>1</v>
      </c>
      <c r="AR100" s="37" t="str">
        <v>M4</v>
      </c>
      <c r="AS100" s="37" t="str">
        <v>MB</v>
      </c>
      <c r="AT100" s="37" t="str">
        <v>BN</v>
      </c>
      <c r="AU100" s="37" t="str">
        <v>M4</v>
      </c>
      <c r="AV100" s="37" t="str">
        <v>MB</v>
      </c>
      <c r="AY100" s="37">
        <v>20</v>
      </c>
      <c r="AZ100" s="37">
        <v>1</v>
      </c>
      <c r="BA100" s="37">
        <v>12</v>
      </c>
      <c r="BB100" s="37">
        <v>20</v>
      </c>
      <c r="BC100" s="37">
        <v>1</v>
      </c>
      <c r="BF100" s="37" t="str">
        <v>M4</v>
      </c>
      <c r="BG100" s="37" t="str">
        <v>MB</v>
      </c>
      <c r="BH100" s="37" t="str">
        <v>BN</v>
      </c>
      <c r="BI100" s="37" t="str">
        <v>M4</v>
      </c>
      <c r="BJ100" s="37" t="str">
        <v>MB</v>
      </c>
      <c r="BM100" s="37">
        <v>20</v>
      </c>
      <c r="BN100" s="37">
        <v>1</v>
      </c>
      <c r="BO100" s="37">
        <v>12</v>
      </c>
      <c r="BP100" s="37">
        <v>20</v>
      </c>
      <c r="BQ100" s="37">
        <v>1</v>
      </c>
      <c r="BT100" s="37" t="str">
        <v>M4</v>
      </c>
      <c r="BU100" s="37" t="str">
        <v>MB</v>
      </c>
      <c r="BV100" s="37" t="str">
        <v>BN</v>
      </c>
      <c r="BW100" s="37" t="str">
        <v>M4</v>
      </c>
      <c r="BX100" s="37" t="str">
        <v>MB</v>
      </c>
      <c r="CA100" s="37">
        <v>20</v>
      </c>
      <c r="CB100" s="37">
        <v>1</v>
      </c>
      <c r="CC100" s="37">
        <v>12</v>
      </c>
      <c r="CD100" s="37">
        <v>20</v>
      </c>
      <c r="CE100" s="37">
        <v>1</v>
      </c>
      <c r="CH100" s="37" t="str">
        <v>M4</v>
      </c>
      <c r="CI100" s="37" t="str">
        <v>MB</v>
      </c>
      <c r="CJ100" s="37" t="str">
        <v>BN</v>
      </c>
      <c r="CK100" s="37" t="str">
        <v>M4</v>
      </c>
      <c r="CL100" s="37" t="str">
        <v>MB</v>
      </c>
      <c r="CO100" s="37">
        <v>20</v>
      </c>
      <c r="CP100" s="37">
        <v>1</v>
      </c>
      <c r="CQ100" s="37">
        <v>12</v>
      </c>
      <c r="CR100" s="37">
        <v>20</v>
      </c>
      <c r="CS100" s="37">
        <v>1</v>
      </c>
      <c r="CV100" s="37" t="str">
        <v>M4</v>
      </c>
      <c r="CW100" s="37" t="str">
        <v>MB</v>
      </c>
      <c r="CX100" s="37" t="str">
        <v>BN</v>
      </c>
      <c r="CY100" s="37" t="str">
        <v>M4</v>
      </c>
      <c r="CZ100" s="37" t="str">
        <v>MB</v>
      </c>
      <c r="DC100" s="37">
        <v>20</v>
      </c>
      <c r="DD100" s="37">
        <v>1</v>
      </c>
      <c r="DE100" s="37">
        <v>12</v>
      </c>
      <c r="DF100" s="37">
        <v>20</v>
      </c>
      <c r="DG100" s="37">
        <v>1</v>
      </c>
      <c r="DJ100" s="37" t="str">
        <v>M4</v>
      </c>
      <c r="DK100" s="37" t="str">
        <v>MB</v>
      </c>
      <c r="DL100" s="37" t="str">
        <v>BN</v>
      </c>
      <c r="DM100" s="37" t="str">
        <v>M4</v>
      </c>
      <c r="DN100" s="37" t="str">
        <v>MB</v>
      </c>
      <c r="DQ100" s="37">
        <v>20</v>
      </c>
      <c r="DR100" s="37">
        <v>1</v>
      </c>
      <c r="DS100" s="37">
        <v>12</v>
      </c>
      <c r="DT100" s="37">
        <v>20</v>
      </c>
      <c r="DU100" s="37">
        <v>1</v>
      </c>
      <c r="DX100" s="37" t="str">
        <v>M4</v>
      </c>
      <c r="DY100" s="37" t="str">
        <v>MB</v>
      </c>
      <c r="DZ100" s="37" t="str">
        <v>BN</v>
      </c>
      <c r="EA100" s="37" t="str">
        <v>M4</v>
      </c>
      <c r="EB100" s="37" t="str">
        <v>MB</v>
      </c>
      <c r="EE100" s="37">
        <v>20</v>
      </c>
      <c r="EF100" s="37">
        <v>1</v>
      </c>
      <c r="EG100" s="37">
        <v>12</v>
      </c>
      <c r="EH100" s="37">
        <v>20</v>
      </c>
      <c r="EI100" s="37">
        <v>1</v>
      </c>
      <c r="EL100" s="37" t="str">
        <v>M4</v>
      </c>
      <c r="EM100" s="37" t="str">
        <v>MB</v>
      </c>
      <c r="EN100" s="37" t="str">
        <v>BN</v>
      </c>
      <c r="EO100" s="37" t="str">
        <v>M4</v>
      </c>
      <c r="EP100" s="37" t="str">
        <v>MB</v>
      </c>
      <c r="ES100" s="37">
        <v>20</v>
      </c>
      <c r="ET100" s="37">
        <v>1</v>
      </c>
      <c r="EU100" s="37">
        <v>12</v>
      </c>
      <c r="EV100" s="37">
        <v>20</v>
      </c>
      <c r="EW100" s="37">
        <v>1</v>
      </c>
      <c r="EZ100" s="37" t="str">
        <v>M4</v>
      </c>
      <c r="FA100" s="37" t="str">
        <v>MB</v>
      </c>
      <c r="FB100" s="37" t="str">
        <v>BN</v>
      </c>
      <c r="FC100" s="37" t="str">
        <v>M4</v>
      </c>
      <c r="FD100" s="37" t="str">
        <v>MB</v>
      </c>
      <c r="FG100" s="37">
        <v>20</v>
      </c>
      <c r="FH100" s="37">
        <v>1</v>
      </c>
      <c r="FI100" s="37">
        <v>12</v>
      </c>
      <c r="FJ100" s="37">
        <v>20</v>
      </c>
      <c r="FK100" s="37">
        <v>1</v>
      </c>
      <c r="FN100" s="37" t="str">
        <v>M4</v>
      </c>
      <c r="FO100" s="37" t="str">
        <v>MB</v>
      </c>
      <c r="FP100" s="37" t="str">
        <v>BN</v>
      </c>
      <c r="FQ100" s="37" t="str">
        <v>M4</v>
      </c>
      <c r="FR100" s="37" t="str">
        <v>MB</v>
      </c>
      <c r="FU100" s="37">
        <v>20</v>
      </c>
      <c r="FV100" s="37">
        <v>1</v>
      </c>
      <c r="FW100" s="37">
        <v>12</v>
      </c>
      <c r="FX100" s="37">
        <v>20</v>
      </c>
      <c r="FY100" s="37">
        <v>1</v>
      </c>
      <c r="GB100" s="37" t="str">
        <v>M4</v>
      </c>
      <c r="GC100" s="37" t="str">
        <v>MB</v>
      </c>
      <c r="GD100" s="37" t="str">
        <v>BN</v>
      </c>
      <c r="GE100" s="37" t="str">
        <v>M4</v>
      </c>
      <c r="GF100" s="37" t="str">
        <v>MB</v>
      </c>
      <c r="GI100" s="37">
        <v>20</v>
      </c>
      <c r="GJ100" s="37">
        <v>1</v>
      </c>
      <c r="GK100" s="37">
        <v>12</v>
      </c>
      <c r="GL100" s="37">
        <v>20</v>
      </c>
      <c r="GM100" s="37">
        <v>1</v>
      </c>
      <c r="GP100" s="37" t="str">
        <v>M4</v>
      </c>
      <c r="GQ100" s="37" t="str">
        <v>MB</v>
      </c>
      <c r="GR100" s="37" t="str">
        <v>BN</v>
      </c>
      <c r="GS100" s="37" t="str">
        <v>M4</v>
      </c>
      <c r="GT100" s="37" t="str">
        <v>MB</v>
      </c>
      <c r="GW100" s="37">
        <v>20</v>
      </c>
      <c r="GX100" s="37">
        <v>1</v>
      </c>
      <c r="GY100" s="37">
        <v>12</v>
      </c>
      <c r="GZ100" s="37">
        <v>20</v>
      </c>
      <c r="HA100" s="37">
        <v>1</v>
      </c>
      <c r="HD100" s="37" t="str">
        <v>M4</v>
      </c>
      <c r="HE100" s="37" t="str">
        <v>MB</v>
      </c>
      <c r="HF100" s="37" t="str">
        <v>BN</v>
      </c>
      <c r="HG100" s="37" t="str">
        <v>M4</v>
      </c>
      <c r="HH100" s="37" t="str">
        <v>MB</v>
      </c>
      <c r="HK100" s="37">
        <v>20</v>
      </c>
      <c r="HL100" s="37">
        <v>1</v>
      </c>
      <c r="HM100" s="37">
        <v>12</v>
      </c>
      <c r="HN100" s="37">
        <v>20</v>
      </c>
      <c r="HO100" s="37">
        <v>1</v>
      </c>
    </row>
    <row r="101" spans="2:223" x14ac:dyDescent="0.35">
      <c r="B101" s="37" t="str">
        <v>M4</v>
      </c>
      <c r="C101" s="37" t="str">
        <v>F5</v>
      </c>
      <c r="D101" s="37" t="str">
        <v>F9</v>
      </c>
      <c r="E101" s="37" t="str">
        <v>F6</v>
      </c>
      <c r="F101" s="37" t="str">
        <v>MB</v>
      </c>
      <c r="I101" s="37">
        <v>20</v>
      </c>
      <c r="J101" s="37">
        <v>1</v>
      </c>
      <c r="K101" s="37">
        <v>12</v>
      </c>
      <c r="L101" s="37">
        <v>20</v>
      </c>
      <c r="M101" s="37">
        <v>1</v>
      </c>
      <c r="P101" s="37" t="str">
        <v>M4</v>
      </c>
      <c r="Q101" s="37" t="str">
        <v>F5</v>
      </c>
      <c r="R101" s="37" t="str">
        <v>F9</v>
      </c>
      <c r="S101" s="37" t="str">
        <v>F6</v>
      </c>
      <c r="T101" s="37" t="str">
        <v>MB</v>
      </c>
      <c r="W101" s="37">
        <v>20</v>
      </c>
      <c r="X101" s="37">
        <v>1</v>
      </c>
      <c r="Y101" s="37">
        <v>12</v>
      </c>
      <c r="Z101" s="37">
        <v>20</v>
      </c>
      <c r="AA101" s="37">
        <v>1</v>
      </c>
      <c r="AD101" s="37" t="str">
        <v>M4</v>
      </c>
      <c r="AE101" s="37" t="str">
        <v>F5</v>
      </c>
      <c r="AF101" s="37" t="str">
        <v>F9</v>
      </c>
      <c r="AG101" s="37" t="str">
        <v>F6</v>
      </c>
      <c r="AH101" s="37" t="str">
        <v>MB</v>
      </c>
      <c r="AK101" s="37">
        <v>20</v>
      </c>
      <c r="AL101" s="37">
        <v>1</v>
      </c>
      <c r="AM101" s="37">
        <v>12</v>
      </c>
      <c r="AN101" s="37">
        <v>20</v>
      </c>
      <c r="AO101" s="37">
        <v>1</v>
      </c>
      <c r="AR101" s="37" t="str">
        <v>M4</v>
      </c>
      <c r="AS101" s="37" t="str">
        <v>F5</v>
      </c>
      <c r="AT101" s="37" t="str">
        <v>F9</v>
      </c>
      <c r="AU101" s="37" t="str">
        <v>F6</v>
      </c>
      <c r="AV101" s="37" t="str">
        <v>MB</v>
      </c>
      <c r="AY101" s="37">
        <v>20</v>
      </c>
      <c r="AZ101" s="37">
        <v>1</v>
      </c>
      <c r="BA101" s="37">
        <v>12</v>
      </c>
      <c r="BB101" s="37">
        <v>20</v>
      </c>
      <c r="BC101" s="37">
        <v>1</v>
      </c>
      <c r="BF101" s="37" t="str">
        <v>M4</v>
      </c>
      <c r="BG101" s="37" t="str">
        <v>F5</v>
      </c>
      <c r="BH101" s="37" t="str">
        <v>F9</v>
      </c>
      <c r="BI101" s="37" t="str">
        <v>F6</v>
      </c>
      <c r="BJ101" s="37" t="str">
        <v>MB</v>
      </c>
      <c r="BM101" s="37">
        <v>20</v>
      </c>
      <c r="BN101" s="37">
        <v>1</v>
      </c>
      <c r="BO101" s="37">
        <v>12</v>
      </c>
      <c r="BP101" s="37">
        <v>20</v>
      </c>
      <c r="BQ101" s="37">
        <v>1</v>
      </c>
      <c r="BT101" s="37" t="str">
        <v>M4</v>
      </c>
      <c r="BU101" s="37" t="str">
        <v>F5</v>
      </c>
      <c r="BV101" s="37" t="str">
        <v>F9</v>
      </c>
      <c r="BW101" s="37" t="str">
        <v>F6</v>
      </c>
      <c r="BX101" s="37" t="str">
        <v>MB</v>
      </c>
      <c r="CA101" s="37">
        <v>20</v>
      </c>
      <c r="CB101" s="37">
        <v>1</v>
      </c>
      <c r="CC101" s="37">
        <v>12</v>
      </c>
      <c r="CD101" s="37">
        <v>20</v>
      </c>
      <c r="CE101" s="37">
        <v>1</v>
      </c>
      <c r="CH101" s="37" t="str">
        <v>M4</v>
      </c>
      <c r="CI101" s="37" t="str">
        <v>F5</v>
      </c>
      <c r="CJ101" s="37" t="str">
        <v>F9</v>
      </c>
      <c r="CK101" s="37" t="str">
        <v>F6</v>
      </c>
      <c r="CL101" s="37" t="str">
        <v>MB</v>
      </c>
      <c r="CO101" s="37">
        <v>20</v>
      </c>
      <c r="CP101" s="37">
        <v>1</v>
      </c>
      <c r="CQ101" s="37">
        <v>12</v>
      </c>
      <c r="CR101" s="37">
        <v>20</v>
      </c>
      <c r="CS101" s="37">
        <v>1</v>
      </c>
      <c r="CV101" s="37" t="str">
        <v>M4</v>
      </c>
      <c r="CW101" s="37" t="str">
        <v>F5</v>
      </c>
      <c r="CX101" s="37" t="str">
        <v>F9</v>
      </c>
      <c r="CY101" s="37" t="str">
        <v>F6</v>
      </c>
      <c r="CZ101" s="37" t="str">
        <v>MB</v>
      </c>
      <c r="DC101" s="37">
        <v>20</v>
      </c>
      <c r="DD101" s="37">
        <v>1</v>
      </c>
      <c r="DE101" s="37">
        <v>12</v>
      </c>
      <c r="DF101" s="37">
        <v>20</v>
      </c>
      <c r="DG101" s="37">
        <v>4000</v>
      </c>
      <c r="DJ101" s="37" t="str">
        <v>M4</v>
      </c>
      <c r="DK101" s="37" t="str">
        <v>F5</v>
      </c>
      <c r="DL101" s="37" t="str">
        <v>F9</v>
      </c>
      <c r="DM101" s="37" t="str">
        <v>F6</v>
      </c>
      <c r="DN101" s="37" t="str">
        <v>MB</v>
      </c>
      <c r="DQ101" s="37">
        <v>20</v>
      </c>
      <c r="DR101" s="37">
        <v>1</v>
      </c>
      <c r="DS101" s="37">
        <v>12</v>
      </c>
      <c r="DT101" s="37">
        <v>20</v>
      </c>
      <c r="DU101" s="37">
        <v>1</v>
      </c>
      <c r="DX101" s="37" t="str">
        <v>M4</v>
      </c>
      <c r="DY101" s="37" t="str">
        <v>F5</v>
      </c>
      <c r="DZ101" s="37" t="str">
        <v>F9</v>
      </c>
      <c r="EA101" s="37" t="str">
        <v>F6</v>
      </c>
      <c r="EB101" s="37" t="str">
        <v>MB</v>
      </c>
      <c r="EE101" s="37">
        <v>20</v>
      </c>
      <c r="EF101" s="37">
        <v>1</v>
      </c>
      <c r="EG101" s="37">
        <v>12</v>
      </c>
      <c r="EH101" s="37">
        <v>20</v>
      </c>
      <c r="EI101" s="37">
        <v>8000</v>
      </c>
      <c r="EL101" s="37" t="str">
        <v>M4</v>
      </c>
      <c r="EM101" s="37" t="str">
        <v>F5</v>
      </c>
      <c r="EN101" s="37" t="str">
        <v>F9</v>
      </c>
      <c r="EO101" s="37" t="str">
        <v>F6</v>
      </c>
      <c r="EP101" s="37" t="str">
        <v>MB</v>
      </c>
      <c r="ES101" s="37">
        <v>20</v>
      </c>
      <c r="ET101" s="37">
        <v>1</v>
      </c>
      <c r="EU101" s="37">
        <v>12</v>
      </c>
      <c r="EV101" s="37">
        <v>20</v>
      </c>
      <c r="EW101" s="37">
        <v>2000</v>
      </c>
      <c r="EZ101" s="37" t="str">
        <v>M4</v>
      </c>
      <c r="FA101" s="37" t="str">
        <v>F5</v>
      </c>
      <c r="FB101" s="37" t="str">
        <v>F9</v>
      </c>
      <c r="FC101" s="37" t="str">
        <v>F6</v>
      </c>
      <c r="FD101" s="37" t="str">
        <v>MB</v>
      </c>
      <c r="FG101" s="37">
        <v>20</v>
      </c>
      <c r="FH101" s="37">
        <v>1</v>
      </c>
      <c r="FI101" s="37">
        <v>12</v>
      </c>
      <c r="FJ101" s="37">
        <v>20</v>
      </c>
      <c r="FK101" s="37">
        <v>8000</v>
      </c>
      <c r="FN101" s="37" t="str">
        <v>M4</v>
      </c>
      <c r="FO101" s="37" t="str">
        <v>F5</v>
      </c>
      <c r="FP101" s="37" t="str">
        <v>F9</v>
      </c>
      <c r="FQ101" s="37" t="str">
        <v>F6</v>
      </c>
      <c r="FR101" s="37" t="str">
        <v>MB</v>
      </c>
      <c r="FU101" s="37">
        <v>20</v>
      </c>
      <c r="FV101" s="37">
        <v>1</v>
      </c>
      <c r="FW101" s="37">
        <v>12</v>
      </c>
      <c r="FX101" s="37">
        <v>20</v>
      </c>
      <c r="FY101" s="37">
        <v>4000</v>
      </c>
      <c r="GB101" s="37" t="str">
        <v>M4</v>
      </c>
      <c r="GC101" s="37" t="str">
        <v>F5</v>
      </c>
      <c r="GD101" s="37" t="str">
        <v>F9</v>
      </c>
      <c r="GE101" s="37" t="str">
        <v>F6</v>
      </c>
      <c r="GF101" s="37" t="str">
        <v>MB</v>
      </c>
      <c r="GI101" s="37">
        <v>20</v>
      </c>
      <c r="GJ101" s="37">
        <v>1</v>
      </c>
      <c r="GK101" s="37">
        <v>12</v>
      </c>
      <c r="GL101" s="37">
        <v>20</v>
      </c>
      <c r="GM101" s="37">
        <v>4000</v>
      </c>
      <c r="GP101" s="37" t="str">
        <v>M4</v>
      </c>
      <c r="GQ101" s="37" t="str">
        <v>F5</v>
      </c>
      <c r="GR101" s="37" t="str">
        <v>F9</v>
      </c>
      <c r="GS101" s="37" t="str">
        <v>F6</v>
      </c>
      <c r="GT101" s="37" t="str">
        <v>MB</v>
      </c>
      <c r="GW101" s="37">
        <v>20</v>
      </c>
      <c r="GX101" s="37">
        <v>1</v>
      </c>
      <c r="GY101" s="37">
        <v>12</v>
      </c>
      <c r="GZ101" s="37">
        <v>20</v>
      </c>
      <c r="HA101" s="37">
        <v>10000</v>
      </c>
      <c r="HD101" s="37" t="str">
        <v>M4</v>
      </c>
      <c r="HE101" s="37" t="str">
        <v>F5</v>
      </c>
      <c r="HF101" s="37" t="str">
        <v>F9</v>
      </c>
      <c r="HG101" s="37" t="str">
        <v>F6</v>
      </c>
      <c r="HH101" s="37" t="str">
        <v>MB</v>
      </c>
      <c r="HK101" s="37">
        <v>20</v>
      </c>
      <c r="HL101" s="37">
        <v>1</v>
      </c>
      <c r="HM101" s="37">
        <v>12</v>
      </c>
      <c r="HN101" s="37">
        <v>20</v>
      </c>
      <c r="HO101" s="37">
        <v>100000000</v>
      </c>
    </row>
    <row r="102" spans="2:223" x14ac:dyDescent="0.35">
      <c r="B102" s="37" t="str">
        <v>F7</v>
      </c>
      <c r="C102" s="37" t="str">
        <v>F6</v>
      </c>
      <c r="D102" s="37" t="str">
        <v>WW</v>
      </c>
      <c r="E102" s="37" t="str">
        <v>M1</v>
      </c>
      <c r="F102" s="37" t="str">
        <v>MB</v>
      </c>
      <c r="I102" s="37">
        <v>20</v>
      </c>
      <c r="J102" s="37">
        <v>20</v>
      </c>
      <c r="K102" s="37">
        <v>20</v>
      </c>
      <c r="L102" s="37">
        <v>20</v>
      </c>
      <c r="M102" s="37">
        <v>1</v>
      </c>
      <c r="P102" s="37" t="str">
        <v>F7</v>
      </c>
      <c r="Q102" s="37" t="str">
        <v>F6</v>
      </c>
      <c r="R102" s="37" t="str">
        <v>WW</v>
      </c>
      <c r="S102" s="37" t="str">
        <v>M1</v>
      </c>
      <c r="T102" s="37" t="str">
        <v>MB</v>
      </c>
      <c r="W102" s="37">
        <v>20</v>
      </c>
      <c r="X102" s="37">
        <v>20</v>
      </c>
      <c r="Y102" s="37">
        <v>20</v>
      </c>
      <c r="Z102" s="37">
        <v>20</v>
      </c>
      <c r="AA102" s="37">
        <v>1</v>
      </c>
      <c r="AD102" s="37" t="str">
        <v>F7</v>
      </c>
      <c r="AE102" s="37" t="str">
        <v>F6</v>
      </c>
      <c r="AF102" s="37" t="str">
        <v>WW</v>
      </c>
      <c r="AG102" s="37" t="str">
        <v>M1</v>
      </c>
      <c r="AH102" s="37" t="str">
        <v>MB</v>
      </c>
      <c r="AK102" s="37">
        <v>20</v>
      </c>
      <c r="AL102" s="37">
        <v>20</v>
      </c>
      <c r="AM102" s="37">
        <v>20</v>
      </c>
      <c r="AN102" s="37">
        <v>20</v>
      </c>
      <c r="AO102" s="37">
        <v>1</v>
      </c>
      <c r="AR102" s="37" t="str">
        <v>F7</v>
      </c>
      <c r="AS102" s="37" t="str">
        <v>F6</v>
      </c>
      <c r="AT102" s="37" t="str">
        <v>WW</v>
      </c>
      <c r="AU102" s="37" t="str">
        <v>M1</v>
      </c>
      <c r="AV102" s="37" t="str">
        <v>MB</v>
      </c>
      <c r="AY102" s="37">
        <v>20</v>
      </c>
      <c r="AZ102" s="37">
        <v>20</v>
      </c>
      <c r="BA102" s="37">
        <v>20</v>
      </c>
      <c r="BB102" s="37">
        <v>20</v>
      </c>
      <c r="BC102" s="37">
        <v>1</v>
      </c>
      <c r="BF102" s="37" t="str">
        <v>F7</v>
      </c>
      <c r="BG102" s="37" t="str">
        <v>F6</v>
      </c>
      <c r="BH102" s="37" t="str">
        <v>WW</v>
      </c>
      <c r="BI102" s="37" t="str">
        <v>M1</v>
      </c>
      <c r="BJ102" s="37" t="str">
        <v>MB</v>
      </c>
      <c r="BM102" s="37">
        <v>20</v>
      </c>
      <c r="BN102" s="37">
        <v>20</v>
      </c>
      <c r="BO102" s="37">
        <v>20</v>
      </c>
      <c r="BP102" s="37">
        <v>20</v>
      </c>
      <c r="BQ102" s="37">
        <v>1</v>
      </c>
      <c r="BT102" s="37" t="str">
        <v>F7</v>
      </c>
      <c r="BU102" s="37" t="str">
        <v>F6</v>
      </c>
      <c r="BV102" s="37" t="str">
        <v>WW</v>
      </c>
      <c r="BW102" s="37" t="str">
        <v>M1</v>
      </c>
      <c r="BX102" s="37" t="str">
        <v>MB</v>
      </c>
      <c r="CA102" s="37">
        <v>20</v>
      </c>
      <c r="CB102" s="37">
        <v>20</v>
      </c>
      <c r="CC102" s="37">
        <v>20</v>
      </c>
      <c r="CD102" s="37">
        <v>20</v>
      </c>
      <c r="CE102" s="37">
        <v>1</v>
      </c>
      <c r="CH102" s="37" t="str">
        <v>F7</v>
      </c>
      <c r="CI102" s="37" t="str">
        <v>F6</v>
      </c>
      <c r="CJ102" s="37" t="str">
        <v>WW</v>
      </c>
      <c r="CK102" s="37" t="str">
        <v>M1</v>
      </c>
      <c r="CL102" s="37" t="str">
        <v>MB</v>
      </c>
      <c r="CO102" s="37">
        <v>20</v>
      </c>
      <c r="CP102" s="37">
        <v>20</v>
      </c>
      <c r="CQ102" s="37">
        <v>20</v>
      </c>
      <c r="CR102" s="37">
        <v>20</v>
      </c>
      <c r="CS102" s="37">
        <v>1</v>
      </c>
      <c r="CV102" s="37" t="str">
        <v>F7</v>
      </c>
      <c r="CW102" s="37" t="str">
        <v>F6</v>
      </c>
      <c r="CX102" s="37" t="str">
        <v>WW</v>
      </c>
      <c r="CY102" s="37" t="str">
        <v>M1</v>
      </c>
      <c r="CZ102" s="37" t="str">
        <v>MB</v>
      </c>
      <c r="DC102" s="37">
        <v>20</v>
      </c>
      <c r="DD102" s="37">
        <v>20</v>
      </c>
      <c r="DE102" s="37">
        <v>20</v>
      </c>
      <c r="DF102" s="37">
        <v>20</v>
      </c>
      <c r="DG102" s="37">
        <v>1</v>
      </c>
      <c r="DJ102" s="37" t="str">
        <v>F7</v>
      </c>
      <c r="DK102" s="37" t="str">
        <v>F6</v>
      </c>
      <c r="DL102" s="37" t="str">
        <v>WW</v>
      </c>
      <c r="DM102" s="37" t="str">
        <v>M1</v>
      </c>
      <c r="DN102" s="37" t="str">
        <v>MB</v>
      </c>
      <c r="DQ102" s="37">
        <v>20</v>
      </c>
      <c r="DR102" s="37">
        <v>20</v>
      </c>
      <c r="DS102" s="37">
        <v>20</v>
      </c>
      <c r="DT102" s="37">
        <v>20</v>
      </c>
      <c r="DU102" s="37">
        <v>1</v>
      </c>
      <c r="DX102" s="37" t="str">
        <v>F7</v>
      </c>
      <c r="DY102" s="37" t="str">
        <v>F6</v>
      </c>
      <c r="DZ102" s="37" t="str">
        <v>WW</v>
      </c>
      <c r="EA102" s="37" t="str">
        <v>M1</v>
      </c>
      <c r="EB102" s="37" t="str">
        <v>MB</v>
      </c>
      <c r="EE102" s="37">
        <v>20</v>
      </c>
      <c r="EF102" s="37">
        <v>20</v>
      </c>
      <c r="EG102" s="37">
        <v>20</v>
      </c>
      <c r="EH102" s="37">
        <v>20</v>
      </c>
      <c r="EI102" s="37">
        <v>1</v>
      </c>
      <c r="EL102" s="37" t="str">
        <v>F7</v>
      </c>
      <c r="EM102" s="37" t="str">
        <v>F6</v>
      </c>
      <c r="EN102" s="37" t="str">
        <v>WW</v>
      </c>
      <c r="EO102" s="37" t="str">
        <v>M1</v>
      </c>
      <c r="EP102" s="37" t="str">
        <v>MB</v>
      </c>
      <c r="ES102" s="37">
        <v>20</v>
      </c>
      <c r="ET102" s="37">
        <v>20</v>
      </c>
      <c r="EU102" s="37">
        <v>20</v>
      </c>
      <c r="EV102" s="37">
        <v>20</v>
      </c>
      <c r="EW102" s="37">
        <v>1</v>
      </c>
      <c r="EZ102" s="37" t="str">
        <v>F7</v>
      </c>
      <c r="FA102" s="37" t="str">
        <v>F6</v>
      </c>
      <c r="FB102" s="37" t="str">
        <v>WW</v>
      </c>
      <c r="FC102" s="37" t="str">
        <v>M1</v>
      </c>
      <c r="FD102" s="37" t="str">
        <v>MB</v>
      </c>
      <c r="FG102" s="37">
        <v>20</v>
      </c>
      <c r="FH102" s="37">
        <v>20</v>
      </c>
      <c r="FI102" s="37">
        <v>20</v>
      </c>
      <c r="FJ102" s="37">
        <v>20</v>
      </c>
      <c r="FK102" s="37">
        <v>1</v>
      </c>
      <c r="FN102" s="37" t="str">
        <v>F7</v>
      </c>
      <c r="FO102" s="37" t="str">
        <v>F6</v>
      </c>
      <c r="FP102" s="37" t="str">
        <v>WW</v>
      </c>
      <c r="FQ102" s="37" t="str">
        <v>M1</v>
      </c>
      <c r="FR102" s="37" t="str">
        <v>MB</v>
      </c>
      <c r="FU102" s="37">
        <v>20</v>
      </c>
      <c r="FV102" s="37">
        <v>20</v>
      </c>
      <c r="FW102" s="37">
        <v>20</v>
      </c>
      <c r="FX102" s="37">
        <v>20</v>
      </c>
      <c r="FY102" s="37">
        <v>1</v>
      </c>
      <c r="GB102" s="37" t="str">
        <v>F7</v>
      </c>
      <c r="GC102" s="37" t="str">
        <v>F6</v>
      </c>
      <c r="GD102" s="37" t="str">
        <v>WW</v>
      </c>
      <c r="GE102" s="37" t="str">
        <v>M1</v>
      </c>
      <c r="GF102" s="37" t="str">
        <v>MB</v>
      </c>
      <c r="GI102" s="37">
        <v>20</v>
      </c>
      <c r="GJ102" s="37">
        <v>20</v>
      </c>
      <c r="GK102" s="37">
        <v>20</v>
      </c>
      <c r="GL102" s="37">
        <v>20</v>
      </c>
      <c r="GM102" s="37">
        <v>1</v>
      </c>
      <c r="GP102" s="37" t="str">
        <v>F7</v>
      </c>
      <c r="GQ102" s="37" t="str">
        <v>F6</v>
      </c>
      <c r="GR102" s="37" t="str">
        <v>WW</v>
      </c>
      <c r="GS102" s="37" t="str">
        <v>M1</v>
      </c>
      <c r="GT102" s="37" t="str">
        <v>MB</v>
      </c>
      <c r="GW102" s="37">
        <v>20</v>
      </c>
      <c r="GX102" s="37">
        <v>20</v>
      </c>
      <c r="GY102" s="37">
        <v>20</v>
      </c>
      <c r="GZ102" s="37">
        <v>20</v>
      </c>
      <c r="HA102" s="37">
        <v>1</v>
      </c>
      <c r="HD102" s="37" t="str">
        <v>F7</v>
      </c>
      <c r="HE102" s="37" t="str">
        <v>F6</v>
      </c>
      <c r="HF102" s="37" t="str">
        <v>WW</v>
      </c>
      <c r="HG102" s="37" t="str">
        <v>M1</v>
      </c>
      <c r="HH102" s="37" t="str">
        <v>MB</v>
      </c>
      <c r="HK102" s="37">
        <v>20</v>
      </c>
      <c r="HL102" s="37">
        <v>20</v>
      </c>
      <c r="HM102" s="37">
        <v>20</v>
      </c>
      <c r="HN102" s="37">
        <v>20</v>
      </c>
      <c r="HO102" s="37">
        <v>1</v>
      </c>
    </row>
    <row r="103" spans="2:223" x14ac:dyDescent="0.35">
      <c r="B103" s="37" t="str">
        <v>M3</v>
      </c>
      <c r="C103" s="37" t="str">
        <v>M3</v>
      </c>
      <c r="D103" s="37" t="str">
        <v>WW</v>
      </c>
      <c r="E103" s="37" t="str">
        <v>F5</v>
      </c>
      <c r="F103" s="37" t="str">
        <v>F6</v>
      </c>
      <c r="I103" s="37">
        <v>20</v>
      </c>
      <c r="J103" s="37">
        <v>20</v>
      </c>
      <c r="K103" s="37">
        <v>20</v>
      </c>
      <c r="L103" s="37">
        <v>20</v>
      </c>
      <c r="M103" s="37">
        <v>1</v>
      </c>
      <c r="P103" s="37" t="str">
        <v>M3</v>
      </c>
      <c r="Q103" s="37" t="str">
        <v>M3</v>
      </c>
      <c r="R103" s="37" t="str">
        <v>WW</v>
      </c>
      <c r="S103" s="37" t="str">
        <v>F5</v>
      </c>
      <c r="T103" s="37" t="str">
        <v>F6</v>
      </c>
      <c r="W103" s="37">
        <v>20</v>
      </c>
      <c r="X103" s="37">
        <v>20</v>
      </c>
      <c r="Y103" s="37">
        <v>20</v>
      </c>
      <c r="Z103" s="37">
        <v>20</v>
      </c>
      <c r="AA103" s="37">
        <v>1</v>
      </c>
      <c r="AD103" s="37" t="str">
        <v>M3</v>
      </c>
      <c r="AE103" s="37" t="str">
        <v>M3</v>
      </c>
      <c r="AF103" s="37" t="str">
        <v>WW</v>
      </c>
      <c r="AG103" s="37" t="str">
        <v>F5</v>
      </c>
      <c r="AH103" s="37" t="str">
        <v>F6</v>
      </c>
      <c r="AK103" s="37">
        <v>20</v>
      </c>
      <c r="AL103" s="37">
        <v>20</v>
      </c>
      <c r="AM103" s="37">
        <v>20</v>
      </c>
      <c r="AN103" s="37">
        <v>20</v>
      </c>
      <c r="AO103" s="37">
        <v>1</v>
      </c>
      <c r="AR103" s="37" t="str">
        <v>M3</v>
      </c>
      <c r="AS103" s="37" t="str">
        <v>M3</v>
      </c>
      <c r="AT103" s="37" t="str">
        <v>WW</v>
      </c>
      <c r="AU103" s="37" t="str">
        <v>F5</v>
      </c>
      <c r="AV103" s="37" t="str">
        <v>F6</v>
      </c>
      <c r="AY103" s="37">
        <v>20</v>
      </c>
      <c r="AZ103" s="37">
        <v>20</v>
      </c>
      <c r="BA103" s="37">
        <v>20</v>
      </c>
      <c r="BB103" s="37">
        <v>20</v>
      </c>
      <c r="BC103" s="37">
        <v>1</v>
      </c>
      <c r="BF103" s="37" t="str">
        <v>M3</v>
      </c>
      <c r="BG103" s="37" t="str">
        <v>M3</v>
      </c>
      <c r="BH103" s="37" t="str">
        <v>WW</v>
      </c>
      <c r="BI103" s="37" t="str">
        <v>F5</v>
      </c>
      <c r="BJ103" s="37" t="str">
        <v>F6</v>
      </c>
      <c r="BM103" s="37">
        <v>20</v>
      </c>
      <c r="BN103" s="37">
        <v>20</v>
      </c>
      <c r="BO103" s="37">
        <v>20</v>
      </c>
      <c r="BP103" s="37">
        <v>20</v>
      </c>
      <c r="BQ103" s="37">
        <v>1</v>
      </c>
      <c r="BT103" s="37" t="str">
        <v>M3</v>
      </c>
      <c r="BU103" s="37" t="str">
        <v>M3</v>
      </c>
      <c r="BV103" s="37" t="str">
        <v>WW</v>
      </c>
      <c r="BW103" s="37" t="str">
        <v>F5</v>
      </c>
      <c r="BX103" s="37" t="str">
        <v>F6</v>
      </c>
      <c r="CA103" s="37">
        <v>20</v>
      </c>
      <c r="CB103" s="37">
        <v>20</v>
      </c>
      <c r="CC103" s="37">
        <v>20</v>
      </c>
      <c r="CD103" s="37">
        <v>20</v>
      </c>
      <c r="CE103" s="37">
        <v>1</v>
      </c>
      <c r="CH103" s="37" t="str">
        <v>M3</v>
      </c>
      <c r="CI103" s="37" t="str">
        <v>M3</v>
      </c>
      <c r="CJ103" s="37" t="str">
        <v>WW</v>
      </c>
      <c r="CK103" s="37" t="str">
        <v>F5</v>
      </c>
      <c r="CL103" s="37" t="str">
        <v>F6</v>
      </c>
      <c r="CO103" s="37">
        <v>20</v>
      </c>
      <c r="CP103" s="37">
        <v>20</v>
      </c>
      <c r="CQ103" s="37">
        <v>20</v>
      </c>
      <c r="CR103" s="37">
        <v>20</v>
      </c>
      <c r="CS103" s="37">
        <v>1</v>
      </c>
      <c r="CV103" s="37" t="str">
        <v>M3</v>
      </c>
      <c r="CW103" s="37" t="str">
        <v>M3</v>
      </c>
      <c r="CX103" s="37" t="str">
        <v>WW</v>
      </c>
      <c r="CY103" s="37" t="str">
        <v>F5</v>
      </c>
      <c r="CZ103" s="37" t="str">
        <v>F6</v>
      </c>
      <c r="DC103" s="37">
        <v>20</v>
      </c>
      <c r="DD103" s="37">
        <v>20</v>
      </c>
      <c r="DE103" s="37">
        <v>20</v>
      </c>
      <c r="DF103" s="37">
        <v>20</v>
      </c>
      <c r="DG103" s="37">
        <v>1</v>
      </c>
      <c r="DJ103" s="37" t="str">
        <v>M3</v>
      </c>
      <c r="DK103" s="37" t="str">
        <v>M3</v>
      </c>
      <c r="DL103" s="37" t="str">
        <v>WW</v>
      </c>
      <c r="DM103" s="37" t="str">
        <v>F5</v>
      </c>
      <c r="DN103" s="37" t="str">
        <v>F6</v>
      </c>
      <c r="DQ103" s="37">
        <v>20</v>
      </c>
      <c r="DR103" s="37">
        <v>20</v>
      </c>
      <c r="DS103" s="37">
        <v>20</v>
      </c>
      <c r="DT103" s="37">
        <v>20</v>
      </c>
      <c r="DU103" s="37">
        <v>1</v>
      </c>
      <c r="DX103" s="37" t="str">
        <v>M3</v>
      </c>
      <c r="DY103" s="37" t="str">
        <v>M3</v>
      </c>
      <c r="DZ103" s="37" t="str">
        <v>WW</v>
      </c>
      <c r="EA103" s="37" t="str">
        <v>F5</v>
      </c>
      <c r="EB103" s="37" t="str">
        <v>F6</v>
      </c>
      <c r="EE103" s="37">
        <v>20</v>
      </c>
      <c r="EF103" s="37">
        <v>20</v>
      </c>
      <c r="EG103" s="37">
        <v>20</v>
      </c>
      <c r="EH103" s="37">
        <v>20</v>
      </c>
      <c r="EI103" s="37">
        <v>1</v>
      </c>
      <c r="EL103" s="37" t="str">
        <v>M3</v>
      </c>
      <c r="EM103" s="37" t="str">
        <v>M3</v>
      </c>
      <c r="EN103" s="37" t="str">
        <v>WW</v>
      </c>
      <c r="EO103" s="37" t="str">
        <v>F5</v>
      </c>
      <c r="EP103" s="37" t="str">
        <v>F6</v>
      </c>
      <c r="ES103" s="37">
        <v>20</v>
      </c>
      <c r="ET103" s="37">
        <v>20</v>
      </c>
      <c r="EU103" s="37">
        <v>20</v>
      </c>
      <c r="EV103" s="37">
        <v>20</v>
      </c>
      <c r="EW103" s="37">
        <v>1</v>
      </c>
      <c r="EZ103" s="37" t="str">
        <v>M3</v>
      </c>
      <c r="FA103" s="37" t="str">
        <v>M3</v>
      </c>
      <c r="FB103" s="37" t="str">
        <v>WW</v>
      </c>
      <c r="FC103" s="37" t="str">
        <v>F5</v>
      </c>
      <c r="FD103" s="37" t="str">
        <v>F6</v>
      </c>
      <c r="FG103" s="37">
        <v>20</v>
      </c>
      <c r="FH103" s="37">
        <v>20</v>
      </c>
      <c r="FI103" s="37">
        <v>20</v>
      </c>
      <c r="FJ103" s="37">
        <v>20</v>
      </c>
      <c r="FK103" s="37">
        <v>1</v>
      </c>
      <c r="FN103" s="37" t="str">
        <v>M3</v>
      </c>
      <c r="FO103" s="37" t="str">
        <v>M3</v>
      </c>
      <c r="FP103" s="37" t="str">
        <v>WW</v>
      </c>
      <c r="FQ103" s="37" t="str">
        <v>F5</v>
      </c>
      <c r="FR103" s="37" t="str">
        <v>F6</v>
      </c>
      <c r="FU103" s="37">
        <v>20</v>
      </c>
      <c r="FV103" s="37">
        <v>20</v>
      </c>
      <c r="FW103" s="37">
        <v>20</v>
      </c>
      <c r="FX103" s="37">
        <v>20</v>
      </c>
      <c r="FY103" s="37">
        <v>1</v>
      </c>
      <c r="GB103" s="37" t="str">
        <v>M3</v>
      </c>
      <c r="GC103" s="37" t="str">
        <v>M3</v>
      </c>
      <c r="GD103" s="37" t="str">
        <v>WW</v>
      </c>
      <c r="GE103" s="37" t="str">
        <v>F5</v>
      </c>
      <c r="GF103" s="37" t="str">
        <v>F6</v>
      </c>
      <c r="GI103" s="37">
        <v>20</v>
      </c>
      <c r="GJ103" s="37">
        <v>20</v>
      </c>
      <c r="GK103" s="37">
        <v>20</v>
      </c>
      <c r="GL103" s="37">
        <v>20</v>
      </c>
      <c r="GM103" s="37">
        <v>1</v>
      </c>
      <c r="GP103" s="37" t="str">
        <v>M3</v>
      </c>
      <c r="GQ103" s="37" t="str">
        <v>M3</v>
      </c>
      <c r="GR103" s="37" t="str">
        <v>WW</v>
      </c>
      <c r="GS103" s="37" t="str">
        <v>F5</v>
      </c>
      <c r="GT103" s="37" t="str">
        <v>F6</v>
      </c>
      <c r="GW103" s="37">
        <v>20</v>
      </c>
      <c r="GX103" s="37">
        <v>20</v>
      </c>
      <c r="GY103" s="37">
        <v>20</v>
      </c>
      <c r="GZ103" s="37">
        <v>20</v>
      </c>
      <c r="HA103" s="37">
        <v>1</v>
      </c>
      <c r="HD103" s="37" t="str">
        <v>M3</v>
      </c>
      <c r="HE103" s="37" t="str">
        <v>M3</v>
      </c>
      <c r="HF103" s="37" t="str">
        <v>WW</v>
      </c>
      <c r="HG103" s="37" t="str">
        <v>F5</v>
      </c>
      <c r="HH103" s="37" t="str">
        <v>F6</v>
      </c>
      <c r="HK103" s="37">
        <v>20</v>
      </c>
      <c r="HL103" s="37">
        <v>20</v>
      </c>
      <c r="HM103" s="37">
        <v>20</v>
      </c>
      <c r="HN103" s="37">
        <v>20</v>
      </c>
      <c r="HO103" s="37">
        <v>1</v>
      </c>
    </row>
    <row r="104" spans="2:223" x14ac:dyDescent="0.35">
      <c r="B104" s="37" t="str">
        <v>F5</v>
      </c>
      <c r="C104" s="37" t="str">
        <v>F9</v>
      </c>
      <c r="D104" s="37" t="str">
        <v>WW</v>
      </c>
      <c r="E104" s="37" t="str">
        <v>M2</v>
      </c>
      <c r="F104" s="37" t="str">
        <v>M3</v>
      </c>
      <c r="I104" s="37">
        <v>20</v>
      </c>
      <c r="J104" s="37">
        <v>20</v>
      </c>
      <c r="K104" s="37">
        <v>20</v>
      </c>
      <c r="L104" s="37">
        <v>20</v>
      </c>
      <c r="M104" s="37">
        <v>20</v>
      </c>
      <c r="P104" s="37" t="str">
        <v>F5</v>
      </c>
      <c r="Q104" s="37" t="str">
        <v>F9</v>
      </c>
      <c r="R104" s="37" t="str">
        <v>WW</v>
      </c>
      <c r="S104" s="37" t="str">
        <v>M2</v>
      </c>
      <c r="T104" s="37" t="str">
        <v>M3</v>
      </c>
      <c r="W104" s="37">
        <v>20</v>
      </c>
      <c r="X104" s="37">
        <v>20</v>
      </c>
      <c r="Y104" s="37">
        <v>20</v>
      </c>
      <c r="Z104" s="37">
        <v>20</v>
      </c>
      <c r="AA104" s="37">
        <v>20</v>
      </c>
      <c r="AD104" s="37" t="str">
        <v>F5</v>
      </c>
      <c r="AE104" s="37" t="str">
        <v>F9</v>
      </c>
      <c r="AF104" s="37" t="str">
        <v>WW</v>
      </c>
      <c r="AG104" s="37" t="str">
        <v>M2</v>
      </c>
      <c r="AH104" s="37" t="str">
        <v>M3</v>
      </c>
      <c r="AK104" s="37">
        <v>20</v>
      </c>
      <c r="AL104" s="37">
        <v>20</v>
      </c>
      <c r="AM104" s="37">
        <v>20</v>
      </c>
      <c r="AN104" s="37">
        <v>20</v>
      </c>
      <c r="AO104" s="37">
        <v>20</v>
      </c>
      <c r="AR104" s="37" t="str">
        <v>F5</v>
      </c>
      <c r="AS104" s="37" t="str">
        <v>F9</v>
      </c>
      <c r="AT104" s="37" t="str">
        <v>WW</v>
      </c>
      <c r="AU104" s="37" t="str">
        <v>M2</v>
      </c>
      <c r="AV104" s="37" t="str">
        <v>M3</v>
      </c>
      <c r="AY104" s="37">
        <v>20</v>
      </c>
      <c r="AZ104" s="37">
        <v>20</v>
      </c>
      <c r="BA104" s="37">
        <v>20</v>
      </c>
      <c r="BB104" s="37">
        <v>20</v>
      </c>
      <c r="BC104" s="37">
        <v>20</v>
      </c>
      <c r="BF104" s="37" t="str">
        <v>F5</v>
      </c>
      <c r="BG104" s="37" t="str">
        <v>F9</v>
      </c>
      <c r="BH104" s="37" t="str">
        <v>WW</v>
      </c>
      <c r="BI104" s="37" t="str">
        <v>M2</v>
      </c>
      <c r="BJ104" s="37" t="str">
        <v>M3</v>
      </c>
      <c r="BM104" s="37">
        <v>20</v>
      </c>
      <c r="BN104" s="37">
        <v>20</v>
      </c>
      <c r="BO104" s="37">
        <v>20</v>
      </c>
      <c r="BP104" s="37">
        <v>20</v>
      </c>
      <c r="BQ104" s="37">
        <v>20</v>
      </c>
      <c r="BT104" s="37" t="str">
        <v>F5</v>
      </c>
      <c r="BU104" s="37" t="str">
        <v>F9</v>
      </c>
      <c r="BV104" s="37" t="str">
        <v>WW</v>
      </c>
      <c r="BW104" s="37" t="str">
        <v>M2</v>
      </c>
      <c r="BX104" s="37" t="str">
        <v>M3</v>
      </c>
      <c r="CA104" s="37">
        <v>20</v>
      </c>
      <c r="CB104" s="37">
        <v>20</v>
      </c>
      <c r="CC104" s="37">
        <v>20</v>
      </c>
      <c r="CD104" s="37">
        <v>20</v>
      </c>
      <c r="CE104" s="37">
        <v>20</v>
      </c>
      <c r="CH104" s="37" t="str">
        <v>F5</v>
      </c>
      <c r="CI104" s="37" t="str">
        <v>F9</v>
      </c>
      <c r="CJ104" s="37" t="str">
        <v>WW</v>
      </c>
      <c r="CK104" s="37" t="str">
        <v>M2</v>
      </c>
      <c r="CL104" s="37" t="str">
        <v>M3</v>
      </c>
      <c r="CO104" s="37">
        <v>20</v>
      </c>
      <c r="CP104" s="37">
        <v>20</v>
      </c>
      <c r="CQ104" s="37">
        <v>20</v>
      </c>
      <c r="CR104" s="37">
        <v>20</v>
      </c>
      <c r="CS104" s="37">
        <v>20</v>
      </c>
      <c r="CV104" s="37" t="str">
        <v>F5</v>
      </c>
      <c r="CW104" s="37" t="str">
        <v>F9</v>
      </c>
      <c r="CX104" s="37" t="str">
        <v>WW</v>
      </c>
      <c r="CY104" s="37" t="str">
        <v>M2</v>
      </c>
      <c r="CZ104" s="37" t="str">
        <v>M3</v>
      </c>
      <c r="DC104" s="37">
        <v>20</v>
      </c>
      <c r="DD104" s="37">
        <v>20</v>
      </c>
      <c r="DE104" s="37">
        <v>20</v>
      </c>
      <c r="DF104" s="37">
        <v>20</v>
      </c>
      <c r="DG104" s="37">
        <v>20</v>
      </c>
      <c r="DJ104" s="37" t="str">
        <v>F5</v>
      </c>
      <c r="DK104" s="37" t="str">
        <v>F9</v>
      </c>
      <c r="DL104" s="37" t="str">
        <v>WW</v>
      </c>
      <c r="DM104" s="37" t="str">
        <v>M2</v>
      </c>
      <c r="DN104" s="37" t="str">
        <v>M3</v>
      </c>
      <c r="DQ104" s="37">
        <v>20</v>
      </c>
      <c r="DR104" s="37">
        <v>20</v>
      </c>
      <c r="DS104" s="37">
        <v>20</v>
      </c>
      <c r="DT104" s="37">
        <v>20</v>
      </c>
      <c r="DU104" s="37">
        <v>20</v>
      </c>
      <c r="DX104" s="37" t="str">
        <v>F5</v>
      </c>
      <c r="DY104" s="37" t="str">
        <v>F9</v>
      </c>
      <c r="DZ104" s="37" t="str">
        <v>WW</v>
      </c>
      <c r="EA104" s="37" t="str">
        <v>M2</v>
      </c>
      <c r="EB104" s="37" t="str">
        <v>M3</v>
      </c>
      <c r="EE104" s="37">
        <v>20</v>
      </c>
      <c r="EF104" s="37">
        <v>20</v>
      </c>
      <c r="EG104" s="37">
        <v>20</v>
      </c>
      <c r="EH104" s="37">
        <v>20</v>
      </c>
      <c r="EI104" s="37">
        <v>20</v>
      </c>
      <c r="EL104" s="37" t="str">
        <v>F5</v>
      </c>
      <c r="EM104" s="37" t="str">
        <v>F9</v>
      </c>
      <c r="EN104" s="37" t="str">
        <v>WW</v>
      </c>
      <c r="EO104" s="37" t="str">
        <v>M2</v>
      </c>
      <c r="EP104" s="37" t="str">
        <v>M3</v>
      </c>
      <c r="ES104" s="37">
        <v>20</v>
      </c>
      <c r="ET104" s="37">
        <v>20</v>
      </c>
      <c r="EU104" s="37">
        <v>20</v>
      </c>
      <c r="EV104" s="37">
        <v>20</v>
      </c>
      <c r="EW104" s="37">
        <v>20</v>
      </c>
      <c r="EZ104" s="37" t="str">
        <v>F5</v>
      </c>
      <c r="FA104" s="37" t="str">
        <v>F9</v>
      </c>
      <c r="FB104" s="37" t="str">
        <v>WW</v>
      </c>
      <c r="FC104" s="37" t="str">
        <v>M2</v>
      </c>
      <c r="FD104" s="37" t="str">
        <v>M3</v>
      </c>
      <c r="FG104" s="37">
        <v>20</v>
      </c>
      <c r="FH104" s="37">
        <v>20</v>
      </c>
      <c r="FI104" s="37">
        <v>20</v>
      </c>
      <c r="FJ104" s="37">
        <v>20</v>
      </c>
      <c r="FK104" s="37">
        <v>20</v>
      </c>
      <c r="FN104" s="37" t="str">
        <v>F5</v>
      </c>
      <c r="FO104" s="37" t="str">
        <v>F9</v>
      </c>
      <c r="FP104" s="37" t="str">
        <v>WW</v>
      </c>
      <c r="FQ104" s="37" t="str">
        <v>M2</v>
      </c>
      <c r="FR104" s="37" t="str">
        <v>M3</v>
      </c>
      <c r="FU104" s="37">
        <v>20</v>
      </c>
      <c r="FV104" s="37">
        <v>20</v>
      </c>
      <c r="FW104" s="37">
        <v>20</v>
      </c>
      <c r="FX104" s="37">
        <v>20</v>
      </c>
      <c r="FY104" s="37">
        <v>20</v>
      </c>
      <c r="GB104" s="37" t="str">
        <v>F5</v>
      </c>
      <c r="GC104" s="37" t="str">
        <v>F9</v>
      </c>
      <c r="GD104" s="37" t="str">
        <v>WW</v>
      </c>
      <c r="GE104" s="37" t="str">
        <v>M2</v>
      </c>
      <c r="GF104" s="37" t="str">
        <v>M3</v>
      </c>
      <c r="GI104" s="37">
        <v>20</v>
      </c>
      <c r="GJ104" s="37">
        <v>20</v>
      </c>
      <c r="GK104" s="37">
        <v>20</v>
      </c>
      <c r="GL104" s="37">
        <v>20</v>
      </c>
      <c r="GM104" s="37">
        <v>20</v>
      </c>
      <c r="GP104" s="37" t="str">
        <v>F5</v>
      </c>
      <c r="GQ104" s="37" t="str">
        <v>F9</v>
      </c>
      <c r="GR104" s="37" t="str">
        <v>WW</v>
      </c>
      <c r="GS104" s="37" t="str">
        <v>M2</v>
      </c>
      <c r="GT104" s="37" t="str">
        <v>M3</v>
      </c>
      <c r="GW104" s="37">
        <v>20</v>
      </c>
      <c r="GX104" s="37">
        <v>20</v>
      </c>
      <c r="GY104" s="37">
        <v>20</v>
      </c>
      <c r="GZ104" s="37">
        <v>20</v>
      </c>
      <c r="HA104" s="37">
        <v>20</v>
      </c>
      <c r="HD104" s="37" t="str">
        <v>F5</v>
      </c>
      <c r="HE104" s="37" t="str">
        <v>F9</v>
      </c>
      <c r="HF104" s="37" t="str">
        <v>WW</v>
      </c>
      <c r="HG104" s="37" t="str">
        <v>M2</v>
      </c>
      <c r="HH104" s="37" t="str">
        <v>M3</v>
      </c>
      <c r="HK104" s="37">
        <v>20</v>
      </c>
      <c r="HL104" s="37">
        <v>20</v>
      </c>
      <c r="HM104" s="37">
        <v>20</v>
      </c>
      <c r="HN104" s="37">
        <v>20</v>
      </c>
      <c r="HO104" s="37">
        <v>20</v>
      </c>
    </row>
    <row r="105" spans="2:223" x14ac:dyDescent="0.35">
      <c r="B105" s="37" t="str">
        <v>F9</v>
      </c>
      <c r="C105" s="37" t="str">
        <v>M4</v>
      </c>
      <c r="D105" s="37" t="str">
        <v>F5</v>
      </c>
      <c r="E105" s="37" t="str">
        <v>F9</v>
      </c>
      <c r="F105" s="37" t="str">
        <v>F5</v>
      </c>
      <c r="I105" s="37">
        <v>20</v>
      </c>
      <c r="J105" s="37">
        <v>20</v>
      </c>
      <c r="K105" s="37">
        <v>1</v>
      </c>
      <c r="L105" s="37">
        <v>20</v>
      </c>
      <c r="M105" s="37">
        <v>1</v>
      </c>
      <c r="P105" s="37" t="str">
        <v>F9</v>
      </c>
      <c r="Q105" s="37" t="str">
        <v>M4</v>
      </c>
      <c r="R105" s="37" t="str">
        <v>F5</v>
      </c>
      <c r="S105" s="37" t="str">
        <v>F9</v>
      </c>
      <c r="T105" s="37" t="str">
        <v>F5</v>
      </c>
      <c r="W105" s="37">
        <v>20</v>
      </c>
      <c r="X105" s="37">
        <v>20</v>
      </c>
      <c r="Y105" s="37">
        <v>1</v>
      </c>
      <c r="Z105" s="37">
        <v>20</v>
      </c>
      <c r="AA105" s="37">
        <v>2000</v>
      </c>
      <c r="AD105" s="37" t="str">
        <v>F9</v>
      </c>
      <c r="AE105" s="37" t="str">
        <v>M4</v>
      </c>
      <c r="AF105" s="37" t="str">
        <v>F5</v>
      </c>
      <c r="AG105" s="37" t="str">
        <v>F9</v>
      </c>
      <c r="AH105" s="37" t="str">
        <v>F5</v>
      </c>
      <c r="AK105" s="37">
        <v>20</v>
      </c>
      <c r="AL105" s="37">
        <v>20</v>
      </c>
      <c r="AM105" s="37">
        <v>1</v>
      </c>
      <c r="AN105" s="37">
        <v>20</v>
      </c>
      <c r="AO105" s="37">
        <v>1</v>
      </c>
      <c r="AR105" s="37" t="str">
        <v>F9</v>
      </c>
      <c r="AS105" s="37" t="str">
        <v>M4</v>
      </c>
      <c r="AT105" s="37" t="str">
        <v>F5</v>
      </c>
      <c r="AU105" s="37" t="str">
        <v>F9</v>
      </c>
      <c r="AV105" s="37" t="str">
        <v>F5</v>
      </c>
      <c r="AY105" s="37">
        <v>20</v>
      </c>
      <c r="AZ105" s="37">
        <v>20</v>
      </c>
      <c r="BA105" s="37">
        <v>1</v>
      </c>
      <c r="BB105" s="37">
        <v>20</v>
      </c>
      <c r="BC105" s="37">
        <v>1</v>
      </c>
      <c r="BF105" s="37" t="str">
        <v>F9</v>
      </c>
      <c r="BG105" s="37" t="str">
        <v>M4</v>
      </c>
      <c r="BH105" s="37" t="str">
        <v>F5</v>
      </c>
      <c r="BI105" s="37" t="str">
        <v>F9</v>
      </c>
      <c r="BJ105" s="37" t="str">
        <v>F5</v>
      </c>
      <c r="BM105" s="37">
        <v>20</v>
      </c>
      <c r="BN105" s="37">
        <v>20</v>
      </c>
      <c r="BO105" s="37">
        <v>1</v>
      </c>
      <c r="BP105" s="37">
        <v>20</v>
      </c>
      <c r="BQ105" s="37">
        <v>5000</v>
      </c>
      <c r="BT105" s="37" t="str">
        <v>F9</v>
      </c>
      <c r="BU105" s="37" t="str">
        <v>M4</v>
      </c>
      <c r="BV105" s="37" t="str">
        <v>F5</v>
      </c>
      <c r="BW105" s="37" t="str">
        <v>F9</v>
      </c>
      <c r="BX105" s="37" t="str">
        <v>F5</v>
      </c>
      <c r="CA105" s="37">
        <v>20</v>
      </c>
      <c r="CB105" s="37">
        <v>20</v>
      </c>
      <c r="CC105" s="37">
        <v>1</v>
      </c>
      <c r="CD105" s="37">
        <v>20</v>
      </c>
      <c r="CE105" s="37">
        <v>4000</v>
      </c>
      <c r="CH105" s="37" t="str">
        <v>F9</v>
      </c>
      <c r="CI105" s="37" t="str">
        <v>M4</v>
      </c>
      <c r="CJ105" s="37" t="str">
        <v>F5</v>
      </c>
      <c r="CK105" s="37" t="str">
        <v>F9</v>
      </c>
      <c r="CL105" s="37" t="str">
        <v>F5</v>
      </c>
      <c r="CO105" s="37">
        <v>20</v>
      </c>
      <c r="CP105" s="37">
        <v>20</v>
      </c>
      <c r="CQ105" s="37">
        <v>1</v>
      </c>
      <c r="CR105" s="37">
        <v>20</v>
      </c>
      <c r="CS105" s="37">
        <v>4000</v>
      </c>
      <c r="CV105" s="37" t="str">
        <v>F9</v>
      </c>
      <c r="CW105" s="37" t="str">
        <v>M4</v>
      </c>
      <c r="CX105" s="37" t="str">
        <v>F5</v>
      </c>
      <c r="CY105" s="37" t="str">
        <v>F9</v>
      </c>
      <c r="CZ105" s="37" t="str">
        <v>F5</v>
      </c>
      <c r="DC105" s="37">
        <v>20</v>
      </c>
      <c r="DD105" s="37">
        <v>20</v>
      </c>
      <c r="DE105" s="37">
        <v>1</v>
      </c>
      <c r="DF105" s="37">
        <v>20</v>
      </c>
      <c r="DG105" s="37">
        <v>1</v>
      </c>
      <c r="DJ105" s="37" t="str">
        <v>F9</v>
      </c>
      <c r="DK105" s="37" t="str">
        <v>M4</v>
      </c>
      <c r="DL105" s="37" t="str">
        <v>F5</v>
      </c>
      <c r="DM105" s="37" t="str">
        <v>F9</v>
      </c>
      <c r="DN105" s="37" t="str">
        <v>F5</v>
      </c>
      <c r="DQ105" s="37">
        <v>20</v>
      </c>
      <c r="DR105" s="37">
        <v>20</v>
      </c>
      <c r="DS105" s="37">
        <v>1</v>
      </c>
      <c r="DT105" s="37">
        <v>20</v>
      </c>
      <c r="DU105" s="37">
        <v>4000</v>
      </c>
      <c r="DX105" s="37" t="str">
        <v>F9</v>
      </c>
      <c r="DY105" s="37" t="str">
        <v>M4</v>
      </c>
      <c r="DZ105" s="37" t="str">
        <v>F5</v>
      </c>
      <c r="EA105" s="37" t="str">
        <v>F9</v>
      </c>
      <c r="EB105" s="37" t="str">
        <v>F5</v>
      </c>
      <c r="EE105" s="37">
        <v>20</v>
      </c>
      <c r="EF105" s="37">
        <v>20</v>
      </c>
      <c r="EG105" s="37">
        <v>1</v>
      </c>
      <c r="EH105" s="37">
        <v>20</v>
      </c>
      <c r="EI105" s="37">
        <v>1</v>
      </c>
      <c r="EL105" s="37" t="str">
        <v>F9</v>
      </c>
      <c r="EM105" s="37" t="str">
        <v>M4</v>
      </c>
      <c r="EN105" s="37" t="str">
        <v>F5</v>
      </c>
      <c r="EO105" s="37" t="str">
        <v>F9</v>
      </c>
      <c r="EP105" s="37" t="str">
        <v>F5</v>
      </c>
      <c r="ES105" s="37">
        <v>20</v>
      </c>
      <c r="ET105" s="37">
        <v>20</v>
      </c>
      <c r="EU105" s="37">
        <v>1</v>
      </c>
      <c r="EV105" s="37">
        <v>20</v>
      </c>
      <c r="EW105" s="37">
        <v>1</v>
      </c>
      <c r="EZ105" s="37" t="str">
        <v>F9</v>
      </c>
      <c r="FA105" s="37" t="str">
        <v>M4</v>
      </c>
      <c r="FB105" s="37" t="str">
        <v>F5</v>
      </c>
      <c r="FC105" s="37" t="str">
        <v>F9</v>
      </c>
      <c r="FD105" s="37" t="str">
        <v>F5</v>
      </c>
      <c r="FG105" s="37">
        <v>20</v>
      </c>
      <c r="FH105" s="37">
        <v>20</v>
      </c>
      <c r="FI105" s="37">
        <v>1</v>
      </c>
      <c r="FJ105" s="37">
        <v>20</v>
      </c>
      <c r="FK105" s="37">
        <v>1</v>
      </c>
      <c r="FN105" s="37" t="str">
        <v>F9</v>
      </c>
      <c r="FO105" s="37" t="str">
        <v>M4</v>
      </c>
      <c r="FP105" s="37" t="str">
        <v>F5</v>
      </c>
      <c r="FQ105" s="37" t="str">
        <v>F9</v>
      </c>
      <c r="FR105" s="37" t="str">
        <v>F5</v>
      </c>
      <c r="FU105" s="37">
        <v>20</v>
      </c>
      <c r="FV105" s="37">
        <v>20</v>
      </c>
      <c r="FW105" s="37">
        <v>1</v>
      </c>
      <c r="FX105" s="37">
        <v>20</v>
      </c>
      <c r="FY105" s="37">
        <v>1</v>
      </c>
      <c r="GB105" s="37" t="str">
        <v>F9</v>
      </c>
      <c r="GC105" s="37" t="str">
        <v>M4</v>
      </c>
      <c r="GD105" s="37" t="str">
        <v>F5</v>
      </c>
      <c r="GE105" s="37" t="str">
        <v>F9</v>
      </c>
      <c r="GF105" s="37" t="str">
        <v>F5</v>
      </c>
      <c r="GI105" s="37">
        <v>20</v>
      </c>
      <c r="GJ105" s="37">
        <v>20</v>
      </c>
      <c r="GK105" s="37">
        <v>1</v>
      </c>
      <c r="GL105" s="37">
        <v>20</v>
      </c>
      <c r="GM105" s="37">
        <v>1</v>
      </c>
      <c r="GP105" s="37" t="str">
        <v>F9</v>
      </c>
      <c r="GQ105" s="37" t="str">
        <v>M4</v>
      </c>
      <c r="GR105" s="37" t="str">
        <v>F5</v>
      </c>
      <c r="GS105" s="37" t="str">
        <v>F9</v>
      </c>
      <c r="GT105" s="37" t="str">
        <v>F5</v>
      </c>
      <c r="GW105" s="37">
        <v>20</v>
      </c>
      <c r="GX105" s="37">
        <v>20</v>
      </c>
      <c r="GY105" s="37">
        <v>1</v>
      </c>
      <c r="GZ105" s="37">
        <v>20</v>
      </c>
      <c r="HA105" s="37">
        <v>1</v>
      </c>
      <c r="HD105" s="37" t="str">
        <v>F9</v>
      </c>
      <c r="HE105" s="37" t="str">
        <v>M4</v>
      </c>
      <c r="HF105" s="37" t="str">
        <v>F5</v>
      </c>
      <c r="HG105" s="37" t="str">
        <v>F9</v>
      </c>
      <c r="HH105" s="37" t="str">
        <v>F5</v>
      </c>
      <c r="HK105" s="37">
        <v>20</v>
      </c>
      <c r="HL105" s="37">
        <v>20</v>
      </c>
      <c r="HM105" s="37">
        <v>1</v>
      </c>
      <c r="HN105" s="37">
        <v>20</v>
      </c>
      <c r="HO105" s="37">
        <v>1</v>
      </c>
    </row>
    <row r="106" spans="2:223" x14ac:dyDescent="0.35">
      <c r="B106" s="37" t="str">
        <v>F7</v>
      </c>
      <c r="C106" s="37" t="str">
        <v>F9</v>
      </c>
      <c r="D106" s="37" t="str">
        <v>MB</v>
      </c>
      <c r="E106" s="37" t="str">
        <v>M3</v>
      </c>
      <c r="F106" s="37" t="str">
        <v>MB</v>
      </c>
      <c r="I106" s="37">
        <v>1</v>
      </c>
      <c r="J106" s="37">
        <v>1</v>
      </c>
      <c r="K106" s="37">
        <v>1</v>
      </c>
      <c r="L106" s="37">
        <v>1</v>
      </c>
      <c r="M106" s="37">
        <v>1</v>
      </c>
      <c r="P106" s="37" t="str">
        <v>F7</v>
      </c>
      <c r="Q106" s="37" t="str">
        <v>F9</v>
      </c>
      <c r="R106" s="37" t="str">
        <v>MB</v>
      </c>
      <c r="S106" s="37" t="str">
        <v>M3</v>
      </c>
      <c r="T106" s="37" t="str">
        <v>MB</v>
      </c>
      <c r="W106" s="37">
        <v>1</v>
      </c>
      <c r="X106" s="37">
        <v>1</v>
      </c>
      <c r="Y106" s="37">
        <v>1</v>
      </c>
      <c r="Z106" s="37">
        <v>1</v>
      </c>
      <c r="AA106" s="37">
        <v>2000</v>
      </c>
      <c r="AD106" s="37" t="str">
        <v>F7</v>
      </c>
      <c r="AE106" s="37" t="str">
        <v>F9</v>
      </c>
      <c r="AF106" s="37" t="str">
        <v>MB</v>
      </c>
      <c r="AG106" s="37" t="str">
        <v>M3</v>
      </c>
      <c r="AH106" s="37" t="str">
        <v>MB</v>
      </c>
      <c r="AK106" s="37">
        <v>1</v>
      </c>
      <c r="AL106" s="37">
        <v>1</v>
      </c>
      <c r="AM106" s="37">
        <v>1</v>
      </c>
      <c r="AN106" s="37">
        <v>1</v>
      </c>
      <c r="AO106" s="37">
        <v>1</v>
      </c>
      <c r="AR106" s="37" t="str">
        <v>F7</v>
      </c>
      <c r="AS106" s="37" t="str">
        <v>F9</v>
      </c>
      <c r="AT106" s="37" t="str">
        <v>MB</v>
      </c>
      <c r="AU106" s="37" t="str">
        <v>M3</v>
      </c>
      <c r="AV106" s="37" t="str">
        <v>MB</v>
      </c>
      <c r="AY106" s="37">
        <v>1</v>
      </c>
      <c r="AZ106" s="37">
        <v>1</v>
      </c>
      <c r="BA106" s="37">
        <v>1</v>
      </c>
      <c r="BB106" s="37">
        <v>1</v>
      </c>
      <c r="BC106" s="37">
        <v>1</v>
      </c>
      <c r="BF106" s="37" t="str">
        <v>F7</v>
      </c>
      <c r="BG106" s="37" t="str">
        <v>F9</v>
      </c>
      <c r="BH106" s="37" t="str">
        <v>MB</v>
      </c>
      <c r="BI106" s="37" t="str">
        <v>M3</v>
      </c>
      <c r="BJ106" s="37" t="str">
        <v>MB</v>
      </c>
      <c r="BM106" s="37">
        <v>1</v>
      </c>
      <c r="BN106" s="37">
        <v>1</v>
      </c>
      <c r="BO106" s="37">
        <v>1</v>
      </c>
      <c r="BP106" s="37">
        <v>1</v>
      </c>
      <c r="BQ106" s="37">
        <v>5000</v>
      </c>
      <c r="BT106" s="37" t="str">
        <v>F7</v>
      </c>
      <c r="BU106" s="37" t="str">
        <v>F9</v>
      </c>
      <c r="BV106" s="37" t="str">
        <v>MB</v>
      </c>
      <c r="BW106" s="37" t="str">
        <v>M3</v>
      </c>
      <c r="BX106" s="37" t="str">
        <v>MB</v>
      </c>
      <c r="CA106" s="37">
        <v>1</v>
      </c>
      <c r="CB106" s="37">
        <v>1</v>
      </c>
      <c r="CC106" s="37">
        <v>4000</v>
      </c>
      <c r="CD106" s="37">
        <v>1</v>
      </c>
      <c r="CE106" s="37">
        <v>4000</v>
      </c>
      <c r="CH106" s="37" t="str">
        <v>F7</v>
      </c>
      <c r="CI106" s="37" t="str">
        <v>F9</v>
      </c>
      <c r="CJ106" s="37" t="str">
        <v>MB</v>
      </c>
      <c r="CK106" s="37" t="str">
        <v>M3</v>
      </c>
      <c r="CL106" s="37" t="str">
        <v>MB</v>
      </c>
      <c r="CO106" s="37">
        <v>1</v>
      </c>
      <c r="CP106" s="37">
        <v>1</v>
      </c>
      <c r="CQ106" s="37">
        <v>1</v>
      </c>
      <c r="CR106" s="37">
        <v>1</v>
      </c>
      <c r="CS106" s="37">
        <v>4000</v>
      </c>
      <c r="CV106" s="37" t="str">
        <v>F7</v>
      </c>
      <c r="CW106" s="37" t="str">
        <v>F9</v>
      </c>
      <c r="CX106" s="37" t="str">
        <v>MB</v>
      </c>
      <c r="CY106" s="37" t="str">
        <v>M3</v>
      </c>
      <c r="CZ106" s="37" t="str">
        <v>MB</v>
      </c>
      <c r="DC106" s="37">
        <v>1</v>
      </c>
      <c r="DD106" s="37">
        <v>1</v>
      </c>
      <c r="DE106" s="37">
        <v>1</v>
      </c>
      <c r="DF106" s="37">
        <v>1</v>
      </c>
      <c r="DG106" s="37">
        <v>1</v>
      </c>
      <c r="DJ106" s="37" t="str">
        <v>F7</v>
      </c>
      <c r="DK106" s="37" t="str">
        <v>F9</v>
      </c>
      <c r="DL106" s="37" t="str">
        <v>MB</v>
      </c>
      <c r="DM106" s="37" t="str">
        <v>M3</v>
      </c>
      <c r="DN106" s="37" t="str">
        <v>MB</v>
      </c>
      <c r="DQ106" s="37">
        <v>1</v>
      </c>
      <c r="DR106" s="37">
        <v>1</v>
      </c>
      <c r="DS106" s="37">
        <v>1</v>
      </c>
      <c r="DT106" s="37">
        <v>1</v>
      </c>
      <c r="DU106" s="37">
        <v>4000</v>
      </c>
      <c r="DX106" s="37" t="str">
        <v>F7</v>
      </c>
      <c r="DY106" s="37" t="str">
        <v>F9</v>
      </c>
      <c r="DZ106" s="37" t="str">
        <v>MB</v>
      </c>
      <c r="EA106" s="37" t="str">
        <v>M3</v>
      </c>
      <c r="EB106" s="37" t="str">
        <v>MB</v>
      </c>
      <c r="EE106" s="37">
        <v>1</v>
      </c>
      <c r="EF106" s="37">
        <v>1</v>
      </c>
      <c r="EG106" s="37">
        <v>8000</v>
      </c>
      <c r="EH106" s="37">
        <v>1</v>
      </c>
      <c r="EI106" s="37">
        <v>1</v>
      </c>
      <c r="EL106" s="37" t="str">
        <v>F7</v>
      </c>
      <c r="EM106" s="37" t="str">
        <v>F9</v>
      </c>
      <c r="EN106" s="37" t="str">
        <v>MB</v>
      </c>
      <c r="EO106" s="37" t="str">
        <v>M3</v>
      </c>
      <c r="EP106" s="37" t="str">
        <v>MB</v>
      </c>
      <c r="ES106" s="37">
        <v>1</v>
      </c>
      <c r="ET106" s="37">
        <v>1</v>
      </c>
      <c r="EU106" s="37">
        <v>2000</v>
      </c>
      <c r="EV106" s="37">
        <v>1</v>
      </c>
      <c r="EW106" s="37">
        <v>1</v>
      </c>
      <c r="EZ106" s="37" t="str">
        <v>F7</v>
      </c>
      <c r="FA106" s="37" t="str">
        <v>F9</v>
      </c>
      <c r="FB106" s="37" t="str">
        <v>MB</v>
      </c>
      <c r="FC106" s="37" t="str">
        <v>M3</v>
      </c>
      <c r="FD106" s="37" t="str">
        <v>MB</v>
      </c>
      <c r="FG106" s="37">
        <v>1</v>
      </c>
      <c r="FH106" s="37">
        <v>1</v>
      </c>
      <c r="FI106" s="37">
        <v>8000</v>
      </c>
      <c r="FJ106" s="37">
        <v>1</v>
      </c>
      <c r="FK106" s="37">
        <v>1</v>
      </c>
      <c r="FN106" s="37" t="str">
        <v>F7</v>
      </c>
      <c r="FO106" s="37" t="str">
        <v>F9</v>
      </c>
      <c r="FP106" s="37" t="str">
        <v>MB</v>
      </c>
      <c r="FQ106" s="37" t="str">
        <v>M3</v>
      </c>
      <c r="FR106" s="37" t="str">
        <v>MB</v>
      </c>
      <c r="FU106" s="37">
        <v>1</v>
      </c>
      <c r="FV106" s="37">
        <v>1</v>
      </c>
      <c r="FW106" s="37">
        <v>4000</v>
      </c>
      <c r="FX106" s="37">
        <v>1</v>
      </c>
      <c r="FY106" s="37">
        <v>1</v>
      </c>
      <c r="GB106" s="37" t="str">
        <v>F7</v>
      </c>
      <c r="GC106" s="37" t="str">
        <v>F9</v>
      </c>
      <c r="GD106" s="37" t="str">
        <v>MB</v>
      </c>
      <c r="GE106" s="37" t="str">
        <v>M3</v>
      </c>
      <c r="GF106" s="37" t="str">
        <v>MB</v>
      </c>
      <c r="GI106" s="37">
        <v>1</v>
      </c>
      <c r="GJ106" s="37">
        <v>1</v>
      </c>
      <c r="GK106" s="37">
        <v>1</v>
      </c>
      <c r="GL106" s="37">
        <v>1</v>
      </c>
      <c r="GM106" s="37">
        <v>1</v>
      </c>
      <c r="GP106" s="37" t="str">
        <v>F7</v>
      </c>
      <c r="GQ106" s="37" t="str">
        <v>F9</v>
      </c>
      <c r="GR106" s="37" t="str">
        <v>MB</v>
      </c>
      <c r="GS106" s="37" t="str">
        <v>M3</v>
      </c>
      <c r="GT106" s="37" t="str">
        <v>MB</v>
      </c>
      <c r="GW106" s="37">
        <v>1</v>
      </c>
      <c r="GX106" s="37">
        <v>1</v>
      </c>
      <c r="GY106" s="37">
        <v>1</v>
      </c>
      <c r="GZ106" s="37">
        <v>1</v>
      </c>
      <c r="HA106" s="37">
        <v>1</v>
      </c>
      <c r="HD106" s="37" t="str">
        <v>F7</v>
      </c>
      <c r="HE106" s="37" t="str">
        <v>F9</v>
      </c>
      <c r="HF106" s="37" t="str">
        <v>MB</v>
      </c>
      <c r="HG106" s="37" t="str">
        <v>M3</v>
      </c>
      <c r="HH106" s="37" t="str">
        <v>MB</v>
      </c>
      <c r="HK106" s="37">
        <v>1</v>
      </c>
      <c r="HL106" s="37">
        <v>1</v>
      </c>
      <c r="HM106" s="37">
        <v>1</v>
      </c>
      <c r="HN106" s="37">
        <v>1</v>
      </c>
      <c r="HO106" s="37">
        <v>1</v>
      </c>
    </row>
    <row r="107" spans="2:223" x14ac:dyDescent="0.35">
      <c r="B107" s="37" t="str">
        <v>MB</v>
      </c>
      <c r="C107" s="37" t="str">
        <v>MB</v>
      </c>
      <c r="D107" s="37" t="str">
        <v>MB</v>
      </c>
      <c r="E107" s="37" t="str">
        <v>MB</v>
      </c>
      <c r="F107" s="37" t="str">
        <v>F6</v>
      </c>
      <c r="I107" s="37">
        <v>1</v>
      </c>
      <c r="J107" s="37">
        <v>1</v>
      </c>
      <c r="K107" s="37">
        <v>1</v>
      </c>
      <c r="L107" s="37">
        <v>1</v>
      </c>
      <c r="M107" s="37">
        <v>1</v>
      </c>
      <c r="P107" s="37" t="str">
        <v>MB</v>
      </c>
      <c r="Q107" s="37" t="str">
        <v>MB</v>
      </c>
      <c r="R107" s="37" t="str">
        <v>MB</v>
      </c>
      <c r="S107" s="37" t="str">
        <v>MB</v>
      </c>
      <c r="T107" s="37" t="str">
        <v>F6</v>
      </c>
      <c r="W107" s="37">
        <v>1</v>
      </c>
      <c r="X107" s="37">
        <v>1</v>
      </c>
      <c r="Y107" s="37">
        <v>1</v>
      </c>
      <c r="Z107" s="37">
        <v>1</v>
      </c>
      <c r="AA107" s="37">
        <v>2000</v>
      </c>
      <c r="AD107" s="37" t="str">
        <v>MB</v>
      </c>
      <c r="AE107" s="37" t="str">
        <v>MB</v>
      </c>
      <c r="AF107" s="37" t="str">
        <v>MB</v>
      </c>
      <c r="AG107" s="37" t="str">
        <v>MB</v>
      </c>
      <c r="AH107" s="37" t="str">
        <v>F6</v>
      </c>
      <c r="AK107" s="37">
        <v>1</v>
      </c>
      <c r="AL107" s="37">
        <v>1</v>
      </c>
      <c r="AM107" s="37">
        <v>1</v>
      </c>
      <c r="AN107" s="37">
        <v>1</v>
      </c>
      <c r="AO107" s="37">
        <v>1</v>
      </c>
      <c r="AR107" s="37" t="str">
        <v>MB</v>
      </c>
      <c r="AS107" s="37" t="str">
        <v>MB</v>
      </c>
      <c r="AT107" s="37" t="str">
        <v>MB</v>
      </c>
      <c r="AU107" s="37" t="str">
        <v>MB</v>
      </c>
      <c r="AV107" s="37" t="str">
        <v>F6</v>
      </c>
      <c r="AY107" s="37">
        <v>1</v>
      </c>
      <c r="AZ107" s="37">
        <v>1</v>
      </c>
      <c r="BA107" s="37">
        <v>1</v>
      </c>
      <c r="BB107" s="37">
        <v>1</v>
      </c>
      <c r="BC107" s="37">
        <v>1</v>
      </c>
      <c r="BF107" s="37" t="str">
        <v>MB</v>
      </c>
      <c r="BG107" s="37" t="str">
        <v>MB</v>
      </c>
      <c r="BH107" s="37" t="str">
        <v>MB</v>
      </c>
      <c r="BI107" s="37" t="str">
        <v>MB</v>
      </c>
      <c r="BJ107" s="37" t="str">
        <v>F6</v>
      </c>
      <c r="BM107" s="37">
        <v>1</v>
      </c>
      <c r="BN107" s="37">
        <v>1</v>
      </c>
      <c r="BO107" s="37">
        <v>1</v>
      </c>
      <c r="BP107" s="37">
        <v>1</v>
      </c>
      <c r="BQ107" s="37">
        <v>5000</v>
      </c>
      <c r="BT107" s="37" t="str">
        <v>MB</v>
      </c>
      <c r="BU107" s="37" t="str">
        <v>MB</v>
      </c>
      <c r="BV107" s="37" t="str">
        <v>MB</v>
      </c>
      <c r="BW107" s="37" t="str">
        <v>MB</v>
      </c>
      <c r="BX107" s="37" t="str">
        <v>F6</v>
      </c>
      <c r="CA107" s="37">
        <v>1</v>
      </c>
      <c r="CB107" s="37">
        <v>1</v>
      </c>
      <c r="CC107" s="37">
        <v>4000</v>
      </c>
      <c r="CD107" s="37">
        <v>1</v>
      </c>
      <c r="CE107" s="37">
        <v>4000</v>
      </c>
      <c r="CH107" s="37" t="str">
        <v>MB</v>
      </c>
      <c r="CI107" s="37" t="str">
        <v>MB</v>
      </c>
      <c r="CJ107" s="37" t="str">
        <v>MB</v>
      </c>
      <c r="CK107" s="37" t="str">
        <v>MB</v>
      </c>
      <c r="CL107" s="37" t="str">
        <v>F6</v>
      </c>
      <c r="CO107" s="37">
        <v>4000</v>
      </c>
      <c r="CP107" s="37">
        <v>1</v>
      </c>
      <c r="CQ107" s="37">
        <v>1</v>
      </c>
      <c r="CR107" s="37">
        <v>1</v>
      </c>
      <c r="CS107" s="37">
        <v>4000</v>
      </c>
      <c r="CV107" s="37" t="str">
        <v>MB</v>
      </c>
      <c r="CW107" s="37" t="str">
        <v>MB</v>
      </c>
      <c r="CX107" s="37" t="str">
        <v>MB</v>
      </c>
      <c r="CY107" s="37" t="str">
        <v>MB</v>
      </c>
      <c r="CZ107" s="37" t="str">
        <v>F6</v>
      </c>
      <c r="DC107" s="37">
        <v>1</v>
      </c>
      <c r="DD107" s="37">
        <v>1</v>
      </c>
      <c r="DE107" s="37">
        <v>1</v>
      </c>
      <c r="DF107" s="37">
        <v>1</v>
      </c>
      <c r="DG107" s="37">
        <v>1</v>
      </c>
      <c r="DJ107" s="37" t="str">
        <v>MB</v>
      </c>
      <c r="DK107" s="37" t="str">
        <v>MB</v>
      </c>
      <c r="DL107" s="37" t="str">
        <v>MB</v>
      </c>
      <c r="DM107" s="37" t="str">
        <v>MB</v>
      </c>
      <c r="DN107" s="37" t="str">
        <v>F6</v>
      </c>
      <c r="DQ107" s="37">
        <v>1</v>
      </c>
      <c r="DR107" s="37">
        <v>4000</v>
      </c>
      <c r="DS107" s="37">
        <v>1</v>
      </c>
      <c r="DT107" s="37">
        <v>1</v>
      </c>
      <c r="DU107" s="37">
        <v>4000</v>
      </c>
      <c r="DX107" s="37" t="str">
        <v>MB</v>
      </c>
      <c r="DY107" s="37" t="str">
        <v>MB</v>
      </c>
      <c r="DZ107" s="37" t="str">
        <v>MB</v>
      </c>
      <c r="EA107" s="37" t="str">
        <v>MB</v>
      </c>
      <c r="EB107" s="37" t="str">
        <v>F6</v>
      </c>
      <c r="EE107" s="37">
        <v>1</v>
      </c>
      <c r="EF107" s="37">
        <v>1</v>
      </c>
      <c r="EG107" s="37">
        <v>8000</v>
      </c>
      <c r="EH107" s="37">
        <v>1</v>
      </c>
      <c r="EI107" s="37">
        <v>1</v>
      </c>
      <c r="EL107" s="37" t="str">
        <v>MB</v>
      </c>
      <c r="EM107" s="37" t="str">
        <v>MB</v>
      </c>
      <c r="EN107" s="37" t="str">
        <v>MB</v>
      </c>
      <c r="EO107" s="37" t="str">
        <v>MB</v>
      </c>
      <c r="EP107" s="37" t="str">
        <v>F6</v>
      </c>
      <c r="ES107" s="37">
        <v>2000</v>
      </c>
      <c r="ET107" s="37">
        <v>1</v>
      </c>
      <c r="EU107" s="37">
        <v>2000</v>
      </c>
      <c r="EV107" s="37">
        <v>1</v>
      </c>
      <c r="EW107" s="37">
        <v>1</v>
      </c>
      <c r="EZ107" s="37" t="str">
        <v>MB</v>
      </c>
      <c r="FA107" s="37" t="str">
        <v>MB</v>
      </c>
      <c r="FB107" s="37" t="str">
        <v>MB</v>
      </c>
      <c r="FC107" s="37" t="str">
        <v>MB</v>
      </c>
      <c r="FD107" s="37" t="str">
        <v>F6</v>
      </c>
      <c r="FG107" s="37">
        <v>1</v>
      </c>
      <c r="FH107" s="37">
        <v>8000</v>
      </c>
      <c r="FI107" s="37">
        <v>8000</v>
      </c>
      <c r="FJ107" s="37">
        <v>1</v>
      </c>
      <c r="FK107" s="37">
        <v>1</v>
      </c>
      <c r="FN107" s="37" t="str">
        <v>MB</v>
      </c>
      <c r="FO107" s="37" t="str">
        <v>MB</v>
      </c>
      <c r="FP107" s="37" t="str">
        <v>MB</v>
      </c>
      <c r="FQ107" s="37" t="str">
        <v>MB</v>
      </c>
      <c r="FR107" s="37" t="str">
        <v>F6</v>
      </c>
      <c r="FU107" s="37">
        <v>1</v>
      </c>
      <c r="FV107" s="37">
        <v>1</v>
      </c>
      <c r="FW107" s="37">
        <v>4000</v>
      </c>
      <c r="FX107" s="37">
        <v>1</v>
      </c>
      <c r="FY107" s="37">
        <v>1</v>
      </c>
      <c r="GB107" s="37" t="str">
        <v>MB</v>
      </c>
      <c r="GC107" s="37" t="str">
        <v>MB</v>
      </c>
      <c r="GD107" s="37" t="str">
        <v>MB</v>
      </c>
      <c r="GE107" s="37" t="str">
        <v>MB</v>
      </c>
      <c r="GF107" s="37" t="str">
        <v>F6</v>
      </c>
      <c r="GI107" s="37">
        <v>1</v>
      </c>
      <c r="GJ107" s="37">
        <v>4000</v>
      </c>
      <c r="GK107" s="37">
        <v>1</v>
      </c>
      <c r="GL107" s="37">
        <v>1</v>
      </c>
      <c r="GM107" s="37">
        <v>1</v>
      </c>
      <c r="GP107" s="37" t="str">
        <v>MB</v>
      </c>
      <c r="GQ107" s="37" t="str">
        <v>MB</v>
      </c>
      <c r="GR107" s="37" t="str">
        <v>MB</v>
      </c>
      <c r="GS107" s="37" t="str">
        <v>MB</v>
      </c>
      <c r="GT107" s="37" t="str">
        <v>F6</v>
      </c>
      <c r="GW107" s="37">
        <v>10000</v>
      </c>
      <c r="GX107" s="37">
        <v>1</v>
      </c>
      <c r="GY107" s="37">
        <v>1</v>
      </c>
      <c r="GZ107" s="37">
        <v>1</v>
      </c>
      <c r="HA107" s="37">
        <v>1</v>
      </c>
      <c r="HD107" s="37" t="str">
        <v>MB</v>
      </c>
      <c r="HE107" s="37" t="str">
        <v>MB</v>
      </c>
      <c r="HF107" s="37" t="str">
        <v>MB</v>
      </c>
      <c r="HG107" s="37" t="str">
        <v>MB</v>
      </c>
      <c r="HH107" s="37" t="str">
        <v>F6</v>
      </c>
      <c r="HK107" s="37">
        <v>1</v>
      </c>
      <c r="HL107" s="37">
        <v>1</v>
      </c>
      <c r="HM107" s="37">
        <v>1</v>
      </c>
      <c r="HN107" s="37">
        <v>1</v>
      </c>
      <c r="HO107" s="37">
        <v>1</v>
      </c>
    </row>
    <row r="108" spans="2:223" x14ac:dyDescent="0.35">
      <c r="B108" s="37" t="str">
        <v>MB</v>
      </c>
      <c r="C108" s="37" t="str">
        <v>MB</v>
      </c>
      <c r="D108" s="37" t="str">
        <v>F8</v>
      </c>
      <c r="E108" s="37" t="str">
        <v>MB</v>
      </c>
      <c r="F108" s="37" t="str">
        <v>M2</v>
      </c>
      <c r="I108" s="37">
        <v>1</v>
      </c>
      <c r="J108" s="37">
        <v>1</v>
      </c>
      <c r="K108" s="37">
        <v>1</v>
      </c>
      <c r="L108" s="37">
        <v>1</v>
      </c>
      <c r="M108" s="37">
        <v>20</v>
      </c>
      <c r="P108" s="37" t="str">
        <v>MB</v>
      </c>
      <c r="Q108" s="37" t="str">
        <v>MB</v>
      </c>
      <c r="R108" s="37" t="str">
        <v>F8</v>
      </c>
      <c r="S108" s="37" t="str">
        <v>MB</v>
      </c>
      <c r="T108" s="37" t="str">
        <v>M2</v>
      </c>
      <c r="W108" s="37">
        <v>1</v>
      </c>
      <c r="X108" s="37">
        <v>1</v>
      </c>
      <c r="Y108" s="37">
        <v>1</v>
      </c>
      <c r="Z108" s="37">
        <v>1</v>
      </c>
      <c r="AA108" s="37">
        <v>20</v>
      </c>
      <c r="AD108" s="37" t="str">
        <v>MB</v>
      </c>
      <c r="AE108" s="37" t="str">
        <v>MB</v>
      </c>
      <c r="AF108" s="37" t="str">
        <v>F8</v>
      </c>
      <c r="AG108" s="37" t="str">
        <v>MB</v>
      </c>
      <c r="AH108" s="37" t="str">
        <v>M2</v>
      </c>
      <c r="AK108" s="37">
        <v>1</v>
      </c>
      <c r="AL108" s="37">
        <v>1</v>
      </c>
      <c r="AM108" s="37">
        <v>1</v>
      </c>
      <c r="AN108" s="37">
        <v>1</v>
      </c>
      <c r="AO108" s="37">
        <v>20</v>
      </c>
      <c r="AR108" s="37" t="str">
        <v>MB</v>
      </c>
      <c r="AS108" s="37" t="str">
        <v>MB</v>
      </c>
      <c r="AT108" s="37" t="str">
        <v>F8</v>
      </c>
      <c r="AU108" s="37" t="str">
        <v>MB</v>
      </c>
      <c r="AV108" s="37" t="str">
        <v>M2</v>
      </c>
      <c r="AY108" s="37">
        <v>1</v>
      </c>
      <c r="AZ108" s="37">
        <v>1</v>
      </c>
      <c r="BA108" s="37">
        <v>1</v>
      </c>
      <c r="BB108" s="37">
        <v>1</v>
      </c>
      <c r="BC108" s="37">
        <v>20</v>
      </c>
      <c r="BF108" s="37" t="str">
        <v>MB</v>
      </c>
      <c r="BG108" s="37" t="str">
        <v>MB</v>
      </c>
      <c r="BH108" s="37" t="str">
        <v>F8</v>
      </c>
      <c r="BI108" s="37" t="str">
        <v>MB</v>
      </c>
      <c r="BJ108" s="37" t="str">
        <v>M2</v>
      </c>
      <c r="BM108" s="37">
        <v>1</v>
      </c>
      <c r="BN108" s="37">
        <v>1</v>
      </c>
      <c r="BO108" s="37">
        <v>1</v>
      </c>
      <c r="BP108" s="37">
        <v>1</v>
      </c>
      <c r="BQ108" s="37">
        <v>20</v>
      </c>
      <c r="BT108" s="37" t="str">
        <v>MB</v>
      </c>
      <c r="BU108" s="37" t="str">
        <v>MB</v>
      </c>
      <c r="BV108" s="37" t="str">
        <v>F8</v>
      </c>
      <c r="BW108" s="37" t="str">
        <v>MB</v>
      </c>
      <c r="BX108" s="37" t="str">
        <v>M2</v>
      </c>
      <c r="CA108" s="37">
        <v>1</v>
      </c>
      <c r="CB108" s="37">
        <v>1</v>
      </c>
      <c r="CC108" s="37">
        <v>1</v>
      </c>
      <c r="CD108" s="37">
        <v>1</v>
      </c>
      <c r="CE108" s="37">
        <v>20</v>
      </c>
      <c r="CH108" s="37" t="str">
        <v>MB</v>
      </c>
      <c r="CI108" s="37" t="str">
        <v>MB</v>
      </c>
      <c r="CJ108" s="37" t="str">
        <v>F8</v>
      </c>
      <c r="CK108" s="37" t="str">
        <v>MB</v>
      </c>
      <c r="CL108" s="37" t="str">
        <v>M2</v>
      </c>
      <c r="CO108" s="37">
        <v>4000</v>
      </c>
      <c r="CP108" s="37">
        <v>1</v>
      </c>
      <c r="CQ108" s="37">
        <v>1</v>
      </c>
      <c r="CR108" s="37">
        <v>4000</v>
      </c>
      <c r="CS108" s="37">
        <v>20</v>
      </c>
      <c r="CV108" s="37" t="str">
        <v>MB</v>
      </c>
      <c r="CW108" s="37" t="str">
        <v>MB</v>
      </c>
      <c r="CX108" s="37" t="str">
        <v>F8</v>
      </c>
      <c r="CY108" s="37" t="str">
        <v>MB</v>
      </c>
      <c r="CZ108" s="37" t="str">
        <v>M2</v>
      </c>
      <c r="DC108" s="37">
        <v>1</v>
      </c>
      <c r="DD108" s="37">
        <v>1</v>
      </c>
      <c r="DE108" s="37">
        <v>1</v>
      </c>
      <c r="DF108" s="37">
        <v>1</v>
      </c>
      <c r="DG108" s="37">
        <v>20</v>
      </c>
      <c r="DJ108" s="37" t="str">
        <v>MB</v>
      </c>
      <c r="DK108" s="37" t="str">
        <v>MB</v>
      </c>
      <c r="DL108" s="37" t="str">
        <v>F8</v>
      </c>
      <c r="DM108" s="37" t="str">
        <v>MB</v>
      </c>
      <c r="DN108" s="37" t="str">
        <v>M2</v>
      </c>
      <c r="DQ108" s="37">
        <v>1</v>
      </c>
      <c r="DR108" s="37">
        <v>4000</v>
      </c>
      <c r="DS108" s="37">
        <v>1</v>
      </c>
      <c r="DT108" s="37">
        <v>4000</v>
      </c>
      <c r="DU108" s="37">
        <v>20</v>
      </c>
      <c r="DX108" s="37" t="str">
        <v>MB</v>
      </c>
      <c r="DY108" s="37" t="str">
        <v>MB</v>
      </c>
      <c r="DZ108" s="37" t="str">
        <v>F8</v>
      </c>
      <c r="EA108" s="37" t="str">
        <v>MB</v>
      </c>
      <c r="EB108" s="37" t="str">
        <v>M2</v>
      </c>
      <c r="EE108" s="37">
        <v>1</v>
      </c>
      <c r="EF108" s="37">
        <v>1</v>
      </c>
      <c r="EG108" s="37">
        <v>1</v>
      </c>
      <c r="EH108" s="37">
        <v>8000</v>
      </c>
      <c r="EI108" s="37">
        <v>20</v>
      </c>
      <c r="EL108" s="37" t="str">
        <v>MB</v>
      </c>
      <c r="EM108" s="37" t="str">
        <v>MB</v>
      </c>
      <c r="EN108" s="37" t="str">
        <v>F8</v>
      </c>
      <c r="EO108" s="37" t="str">
        <v>MB</v>
      </c>
      <c r="EP108" s="37" t="str">
        <v>M2</v>
      </c>
      <c r="ES108" s="37">
        <v>2000</v>
      </c>
      <c r="ET108" s="37">
        <v>1</v>
      </c>
      <c r="EU108" s="37">
        <v>1</v>
      </c>
      <c r="EV108" s="37">
        <v>2000</v>
      </c>
      <c r="EW108" s="37">
        <v>20</v>
      </c>
      <c r="EZ108" s="37" t="str">
        <v>MB</v>
      </c>
      <c r="FA108" s="37" t="str">
        <v>MB</v>
      </c>
      <c r="FB108" s="37" t="str">
        <v>F8</v>
      </c>
      <c r="FC108" s="37" t="str">
        <v>MB</v>
      </c>
      <c r="FD108" s="37" t="str">
        <v>M2</v>
      </c>
      <c r="FG108" s="37">
        <v>1</v>
      </c>
      <c r="FH108" s="37">
        <v>8000</v>
      </c>
      <c r="FI108" s="37">
        <v>1</v>
      </c>
      <c r="FJ108" s="37">
        <v>8000</v>
      </c>
      <c r="FK108" s="37">
        <v>20</v>
      </c>
      <c r="FN108" s="37" t="str">
        <v>MB</v>
      </c>
      <c r="FO108" s="37" t="str">
        <v>MB</v>
      </c>
      <c r="FP108" s="37" t="str">
        <v>F8</v>
      </c>
      <c r="FQ108" s="37" t="str">
        <v>MB</v>
      </c>
      <c r="FR108" s="37" t="str">
        <v>M2</v>
      </c>
      <c r="FU108" s="37">
        <v>1</v>
      </c>
      <c r="FV108" s="37">
        <v>1</v>
      </c>
      <c r="FW108" s="37">
        <v>1</v>
      </c>
      <c r="FX108" s="37">
        <v>4000</v>
      </c>
      <c r="FY108" s="37">
        <v>20</v>
      </c>
      <c r="GB108" s="37" t="str">
        <v>MB</v>
      </c>
      <c r="GC108" s="37" t="str">
        <v>MB</v>
      </c>
      <c r="GD108" s="37" t="str">
        <v>F8</v>
      </c>
      <c r="GE108" s="37" t="str">
        <v>MB</v>
      </c>
      <c r="GF108" s="37" t="str">
        <v>M2</v>
      </c>
      <c r="GI108" s="37">
        <v>1</v>
      </c>
      <c r="GJ108" s="37">
        <v>4000</v>
      </c>
      <c r="GK108" s="37">
        <v>1</v>
      </c>
      <c r="GL108" s="37">
        <v>1</v>
      </c>
      <c r="GM108" s="37">
        <v>20</v>
      </c>
      <c r="GP108" s="37" t="str">
        <v>MB</v>
      </c>
      <c r="GQ108" s="37" t="str">
        <v>MB</v>
      </c>
      <c r="GR108" s="37" t="str">
        <v>F8</v>
      </c>
      <c r="GS108" s="37" t="str">
        <v>MB</v>
      </c>
      <c r="GT108" s="37" t="str">
        <v>M2</v>
      </c>
      <c r="GW108" s="37">
        <v>10000</v>
      </c>
      <c r="GX108" s="37">
        <v>1</v>
      </c>
      <c r="GY108" s="37">
        <v>1</v>
      </c>
      <c r="GZ108" s="37">
        <v>10000</v>
      </c>
      <c r="HA108" s="37">
        <v>20</v>
      </c>
      <c r="HD108" s="37" t="str">
        <v>MB</v>
      </c>
      <c r="HE108" s="37" t="str">
        <v>MB</v>
      </c>
      <c r="HF108" s="37" t="str">
        <v>F8</v>
      </c>
      <c r="HG108" s="37" t="str">
        <v>MB</v>
      </c>
      <c r="HH108" s="37" t="str">
        <v>M2</v>
      </c>
      <c r="HK108" s="37">
        <v>1</v>
      </c>
      <c r="HL108" s="37">
        <v>1</v>
      </c>
      <c r="HM108" s="37">
        <v>1</v>
      </c>
      <c r="HN108" s="37">
        <v>100000000</v>
      </c>
      <c r="HO108" s="37">
        <v>20</v>
      </c>
    </row>
    <row r="109" spans="2:223" x14ac:dyDescent="0.35">
      <c r="B109" s="37" t="str">
        <v>F9</v>
      </c>
      <c r="C109" s="37" t="str">
        <v>F5</v>
      </c>
      <c r="D109" s="37" t="str">
        <v>M3</v>
      </c>
      <c r="E109" s="37" t="str">
        <v>MB</v>
      </c>
      <c r="F109" s="37" t="str">
        <v>F8</v>
      </c>
      <c r="I109" s="37">
        <v>1</v>
      </c>
      <c r="J109" s="37">
        <v>1</v>
      </c>
      <c r="K109" s="37">
        <v>20</v>
      </c>
      <c r="L109" s="37">
        <v>1</v>
      </c>
      <c r="M109" s="37">
        <v>20</v>
      </c>
      <c r="P109" s="37" t="str">
        <v>F9</v>
      </c>
      <c r="Q109" s="37" t="str">
        <v>F5</v>
      </c>
      <c r="R109" s="37" t="str">
        <v>M3</v>
      </c>
      <c r="S109" s="37" t="str">
        <v>MB</v>
      </c>
      <c r="T109" s="37" t="str">
        <v>F8</v>
      </c>
      <c r="W109" s="37">
        <v>1</v>
      </c>
      <c r="X109" s="37">
        <v>1</v>
      </c>
      <c r="Y109" s="37">
        <v>20</v>
      </c>
      <c r="Z109" s="37">
        <v>1</v>
      </c>
      <c r="AA109" s="37">
        <v>20</v>
      </c>
      <c r="AD109" s="37" t="str">
        <v>F9</v>
      </c>
      <c r="AE109" s="37" t="str">
        <v>F5</v>
      </c>
      <c r="AF109" s="37" t="str">
        <v>M3</v>
      </c>
      <c r="AG109" s="37" t="str">
        <v>MB</v>
      </c>
      <c r="AH109" s="37" t="str">
        <v>F8</v>
      </c>
      <c r="AK109" s="37">
        <v>1</v>
      </c>
      <c r="AL109" s="37">
        <v>1</v>
      </c>
      <c r="AM109" s="37">
        <v>20</v>
      </c>
      <c r="AN109" s="37">
        <v>1</v>
      </c>
      <c r="AO109" s="37">
        <v>20</v>
      </c>
      <c r="AR109" s="37" t="str">
        <v>F9</v>
      </c>
      <c r="AS109" s="37" t="str">
        <v>F5</v>
      </c>
      <c r="AT109" s="37" t="str">
        <v>M3</v>
      </c>
      <c r="AU109" s="37" t="str">
        <v>MB</v>
      </c>
      <c r="AV109" s="37" t="str">
        <v>F8</v>
      </c>
      <c r="AY109" s="37">
        <v>1</v>
      </c>
      <c r="AZ109" s="37">
        <v>1</v>
      </c>
      <c r="BA109" s="37">
        <v>20</v>
      </c>
      <c r="BB109" s="37">
        <v>1</v>
      </c>
      <c r="BC109" s="37">
        <v>20</v>
      </c>
      <c r="BF109" s="37" t="str">
        <v>F9</v>
      </c>
      <c r="BG109" s="37" t="str">
        <v>F5</v>
      </c>
      <c r="BH109" s="37" t="str">
        <v>M3</v>
      </c>
      <c r="BI109" s="37" t="str">
        <v>MB</v>
      </c>
      <c r="BJ109" s="37" t="str">
        <v>F8</v>
      </c>
      <c r="BM109" s="37">
        <v>1</v>
      </c>
      <c r="BN109" s="37">
        <v>1</v>
      </c>
      <c r="BO109" s="37">
        <v>20</v>
      </c>
      <c r="BP109" s="37">
        <v>1</v>
      </c>
      <c r="BQ109" s="37">
        <v>20</v>
      </c>
      <c r="BT109" s="37" t="str">
        <v>F9</v>
      </c>
      <c r="BU109" s="37" t="str">
        <v>F5</v>
      </c>
      <c r="BV109" s="37" t="str">
        <v>M3</v>
      </c>
      <c r="BW109" s="37" t="str">
        <v>MB</v>
      </c>
      <c r="BX109" s="37" t="str">
        <v>F8</v>
      </c>
      <c r="CA109" s="37">
        <v>1</v>
      </c>
      <c r="CB109" s="37">
        <v>1</v>
      </c>
      <c r="CC109" s="37">
        <v>20</v>
      </c>
      <c r="CD109" s="37">
        <v>1</v>
      </c>
      <c r="CE109" s="37">
        <v>20</v>
      </c>
      <c r="CH109" s="37" t="str">
        <v>F9</v>
      </c>
      <c r="CI109" s="37" t="str">
        <v>F5</v>
      </c>
      <c r="CJ109" s="37" t="str">
        <v>M3</v>
      </c>
      <c r="CK109" s="37" t="str">
        <v>MB</v>
      </c>
      <c r="CL109" s="37" t="str">
        <v>F8</v>
      </c>
      <c r="CO109" s="37">
        <v>1</v>
      </c>
      <c r="CP109" s="37">
        <v>1</v>
      </c>
      <c r="CQ109" s="37">
        <v>20</v>
      </c>
      <c r="CR109" s="37">
        <v>1</v>
      </c>
      <c r="CS109" s="37">
        <v>20</v>
      </c>
      <c r="CV109" s="37" t="str">
        <v>F9</v>
      </c>
      <c r="CW109" s="37" t="str">
        <v>F5</v>
      </c>
      <c r="CX109" s="37" t="str">
        <v>M3</v>
      </c>
      <c r="CY109" s="37" t="str">
        <v>MB</v>
      </c>
      <c r="CZ109" s="37" t="str">
        <v>F8</v>
      </c>
      <c r="DC109" s="37">
        <v>1</v>
      </c>
      <c r="DD109" s="37">
        <v>1</v>
      </c>
      <c r="DE109" s="37">
        <v>20</v>
      </c>
      <c r="DF109" s="37">
        <v>1</v>
      </c>
      <c r="DG109" s="37">
        <v>20</v>
      </c>
      <c r="DJ109" s="37" t="str">
        <v>F9</v>
      </c>
      <c r="DK109" s="37" t="str">
        <v>F5</v>
      </c>
      <c r="DL109" s="37" t="str">
        <v>M3</v>
      </c>
      <c r="DM109" s="37" t="str">
        <v>MB</v>
      </c>
      <c r="DN109" s="37" t="str">
        <v>F8</v>
      </c>
      <c r="DQ109" s="37">
        <v>1</v>
      </c>
      <c r="DR109" s="37">
        <v>1</v>
      </c>
      <c r="DS109" s="37">
        <v>20</v>
      </c>
      <c r="DT109" s="37">
        <v>1</v>
      </c>
      <c r="DU109" s="37">
        <v>20</v>
      </c>
      <c r="DX109" s="37" t="str">
        <v>F9</v>
      </c>
      <c r="DY109" s="37" t="str">
        <v>F5</v>
      </c>
      <c r="DZ109" s="37" t="str">
        <v>M3</v>
      </c>
      <c r="EA109" s="37" t="str">
        <v>MB</v>
      </c>
      <c r="EB109" s="37" t="str">
        <v>F8</v>
      </c>
      <c r="EE109" s="37">
        <v>1</v>
      </c>
      <c r="EF109" s="37">
        <v>1</v>
      </c>
      <c r="EG109" s="37">
        <v>20</v>
      </c>
      <c r="EH109" s="37">
        <v>1</v>
      </c>
      <c r="EI109" s="37">
        <v>20</v>
      </c>
      <c r="EL109" s="37" t="str">
        <v>F9</v>
      </c>
      <c r="EM109" s="37" t="str">
        <v>F5</v>
      </c>
      <c r="EN109" s="37" t="str">
        <v>M3</v>
      </c>
      <c r="EO109" s="37" t="str">
        <v>MB</v>
      </c>
      <c r="EP109" s="37" t="str">
        <v>F8</v>
      </c>
      <c r="ES109" s="37">
        <v>1</v>
      </c>
      <c r="ET109" s="37">
        <v>1</v>
      </c>
      <c r="EU109" s="37">
        <v>20</v>
      </c>
      <c r="EV109" s="37">
        <v>1</v>
      </c>
      <c r="EW109" s="37">
        <v>20</v>
      </c>
      <c r="EZ109" s="37" t="str">
        <v>F9</v>
      </c>
      <c r="FA109" s="37" t="str">
        <v>F5</v>
      </c>
      <c r="FB109" s="37" t="str">
        <v>M3</v>
      </c>
      <c r="FC109" s="37" t="str">
        <v>MB</v>
      </c>
      <c r="FD109" s="37" t="str">
        <v>F8</v>
      </c>
      <c r="FG109" s="37">
        <v>1</v>
      </c>
      <c r="FH109" s="37">
        <v>1</v>
      </c>
      <c r="FI109" s="37">
        <v>20</v>
      </c>
      <c r="FJ109" s="37">
        <v>1</v>
      </c>
      <c r="FK109" s="37">
        <v>20</v>
      </c>
      <c r="FN109" s="37" t="str">
        <v>F9</v>
      </c>
      <c r="FO109" s="37" t="str">
        <v>F5</v>
      </c>
      <c r="FP109" s="37" t="str">
        <v>M3</v>
      </c>
      <c r="FQ109" s="37" t="str">
        <v>MB</v>
      </c>
      <c r="FR109" s="37" t="str">
        <v>F8</v>
      </c>
      <c r="FU109" s="37">
        <v>1</v>
      </c>
      <c r="FV109" s="37">
        <v>1</v>
      </c>
      <c r="FW109" s="37">
        <v>20</v>
      </c>
      <c r="FX109" s="37">
        <v>1</v>
      </c>
      <c r="FY109" s="37">
        <v>20</v>
      </c>
      <c r="GB109" s="37" t="str">
        <v>F9</v>
      </c>
      <c r="GC109" s="37" t="str">
        <v>F5</v>
      </c>
      <c r="GD109" s="37" t="str">
        <v>M3</v>
      </c>
      <c r="GE109" s="37" t="str">
        <v>MB</v>
      </c>
      <c r="GF109" s="37" t="str">
        <v>F8</v>
      </c>
      <c r="GI109" s="37">
        <v>1</v>
      </c>
      <c r="GJ109" s="37">
        <v>1</v>
      </c>
      <c r="GK109" s="37">
        <v>20</v>
      </c>
      <c r="GL109" s="37">
        <v>1</v>
      </c>
      <c r="GM109" s="37">
        <v>20</v>
      </c>
      <c r="GP109" s="37" t="str">
        <v>F9</v>
      </c>
      <c r="GQ109" s="37" t="str">
        <v>F5</v>
      </c>
      <c r="GR109" s="37" t="str">
        <v>M3</v>
      </c>
      <c r="GS109" s="37" t="str">
        <v>MB</v>
      </c>
      <c r="GT109" s="37" t="str">
        <v>F8</v>
      </c>
      <c r="GW109" s="37">
        <v>1</v>
      </c>
      <c r="GX109" s="37">
        <v>1</v>
      </c>
      <c r="GY109" s="37">
        <v>20</v>
      </c>
      <c r="GZ109" s="37">
        <v>1</v>
      </c>
      <c r="HA109" s="37">
        <v>20</v>
      </c>
      <c r="HD109" s="37" t="str">
        <v>F9</v>
      </c>
      <c r="HE109" s="37" t="str">
        <v>F5</v>
      </c>
      <c r="HF109" s="37" t="str">
        <v>M3</v>
      </c>
      <c r="HG109" s="37" t="str">
        <v>MB</v>
      </c>
      <c r="HH109" s="37" t="str">
        <v>F8</v>
      </c>
      <c r="HK109" s="37">
        <v>1</v>
      </c>
      <c r="HL109" s="37">
        <v>1</v>
      </c>
      <c r="HM109" s="37">
        <v>20</v>
      </c>
      <c r="HN109" s="37">
        <v>1</v>
      </c>
      <c r="HO109" s="37">
        <v>20</v>
      </c>
    </row>
    <row r="113" spans="2:3" x14ac:dyDescent="0.35">
      <c r="B113" s="37" t="s">
        <v>111</v>
      </c>
    </row>
    <row r="114" spans="2:3" x14ac:dyDescent="0.35">
      <c r="B114" s="37" t="s">
        <v>75</v>
      </c>
      <c r="C114" s="37" t="s">
        <v>10</v>
      </c>
    </row>
    <row r="115" spans="2:3" x14ac:dyDescent="0.35">
      <c r="B115" s="37" t="s">
        <v>73</v>
      </c>
      <c r="C115" s="37" t="s">
        <v>11</v>
      </c>
    </row>
    <row r="116" spans="2:3" x14ac:dyDescent="0.35">
      <c r="B116" s="37" t="s">
        <v>78</v>
      </c>
      <c r="C116" s="37" t="s">
        <v>27</v>
      </c>
    </row>
    <row r="117" spans="2:3" x14ac:dyDescent="0.35">
      <c r="B117" s="37" t="s">
        <v>69</v>
      </c>
      <c r="C117" s="37" t="s">
        <v>112</v>
      </c>
    </row>
    <row r="118" spans="2:3" x14ac:dyDescent="0.35">
      <c r="B118" s="37" t="s">
        <v>71</v>
      </c>
      <c r="C118" s="37" t="s">
        <v>12</v>
      </c>
    </row>
    <row r="119" spans="2:3" x14ac:dyDescent="0.35">
      <c r="B119" s="37" t="s">
        <v>72</v>
      </c>
      <c r="C119" s="37" t="s">
        <v>13</v>
      </c>
    </row>
    <row r="120" spans="2:3" x14ac:dyDescent="0.35">
      <c r="B120" s="37" t="s">
        <v>70</v>
      </c>
      <c r="C120" s="37" t="s">
        <v>14</v>
      </c>
    </row>
    <row r="121" spans="2:3" x14ac:dyDescent="0.35">
      <c r="B121" s="37" t="s">
        <v>68</v>
      </c>
      <c r="C121" s="37" t="s">
        <v>15</v>
      </c>
    </row>
    <row r="122" spans="2:3" x14ac:dyDescent="0.35">
      <c r="B122" s="37" t="s">
        <v>67</v>
      </c>
      <c r="C122" s="37" t="s">
        <v>16</v>
      </c>
    </row>
    <row r="123" spans="2:3" x14ac:dyDescent="0.35">
      <c r="B123" s="37" t="s">
        <v>76</v>
      </c>
      <c r="C123" s="37" t="s">
        <v>25</v>
      </c>
    </row>
    <row r="124" spans="2:3" x14ac:dyDescent="0.35">
      <c r="B124" s="37" t="s">
        <v>77</v>
      </c>
      <c r="C124" s="94" t="s">
        <v>28</v>
      </c>
    </row>
    <row r="125" spans="2:3" x14ac:dyDescent="0.35">
      <c r="B125" s="37" t="s">
        <v>74</v>
      </c>
      <c r="C125" s="37" t="s">
        <v>35</v>
      </c>
    </row>
  </sheetData>
  <phoneticPr fontId="33" type="noConversion"/>
  <conditionalFormatting sqref="B5:F53">
    <cfRule type="containsText" dxfId="7" priority="1" operator="containsText" text="TOP">
      <formula>NOT(ISERROR(SEARCH("TOP",B5)))</formula>
    </cfRule>
    <cfRule type="containsText" dxfId="6" priority="2" operator="containsText" text="COI">
      <formula>NOT(ISERROR(SEARCH("COI",B5)))</formula>
    </cfRule>
    <cfRule type="containsText" dxfId="5" priority="4" operator="containsText" text="JOK">
      <formula>NOT(ISERROR(SEARCH("JOK",B5)))</formula>
    </cfRule>
    <cfRule type="containsText" dxfId="4" priority="7" operator="containsText" text="SCA">
      <formula>NOT(ISERROR(SEARCH("SCA",B5)))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DE838-D2EF-4525-B2D6-BC5E520D7B76}">
  <sheetPr>
    <tabColor rgb="FF7030A0"/>
  </sheetPr>
  <dimension ref="A1:Q110"/>
  <sheetViews>
    <sheetView zoomScale="70" zoomScaleNormal="70" workbookViewId="0">
      <selection activeCell="B5" sqref="B5"/>
    </sheetView>
  </sheetViews>
  <sheetFormatPr defaultColWidth="13.81640625" defaultRowHeight="14.5" x14ac:dyDescent="0.35"/>
  <cols>
    <col min="1" max="16384" width="13.81640625" style="37"/>
  </cols>
  <sheetData>
    <row r="1" spans="1:13" x14ac:dyDescent="0.35">
      <c r="A1" s="37" t="e">
        <f>#REF!</f>
        <v>#REF!</v>
      </c>
    </row>
    <row r="2" spans="1:13" x14ac:dyDescent="0.35">
      <c r="C2" s="37" t="s">
        <v>19</v>
      </c>
    </row>
    <row r="4" spans="1:13" x14ac:dyDescent="0.35">
      <c r="A4" s="37" t="s">
        <v>0</v>
      </c>
      <c r="B4" s="37" t="s">
        <v>20</v>
      </c>
      <c r="C4" s="37" t="s">
        <v>21</v>
      </c>
      <c r="D4" s="37" t="s">
        <v>22</v>
      </c>
      <c r="E4" s="37" t="s">
        <v>23</v>
      </c>
      <c r="F4" s="37" t="s">
        <v>24</v>
      </c>
      <c r="I4" s="37" t="s">
        <v>20</v>
      </c>
      <c r="J4" s="37" t="s">
        <v>21</v>
      </c>
      <c r="K4" s="37" t="s">
        <v>22</v>
      </c>
      <c r="L4" s="37" t="s">
        <v>23</v>
      </c>
      <c r="M4" s="37" t="s">
        <v>24</v>
      </c>
    </row>
    <row r="5" spans="1:13" x14ac:dyDescent="0.35">
      <c r="A5" s="37">
        <v>1</v>
      </c>
      <c r="B5" s="37" t="str">
        <f>VLOOKUP(B61,$P$61:$Q$74,2,FALSE)</f>
        <v>_low_5_</v>
      </c>
      <c r="C5" s="37" t="str">
        <f t="shared" ref="C5:F5" si="0">VLOOKUP(C61,$P$61:$Q$74,2,FALSE)</f>
        <v>_low_4_</v>
      </c>
      <c r="D5" s="37" t="str">
        <f t="shared" si="0"/>
        <v>_HIG_4_</v>
      </c>
      <c r="E5" s="37" t="str">
        <f t="shared" si="0"/>
        <v>_HIG_4_</v>
      </c>
      <c r="F5" s="37" t="str">
        <f t="shared" si="0"/>
        <v>_low_4_</v>
      </c>
      <c r="I5" s="60" cm="1">
        <f t="array" ref="I5:M54">I61:M110</f>
        <v>20</v>
      </c>
      <c r="J5" s="60">
        <v>20</v>
      </c>
      <c r="K5" s="60">
        <v>20</v>
      </c>
      <c r="L5" s="60">
        <v>5</v>
      </c>
      <c r="M5" s="60">
        <v>20</v>
      </c>
    </row>
    <row r="6" spans="1:13" x14ac:dyDescent="0.35">
      <c r="A6" s="37">
        <v>2</v>
      </c>
      <c r="B6" s="37" t="str">
        <f t="shared" ref="B6:F6" si="1">VLOOKUP(B62,$P$61:$Q$74,2,FALSE)</f>
        <v>_low_4_</v>
      </c>
      <c r="C6" s="37" t="str">
        <f t="shared" si="1"/>
        <v>_low_4_</v>
      </c>
      <c r="D6" s="37" t="str">
        <f t="shared" si="1"/>
        <v>_HIG_4_</v>
      </c>
      <c r="E6" s="37" t="str">
        <f t="shared" si="1"/>
        <v>_low_3_</v>
      </c>
      <c r="F6" s="37" t="str">
        <f t="shared" si="1"/>
        <v>_low_1_</v>
      </c>
      <c r="I6" s="60">
        <v>20</v>
      </c>
      <c r="J6" s="60">
        <v>20</v>
      </c>
      <c r="K6" s="60">
        <v>20</v>
      </c>
      <c r="L6" s="60">
        <v>20</v>
      </c>
      <c r="M6" s="60">
        <v>20</v>
      </c>
    </row>
    <row r="7" spans="1:13" x14ac:dyDescent="0.35">
      <c r="A7" s="37">
        <v>3</v>
      </c>
      <c r="B7" s="37" t="str">
        <f t="shared" ref="B7:F7" si="2">VLOOKUP(B63,$P$61:$Q$74,2,FALSE)</f>
        <v>_low_3_</v>
      </c>
      <c r="C7" s="37" t="str">
        <f t="shared" si="2"/>
        <v>_low_2_</v>
      </c>
      <c r="D7" s="37" t="str">
        <f t="shared" si="2"/>
        <v>_low_1_</v>
      </c>
      <c r="E7" s="37" t="str">
        <f t="shared" si="2"/>
        <v>_HIG_2_</v>
      </c>
      <c r="F7" s="37" t="str">
        <f t="shared" si="2"/>
        <v>_low_1_</v>
      </c>
      <c r="I7" s="60">
        <v>20</v>
      </c>
      <c r="J7" s="60">
        <v>5</v>
      </c>
      <c r="K7" s="60">
        <v>5</v>
      </c>
      <c r="L7" s="60">
        <v>20</v>
      </c>
      <c r="M7" s="60">
        <v>20</v>
      </c>
    </row>
    <row r="8" spans="1:13" x14ac:dyDescent="0.35">
      <c r="A8" s="37">
        <v>4</v>
      </c>
      <c r="B8" s="37" t="str">
        <f t="shared" ref="B8:F8" si="3">VLOOKUP(B64,$P$61:$Q$74,2,FALSE)</f>
        <v>_low_4_</v>
      </c>
      <c r="C8" s="37" t="str">
        <f t="shared" si="3"/>
        <v>_COI_1_</v>
      </c>
      <c r="D8" s="37" t="str">
        <f t="shared" si="3"/>
        <v>_COI_1_</v>
      </c>
      <c r="E8" s="37" t="str">
        <f t="shared" si="3"/>
        <v>_low_2_</v>
      </c>
      <c r="F8" s="37" t="str">
        <f t="shared" si="3"/>
        <v>_HIG_4_</v>
      </c>
      <c r="I8" s="60">
        <v>2</v>
      </c>
      <c r="J8" s="60">
        <v>5</v>
      </c>
      <c r="K8" s="60">
        <v>5</v>
      </c>
      <c r="L8" s="60">
        <v>5</v>
      </c>
      <c r="M8" s="60">
        <v>5</v>
      </c>
    </row>
    <row r="9" spans="1:13" x14ac:dyDescent="0.35">
      <c r="A9" s="37">
        <v>5</v>
      </c>
      <c r="B9" s="37" t="str">
        <f t="shared" ref="B9:F9" si="4">VLOOKUP(B65,$P$61:$Q$74,2,FALSE)</f>
        <v>_COI_1_</v>
      </c>
      <c r="C9" s="37" t="str">
        <f t="shared" si="4"/>
        <v>_low_2_</v>
      </c>
      <c r="D9" s="37" t="str">
        <f t="shared" si="4"/>
        <v>_low_1_</v>
      </c>
      <c r="E9" s="37" t="str">
        <f t="shared" si="4"/>
        <v>_COI_1_</v>
      </c>
      <c r="F9" s="37" t="str">
        <f t="shared" si="4"/>
        <v>_COI_1_</v>
      </c>
      <c r="I9" s="60">
        <v>2</v>
      </c>
      <c r="J9" s="60">
        <v>5</v>
      </c>
      <c r="K9" s="60">
        <v>5</v>
      </c>
      <c r="L9" s="60">
        <v>5</v>
      </c>
      <c r="M9" s="60">
        <v>5</v>
      </c>
    </row>
    <row r="10" spans="1:13" x14ac:dyDescent="0.35">
      <c r="A10" s="37">
        <v>6</v>
      </c>
      <c r="B10" s="37" t="str">
        <f t="shared" ref="B10:F10" si="5">VLOOKUP(B66,$P$61:$Q$74,2,FALSE)</f>
        <v>_low_5_</v>
      </c>
      <c r="C10" s="37" t="str">
        <f t="shared" si="5"/>
        <v>_low_3_</v>
      </c>
      <c r="D10" s="37" t="str">
        <f t="shared" si="5"/>
        <v>_HIG_2_</v>
      </c>
      <c r="E10" s="37" t="str">
        <f t="shared" si="5"/>
        <v>_COI_1_</v>
      </c>
      <c r="F10" s="37" t="str">
        <f t="shared" si="5"/>
        <v>_low_5_</v>
      </c>
      <c r="I10" s="60">
        <v>2</v>
      </c>
      <c r="J10" s="60">
        <v>20</v>
      </c>
      <c r="K10" s="60">
        <v>20</v>
      </c>
      <c r="L10" s="60">
        <v>5</v>
      </c>
      <c r="M10" s="60">
        <v>5</v>
      </c>
    </row>
    <row r="11" spans="1:13" x14ac:dyDescent="0.35">
      <c r="A11" s="37">
        <v>7</v>
      </c>
      <c r="B11" s="37" t="str">
        <f t="shared" ref="B11:F11" si="6">VLOOKUP(B67,$P$61:$Q$74,2,FALSE)</f>
        <v>_HIG_1_</v>
      </c>
      <c r="C11" s="37" t="str">
        <f t="shared" si="6"/>
        <v>_HIG_4_</v>
      </c>
      <c r="D11" s="37" t="str">
        <f t="shared" si="6"/>
        <v>_low_3_</v>
      </c>
      <c r="E11" s="37" t="str">
        <f t="shared" si="6"/>
        <v>_HIG_1_</v>
      </c>
      <c r="F11" s="37" t="str">
        <f t="shared" si="6"/>
        <v>_low_5_</v>
      </c>
      <c r="I11" s="60">
        <v>20</v>
      </c>
      <c r="J11" s="60">
        <v>20</v>
      </c>
      <c r="K11" s="60">
        <v>20</v>
      </c>
      <c r="L11" s="60">
        <v>5</v>
      </c>
      <c r="M11" s="60">
        <v>20</v>
      </c>
    </row>
    <row r="12" spans="1:13" x14ac:dyDescent="0.35">
      <c r="A12" s="37">
        <v>8</v>
      </c>
      <c r="B12" s="37" t="str">
        <f t="shared" ref="B12:F12" si="7">VLOOKUP(B68,$P$61:$Q$74,2,FALSE)</f>
        <v>_HIG_2_</v>
      </c>
      <c r="C12" s="37" t="str">
        <f t="shared" si="7"/>
        <v>_low_4_</v>
      </c>
      <c r="D12" s="37" t="str">
        <f t="shared" si="7"/>
        <v>_JOK_1_</v>
      </c>
      <c r="E12" s="37" t="str">
        <f t="shared" si="7"/>
        <v>_low_4_</v>
      </c>
      <c r="F12" s="37" t="str">
        <f t="shared" si="7"/>
        <v>_low_2_</v>
      </c>
      <c r="I12" s="60">
        <v>20</v>
      </c>
      <c r="J12" s="60">
        <v>5</v>
      </c>
      <c r="K12" s="60">
        <v>20</v>
      </c>
      <c r="L12" s="60">
        <v>5</v>
      </c>
      <c r="M12" s="60">
        <v>20</v>
      </c>
    </row>
    <row r="13" spans="1:13" x14ac:dyDescent="0.35">
      <c r="A13" s="37">
        <v>9</v>
      </c>
      <c r="B13" s="37" t="str">
        <f t="shared" ref="B13:F13" si="8">VLOOKUP(B69,$P$61:$Q$74,2,FALSE)</f>
        <v>_low_2_</v>
      </c>
      <c r="C13" s="37" t="str">
        <f t="shared" si="8"/>
        <v>_BN_</v>
      </c>
      <c r="D13" s="37" t="str">
        <f t="shared" si="8"/>
        <v>_JOK_1_</v>
      </c>
      <c r="E13" s="37" t="str">
        <f t="shared" si="8"/>
        <v>_BN_</v>
      </c>
      <c r="F13" s="37" t="str">
        <f t="shared" si="8"/>
        <v>_HIG_1_</v>
      </c>
      <c r="I13" s="60">
        <v>20</v>
      </c>
      <c r="J13" s="60">
        <v>5</v>
      </c>
      <c r="K13" s="60">
        <v>20</v>
      </c>
      <c r="L13" s="60">
        <v>5</v>
      </c>
      <c r="M13" s="60">
        <v>20</v>
      </c>
    </row>
    <row r="14" spans="1:13" x14ac:dyDescent="0.35">
      <c r="A14" s="37">
        <v>10</v>
      </c>
      <c r="B14" s="37" t="str">
        <f t="shared" ref="B14:F14" si="9">VLOOKUP(B70,$P$61:$Q$74,2,FALSE)</f>
        <v>_low_2_</v>
      </c>
      <c r="C14" s="37" t="str">
        <f t="shared" si="9"/>
        <v>_low_3_</v>
      </c>
      <c r="D14" s="37" t="str">
        <f t="shared" si="9"/>
        <v>_JOK_1_</v>
      </c>
      <c r="E14" s="37" t="str">
        <f t="shared" si="9"/>
        <v>_low_3_</v>
      </c>
      <c r="F14" s="37" t="str">
        <f t="shared" si="9"/>
        <v>_low_3_</v>
      </c>
      <c r="I14" s="60">
        <v>20</v>
      </c>
      <c r="J14" s="60">
        <v>5</v>
      </c>
      <c r="K14" s="60">
        <v>20</v>
      </c>
      <c r="L14" s="60">
        <v>5</v>
      </c>
      <c r="M14" s="60">
        <v>5</v>
      </c>
    </row>
    <row r="15" spans="1:13" x14ac:dyDescent="0.35">
      <c r="A15" s="37">
        <v>11</v>
      </c>
      <c r="B15" s="37" t="str">
        <f t="shared" ref="B15:F15" si="10">VLOOKUP(B71,$P$61:$Q$74,2,FALSE)</f>
        <v>_HIG_2_</v>
      </c>
      <c r="C15" s="37" t="str">
        <f t="shared" si="10"/>
        <v>_low_5_</v>
      </c>
      <c r="D15" s="37" t="str">
        <f t="shared" si="10"/>
        <v>_low_4_</v>
      </c>
      <c r="E15" s="37" t="str">
        <f t="shared" si="10"/>
        <v>_low_4_</v>
      </c>
      <c r="F15" s="37" t="str">
        <f t="shared" si="10"/>
        <v>_COI_1_</v>
      </c>
      <c r="I15" s="60">
        <v>20</v>
      </c>
      <c r="J15" s="60">
        <v>20</v>
      </c>
      <c r="K15" s="60">
        <v>20</v>
      </c>
      <c r="L15" s="60">
        <v>20</v>
      </c>
      <c r="M15" s="60">
        <v>5</v>
      </c>
    </row>
    <row r="16" spans="1:13" x14ac:dyDescent="0.35">
      <c r="A16" s="37">
        <v>12</v>
      </c>
      <c r="B16" s="37" t="str">
        <f t="shared" ref="B16:F16" si="11">VLOOKUP(B72,$P$61:$Q$74,2,FALSE)</f>
        <v>_HIG_1_</v>
      </c>
      <c r="C16" s="37" t="str">
        <f t="shared" si="11"/>
        <v>_JOK_1_</v>
      </c>
      <c r="D16" s="37" t="str">
        <f t="shared" si="11"/>
        <v>_HIG_2_</v>
      </c>
      <c r="E16" s="37" t="str">
        <f t="shared" si="11"/>
        <v>_HIG_4_</v>
      </c>
      <c r="F16" s="37" t="str">
        <f t="shared" si="11"/>
        <v>_COI_1_</v>
      </c>
      <c r="I16" s="60">
        <v>20</v>
      </c>
      <c r="J16" s="60">
        <v>20</v>
      </c>
      <c r="K16" s="60">
        <v>20</v>
      </c>
      <c r="L16" s="60">
        <v>20</v>
      </c>
      <c r="M16" s="60">
        <v>5</v>
      </c>
    </row>
    <row r="17" spans="1:13" x14ac:dyDescent="0.35">
      <c r="A17" s="37">
        <v>13</v>
      </c>
      <c r="B17" s="37" t="str">
        <f t="shared" ref="B17:F17" si="12">VLOOKUP(B73,$P$61:$Q$74,2,FALSE)</f>
        <v>_low_1_</v>
      </c>
      <c r="C17" s="37" t="str">
        <f t="shared" si="12"/>
        <v>_JOK_1_</v>
      </c>
      <c r="D17" s="37" t="str">
        <f t="shared" si="12"/>
        <v>_low_3_</v>
      </c>
      <c r="E17" s="37" t="str">
        <f t="shared" si="12"/>
        <v>_HIG_4_</v>
      </c>
      <c r="F17" s="37" t="str">
        <f t="shared" si="12"/>
        <v>_low_3_</v>
      </c>
      <c r="I17" s="60">
        <v>20</v>
      </c>
      <c r="J17" s="60">
        <v>20</v>
      </c>
      <c r="K17" s="60">
        <v>20</v>
      </c>
      <c r="L17" s="60">
        <v>5</v>
      </c>
      <c r="M17" s="60">
        <v>5</v>
      </c>
    </row>
    <row r="18" spans="1:13" x14ac:dyDescent="0.35">
      <c r="A18" s="37">
        <v>14</v>
      </c>
      <c r="B18" s="37" t="str">
        <f t="shared" ref="B18:F18" si="13">VLOOKUP(B74,$P$61:$Q$74,2,FALSE)</f>
        <v>_low_5_</v>
      </c>
      <c r="C18" s="37" t="str">
        <f t="shared" si="13"/>
        <v>_JOK_1_</v>
      </c>
      <c r="D18" s="37" t="str">
        <f t="shared" si="13"/>
        <v>_low_2_</v>
      </c>
      <c r="E18" s="37" t="str">
        <f t="shared" si="13"/>
        <v>_COI_1_</v>
      </c>
      <c r="F18" s="37" t="str">
        <f t="shared" si="13"/>
        <v>_HIG_2_</v>
      </c>
      <c r="I18" s="60">
        <v>1</v>
      </c>
      <c r="J18" s="60">
        <v>20</v>
      </c>
      <c r="K18" s="60">
        <v>5</v>
      </c>
      <c r="L18" s="60">
        <v>5</v>
      </c>
      <c r="M18" s="60">
        <v>20</v>
      </c>
    </row>
    <row r="19" spans="1:13" x14ac:dyDescent="0.35">
      <c r="A19" s="37">
        <v>15</v>
      </c>
      <c r="B19" s="37" t="str">
        <f t="shared" ref="B19:F19" si="14">VLOOKUP(B75,$P$61:$Q$74,2,FALSE)</f>
        <v>_COI_1_</v>
      </c>
      <c r="C19" s="37" t="str">
        <f t="shared" si="14"/>
        <v>_low_1_</v>
      </c>
      <c r="D19" s="37" t="str">
        <f t="shared" si="14"/>
        <v>_COI_1_</v>
      </c>
      <c r="E19" s="37" t="str">
        <f t="shared" si="14"/>
        <v>_COI_1_</v>
      </c>
      <c r="F19" s="37" t="str">
        <f t="shared" si="14"/>
        <v>_low_2_</v>
      </c>
      <c r="I19" s="60">
        <v>2</v>
      </c>
      <c r="J19" s="60">
        <v>20</v>
      </c>
      <c r="K19" s="60">
        <v>1</v>
      </c>
      <c r="L19" s="60">
        <v>5</v>
      </c>
      <c r="M19" s="60">
        <v>20</v>
      </c>
    </row>
    <row r="20" spans="1:13" x14ac:dyDescent="0.35">
      <c r="A20" s="37">
        <v>16</v>
      </c>
      <c r="B20" s="37" t="str">
        <f t="shared" ref="B20:F20" si="15">VLOOKUP(B76,$P$61:$Q$74,2,FALSE)</f>
        <v>_COI_1_</v>
      </c>
      <c r="C20" s="37" t="str">
        <f t="shared" si="15"/>
        <v>_low_3_</v>
      </c>
      <c r="D20" s="37" t="str">
        <f t="shared" si="15"/>
        <v>_COI_1_</v>
      </c>
      <c r="E20" s="37" t="str">
        <f t="shared" si="15"/>
        <v>_COI_1_</v>
      </c>
      <c r="F20" s="37" t="str">
        <f t="shared" si="15"/>
        <v>_HIG_1_</v>
      </c>
      <c r="I20" s="60">
        <v>2</v>
      </c>
      <c r="J20" s="60">
        <v>5</v>
      </c>
      <c r="K20" s="60">
        <v>1</v>
      </c>
      <c r="L20" s="60">
        <v>5</v>
      </c>
      <c r="M20" s="60">
        <v>20</v>
      </c>
    </row>
    <row r="21" spans="1:13" x14ac:dyDescent="0.35">
      <c r="A21" s="37">
        <v>17</v>
      </c>
      <c r="B21" s="37" t="str">
        <f t="shared" ref="B21:F21" si="16">VLOOKUP(B77,$P$61:$Q$74,2,FALSE)</f>
        <v>_low_3_</v>
      </c>
      <c r="C21" s="37" t="str">
        <f t="shared" si="16"/>
        <v>_COI_1_</v>
      </c>
      <c r="D21" s="37" t="str">
        <f t="shared" si="16"/>
        <v>_low_5_</v>
      </c>
      <c r="E21" s="37" t="str">
        <f t="shared" si="16"/>
        <v>_HIG_2_</v>
      </c>
      <c r="F21" s="37" t="str">
        <f t="shared" si="16"/>
        <v>_low_3_</v>
      </c>
      <c r="I21" s="60">
        <v>1</v>
      </c>
      <c r="J21" s="60">
        <v>5</v>
      </c>
      <c r="K21" s="60">
        <v>5</v>
      </c>
      <c r="L21" s="60">
        <v>5</v>
      </c>
      <c r="M21" s="60">
        <v>20</v>
      </c>
    </row>
    <row r="22" spans="1:13" x14ac:dyDescent="0.35">
      <c r="A22" s="37">
        <v>18</v>
      </c>
      <c r="B22" s="37" t="str">
        <f t="shared" ref="B22:F22" si="17">VLOOKUP(B78,$P$61:$Q$74,2,FALSE)</f>
        <v>_low_4_</v>
      </c>
      <c r="C22" s="37" t="str">
        <f t="shared" si="17"/>
        <v>_low_4_</v>
      </c>
      <c r="D22" s="37" t="str">
        <f t="shared" si="17"/>
        <v>_low_2_</v>
      </c>
      <c r="E22" s="37" t="str">
        <f t="shared" si="17"/>
        <v>_low_4_</v>
      </c>
      <c r="F22" s="37" t="str">
        <f t="shared" si="17"/>
        <v>_HIG_4_</v>
      </c>
      <c r="I22" s="60">
        <v>20</v>
      </c>
      <c r="J22" s="60">
        <v>5</v>
      </c>
      <c r="K22" s="60">
        <v>20</v>
      </c>
      <c r="L22" s="60">
        <v>20</v>
      </c>
      <c r="M22" s="60">
        <v>20</v>
      </c>
    </row>
    <row r="23" spans="1:13" x14ac:dyDescent="0.35">
      <c r="A23" s="37">
        <v>19</v>
      </c>
      <c r="B23" s="37" t="str">
        <f t="shared" ref="B23:F23" si="18">VLOOKUP(B79,$P$61:$Q$74,2,FALSE)</f>
        <v>_low_4_</v>
      </c>
      <c r="C23" s="37" t="str">
        <f t="shared" si="18"/>
        <v>_low_1_</v>
      </c>
      <c r="D23" s="37" t="str">
        <f t="shared" si="18"/>
        <v>_low_1_</v>
      </c>
      <c r="E23" s="37" t="str">
        <f t="shared" si="18"/>
        <v>_HIG_1_</v>
      </c>
      <c r="F23" s="37" t="str">
        <f t="shared" si="18"/>
        <v>_low_4_</v>
      </c>
      <c r="I23" s="60">
        <v>20</v>
      </c>
      <c r="J23" s="60">
        <v>20</v>
      </c>
      <c r="K23" s="60">
        <v>20</v>
      </c>
      <c r="L23" s="60">
        <v>20</v>
      </c>
      <c r="M23" s="60">
        <v>20</v>
      </c>
    </row>
    <row r="24" spans="1:13" x14ac:dyDescent="0.35">
      <c r="A24" s="37">
        <v>20</v>
      </c>
      <c r="B24" s="37" t="str">
        <f t="shared" ref="B24:F24" si="19">VLOOKUP(B80,$P$61:$Q$74,2,FALSE)</f>
        <v>_low_1_</v>
      </c>
      <c r="C24" s="37" t="str">
        <f t="shared" si="19"/>
        <v>_HIG_2_</v>
      </c>
      <c r="D24" s="37" t="str">
        <f t="shared" si="19"/>
        <v>_BN_</v>
      </c>
      <c r="E24" s="37" t="str">
        <f t="shared" si="19"/>
        <v>_low_1_</v>
      </c>
      <c r="F24" s="37" t="str">
        <f t="shared" si="19"/>
        <v>_HIG_3_</v>
      </c>
      <c r="I24" s="60">
        <v>2</v>
      </c>
      <c r="J24" s="60">
        <v>1</v>
      </c>
      <c r="K24" s="60">
        <v>20</v>
      </c>
      <c r="L24" s="60">
        <v>20</v>
      </c>
      <c r="M24" s="60">
        <v>5</v>
      </c>
    </row>
    <row r="25" spans="1:13" x14ac:dyDescent="0.35">
      <c r="A25" s="37">
        <v>21</v>
      </c>
      <c r="B25" s="37" t="str">
        <f t="shared" ref="B25:F25" si="20">VLOOKUP(B81,$P$61:$Q$74,2,FALSE)</f>
        <v>_COI_1_</v>
      </c>
      <c r="C25" s="37" t="str">
        <f t="shared" si="20"/>
        <v>_COI_1_</v>
      </c>
      <c r="D25" s="37" t="str">
        <f t="shared" si="20"/>
        <v>_HIG_1_</v>
      </c>
      <c r="E25" s="37" t="str">
        <f t="shared" si="20"/>
        <v>_HIG_3_</v>
      </c>
      <c r="F25" s="37" t="str">
        <f t="shared" si="20"/>
        <v>_COI_1_</v>
      </c>
      <c r="I25" s="60">
        <v>2</v>
      </c>
      <c r="J25" s="60">
        <v>1</v>
      </c>
      <c r="K25" s="60">
        <v>20</v>
      </c>
      <c r="L25" s="60">
        <v>20</v>
      </c>
      <c r="M25" s="60">
        <v>5</v>
      </c>
    </row>
    <row r="26" spans="1:13" x14ac:dyDescent="0.35">
      <c r="A26" s="37">
        <v>22</v>
      </c>
      <c r="B26" s="37" t="str">
        <f t="shared" ref="B26:F26" si="21">VLOOKUP(B82,$P$61:$Q$74,2,FALSE)</f>
        <v>_low_5_</v>
      </c>
      <c r="C26" s="37" t="str">
        <f t="shared" si="21"/>
        <v>_COI_1_</v>
      </c>
      <c r="D26" s="37" t="str">
        <f t="shared" si="21"/>
        <v>_low_5_</v>
      </c>
      <c r="E26" s="37" t="str">
        <f t="shared" si="21"/>
        <v>_HIG_3_</v>
      </c>
      <c r="F26" s="37" t="str">
        <f t="shared" si="21"/>
        <v>_COI_1_</v>
      </c>
      <c r="I26" s="60">
        <v>2</v>
      </c>
      <c r="J26" s="60">
        <v>1</v>
      </c>
      <c r="K26" s="60">
        <v>20</v>
      </c>
      <c r="L26" s="60">
        <v>20</v>
      </c>
      <c r="M26" s="60">
        <v>5</v>
      </c>
    </row>
    <row r="27" spans="1:13" x14ac:dyDescent="0.35">
      <c r="A27" s="37">
        <v>23</v>
      </c>
      <c r="B27" s="37" t="str">
        <f t="shared" ref="B27:F27" si="22">VLOOKUP(B83,$P$61:$Q$74,2,FALSE)</f>
        <v>_low_5_</v>
      </c>
      <c r="C27" s="37" t="str">
        <f t="shared" si="22"/>
        <v>_COI_1_</v>
      </c>
      <c r="D27" s="37" t="str">
        <f t="shared" si="22"/>
        <v>_HIG_3_</v>
      </c>
      <c r="E27" s="37" t="str">
        <f t="shared" si="22"/>
        <v>_low_2_</v>
      </c>
      <c r="F27" s="37" t="str">
        <f t="shared" si="22"/>
        <v>_COI_1_</v>
      </c>
      <c r="I27" s="60">
        <v>20</v>
      </c>
      <c r="J27" s="60">
        <v>1</v>
      </c>
      <c r="K27" s="60">
        <v>20</v>
      </c>
      <c r="L27" s="60">
        <v>20</v>
      </c>
      <c r="M27" s="60">
        <v>5</v>
      </c>
    </row>
    <row r="28" spans="1:13" x14ac:dyDescent="0.35">
      <c r="A28" s="37">
        <v>24</v>
      </c>
      <c r="B28" s="37" t="str">
        <f t="shared" ref="B28:F28" si="23">VLOOKUP(B84,$P$61:$Q$74,2,FALSE)</f>
        <v>_HIG_3_</v>
      </c>
      <c r="C28" s="37" t="str">
        <f t="shared" si="23"/>
        <v>_HIG_4_</v>
      </c>
      <c r="D28" s="37" t="str">
        <f t="shared" si="23"/>
        <v>_low_3_</v>
      </c>
      <c r="E28" s="37" t="str">
        <f t="shared" si="23"/>
        <v>_low_2_</v>
      </c>
      <c r="F28" s="37" t="str">
        <f t="shared" si="23"/>
        <v>_HIG_4_</v>
      </c>
      <c r="I28" s="60">
        <v>20</v>
      </c>
      <c r="J28" s="60">
        <v>1</v>
      </c>
      <c r="K28" s="60">
        <v>5</v>
      </c>
      <c r="L28" s="60">
        <v>5</v>
      </c>
      <c r="M28" s="60">
        <v>5</v>
      </c>
    </row>
    <row r="29" spans="1:13" x14ac:dyDescent="0.35">
      <c r="A29" s="37">
        <v>25</v>
      </c>
      <c r="B29" s="37" t="str">
        <f t="shared" ref="B29:F29" si="24">VLOOKUP(B85,$P$61:$Q$74,2,FALSE)</f>
        <v>_HIG_3_</v>
      </c>
      <c r="C29" s="37" t="str">
        <f t="shared" si="24"/>
        <v>_low_3_</v>
      </c>
      <c r="D29" s="37" t="str">
        <f t="shared" si="24"/>
        <v>_COI_1_</v>
      </c>
      <c r="E29" s="37" t="str">
        <f t="shared" si="24"/>
        <v>_COI_1_</v>
      </c>
      <c r="F29" s="37" t="str">
        <f t="shared" si="24"/>
        <v>_low_2_</v>
      </c>
      <c r="I29" s="60">
        <v>20</v>
      </c>
      <c r="J29" s="60">
        <v>20</v>
      </c>
      <c r="K29" s="60">
        <v>1</v>
      </c>
      <c r="L29" s="60">
        <v>5</v>
      </c>
      <c r="M29" s="60">
        <v>20</v>
      </c>
    </row>
    <row r="30" spans="1:13" x14ac:dyDescent="0.35">
      <c r="A30" s="37">
        <v>26</v>
      </c>
      <c r="B30" s="37" t="str">
        <f t="shared" ref="B30:F30" si="25">VLOOKUP(B86,$P$61:$Q$74,2,FALSE)</f>
        <v>_low_5_</v>
      </c>
      <c r="C30" s="37" t="str">
        <f t="shared" si="25"/>
        <v>_HIG_2_</v>
      </c>
      <c r="D30" s="37" t="str">
        <f t="shared" si="25"/>
        <v>_COI_1_</v>
      </c>
      <c r="E30" s="37" t="str">
        <f t="shared" si="25"/>
        <v>_low_5_</v>
      </c>
      <c r="F30" s="37" t="str">
        <f t="shared" si="25"/>
        <v>_HIG_4_</v>
      </c>
      <c r="I30" s="60">
        <v>1</v>
      </c>
      <c r="J30" s="60">
        <v>20</v>
      </c>
      <c r="K30" s="60">
        <v>1</v>
      </c>
      <c r="L30" s="60">
        <v>10</v>
      </c>
      <c r="M30" s="60">
        <v>20</v>
      </c>
    </row>
    <row r="31" spans="1:13" x14ac:dyDescent="0.35">
      <c r="A31" s="37">
        <v>27</v>
      </c>
      <c r="B31" s="37" t="str">
        <f t="shared" ref="B31:F31" si="26">VLOOKUP(B87,$P$61:$Q$74,2,FALSE)</f>
        <v>_COI_1_</v>
      </c>
      <c r="C31" s="37" t="str">
        <f t="shared" si="26"/>
        <v>_low_2_</v>
      </c>
      <c r="D31" s="37" t="str">
        <f t="shared" si="26"/>
        <v>_COI_1_</v>
      </c>
      <c r="E31" s="37" t="str">
        <f t="shared" si="26"/>
        <v>_BN_</v>
      </c>
      <c r="F31" s="37" t="str">
        <f t="shared" si="26"/>
        <v>_low_4_</v>
      </c>
      <c r="I31" s="60">
        <v>1</v>
      </c>
      <c r="J31" s="60">
        <v>20</v>
      </c>
      <c r="K31" s="60">
        <v>1</v>
      </c>
      <c r="L31" s="60">
        <v>10</v>
      </c>
      <c r="M31" s="60">
        <v>20</v>
      </c>
    </row>
    <row r="32" spans="1:13" x14ac:dyDescent="0.35">
      <c r="A32" s="37">
        <v>28</v>
      </c>
      <c r="B32" s="37" t="str">
        <f t="shared" ref="B32:F32" si="27">VLOOKUP(B88,$P$61:$Q$74,2,FALSE)</f>
        <v>_COI_1_</v>
      </c>
      <c r="C32" s="37" t="str">
        <f t="shared" si="27"/>
        <v>_HIG_3_</v>
      </c>
      <c r="D32" s="37" t="str">
        <f t="shared" si="27"/>
        <v>_low_1_</v>
      </c>
      <c r="E32" s="37" t="str">
        <f t="shared" si="27"/>
        <v>_low_5_</v>
      </c>
      <c r="F32" s="37" t="str">
        <f t="shared" si="27"/>
        <v>_low_3_</v>
      </c>
      <c r="I32" s="60">
        <v>1</v>
      </c>
      <c r="J32" s="60">
        <v>2</v>
      </c>
      <c r="K32" s="60">
        <v>5</v>
      </c>
      <c r="L32" s="60">
        <v>10</v>
      </c>
      <c r="M32" s="60">
        <v>20</v>
      </c>
    </row>
    <row r="33" spans="1:13" x14ac:dyDescent="0.35">
      <c r="A33" s="37">
        <v>29</v>
      </c>
      <c r="B33" s="37" t="str">
        <f t="shared" ref="B33:F33" si="28">VLOOKUP(B89,$P$61:$Q$74,2,FALSE)</f>
        <v>_COI_1_</v>
      </c>
      <c r="C33" s="37" t="str">
        <f t="shared" si="28"/>
        <v>_COI_1_</v>
      </c>
      <c r="D33" s="37" t="str">
        <f t="shared" si="28"/>
        <v>_low_1_</v>
      </c>
      <c r="E33" s="37" t="str">
        <f t="shared" si="28"/>
        <v>_HIG_2_</v>
      </c>
      <c r="F33" s="37" t="str">
        <f t="shared" si="28"/>
        <v>_HIG_2_</v>
      </c>
      <c r="I33" s="60">
        <v>1</v>
      </c>
      <c r="J33" s="60">
        <v>2</v>
      </c>
      <c r="K33" s="60">
        <v>20</v>
      </c>
      <c r="L33" s="60">
        <v>5</v>
      </c>
      <c r="M33" s="60">
        <v>20</v>
      </c>
    </row>
    <row r="34" spans="1:13" x14ac:dyDescent="0.35">
      <c r="A34" s="37">
        <v>30</v>
      </c>
      <c r="B34" s="37" t="str">
        <f t="shared" ref="B34:F34" si="29">VLOOKUP(B90,$P$61:$Q$74,2,FALSE)</f>
        <v>_low_5_</v>
      </c>
      <c r="C34" s="37" t="str">
        <f t="shared" si="29"/>
        <v>_COI_1_</v>
      </c>
      <c r="D34" s="37" t="str">
        <f t="shared" si="29"/>
        <v>_low_5_</v>
      </c>
      <c r="E34" s="37" t="str">
        <f t="shared" si="29"/>
        <v>_COI_1_</v>
      </c>
      <c r="F34" s="37" t="str">
        <f t="shared" si="29"/>
        <v>_low_5_</v>
      </c>
      <c r="I34" s="60">
        <v>1</v>
      </c>
      <c r="J34" s="60">
        <v>2</v>
      </c>
      <c r="K34" s="60">
        <v>5</v>
      </c>
      <c r="L34" s="60">
        <v>5</v>
      </c>
      <c r="M34" s="60">
        <v>20</v>
      </c>
    </row>
    <row r="35" spans="1:13" x14ac:dyDescent="0.35">
      <c r="A35" s="37">
        <v>31</v>
      </c>
      <c r="B35" s="37" t="str">
        <f t="shared" ref="B35:F35" si="30">VLOOKUP(B91,$P$61:$Q$74,2,FALSE)</f>
        <v>_low_3_</v>
      </c>
      <c r="C35" s="37" t="str">
        <f t="shared" si="30"/>
        <v>_low_4_</v>
      </c>
      <c r="D35" s="37" t="str">
        <f t="shared" si="30"/>
        <v>_BN_</v>
      </c>
      <c r="E35" s="37" t="str">
        <f t="shared" si="30"/>
        <v>_low_5_</v>
      </c>
      <c r="F35" s="37" t="str">
        <f t="shared" si="30"/>
        <v>_HIG_4_</v>
      </c>
      <c r="I35" s="60">
        <v>20</v>
      </c>
      <c r="J35" s="60">
        <v>2</v>
      </c>
      <c r="K35" s="60">
        <v>5</v>
      </c>
      <c r="L35" s="60">
        <v>5</v>
      </c>
      <c r="M35" s="60">
        <v>5</v>
      </c>
    </row>
    <row r="36" spans="1:13" x14ac:dyDescent="0.35">
      <c r="A36" s="37">
        <v>32</v>
      </c>
      <c r="B36" s="37" t="str">
        <f t="shared" ref="B36:F36" si="31">VLOOKUP(B92,$P$61:$Q$74,2,FALSE)</f>
        <v>_low_3_</v>
      </c>
      <c r="C36" s="37" t="str">
        <f t="shared" si="31"/>
        <v>_HIG_2_</v>
      </c>
      <c r="D36" s="37" t="str">
        <f t="shared" si="31"/>
        <v>_low_5_</v>
      </c>
      <c r="E36" s="37" t="str">
        <f t="shared" si="31"/>
        <v>_low_5_</v>
      </c>
      <c r="F36" s="37" t="str">
        <f t="shared" si="31"/>
        <v>_COI_1_</v>
      </c>
      <c r="I36" s="60">
        <v>20</v>
      </c>
      <c r="J36" s="60">
        <v>5</v>
      </c>
      <c r="K36" s="60">
        <v>5</v>
      </c>
      <c r="L36" s="60">
        <v>15</v>
      </c>
      <c r="M36" s="60">
        <v>5</v>
      </c>
    </row>
    <row r="37" spans="1:13" x14ac:dyDescent="0.35">
      <c r="A37" s="37">
        <v>33</v>
      </c>
      <c r="B37" s="37" t="str">
        <f t="shared" ref="B37:F37" si="32">VLOOKUP(B93,$P$61:$Q$74,2,FALSE)</f>
        <v>_HIG_4_</v>
      </c>
      <c r="C37" s="37" t="str">
        <f t="shared" si="32"/>
        <v>_BN_</v>
      </c>
      <c r="D37" s="37" t="str">
        <f t="shared" si="32"/>
        <v>_COI_1_</v>
      </c>
      <c r="E37" s="37" t="str">
        <f t="shared" si="32"/>
        <v>_JOK_1_</v>
      </c>
      <c r="F37" s="37" t="str">
        <f t="shared" si="32"/>
        <v>_COI_1_</v>
      </c>
      <c r="I37" s="60">
        <v>1</v>
      </c>
      <c r="J37" s="60">
        <v>5</v>
      </c>
      <c r="K37" s="60">
        <v>5</v>
      </c>
      <c r="L37" s="60">
        <v>15</v>
      </c>
      <c r="M37" s="60">
        <v>5</v>
      </c>
    </row>
    <row r="38" spans="1:13" x14ac:dyDescent="0.35">
      <c r="A38" s="37">
        <v>34</v>
      </c>
      <c r="B38" s="37" t="str">
        <f t="shared" ref="B38:F38" si="33">VLOOKUP(B94,$P$61:$Q$74,2,FALSE)</f>
        <v>_COI_1_</v>
      </c>
      <c r="C38" s="37" t="str">
        <f t="shared" si="33"/>
        <v>_low_2_</v>
      </c>
      <c r="D38" s="37" t="str">
        <f t="shared" si="33"/>
        <v>_low_3_</v>
      </c>
      <c r="E38" s="37" t="str">
        <f t="shared" si="33"/>
        <v>_JOK_1_</v>
      </c>
      <c r="F38" s="37" t="str">
        <f t="shared" si="33"/>
        <v>_low_3_</v>
      </c>
      <c r="I38" s="60">
        <v>1</v>
      </c>
      <c r="J38" s="60">
        <v>5</v>
      </c>
      <c r="K38" s="60">
        <v>5</v>
      </c>
      <c r="L38" s="60">
        <v>15</v>
      </c>
      <c r="M38" s="60">
        <v>5</v>
      </c>
    </row>
    <row r="39" spans="1:13" x14ac:dyDescent="0.35">
      <c r="A39" s="37">
        <v>35</v>
      </c>
      <c r="B39" s="37" t="str">
        <f t="shared" ref="B39:F39" si="34">VLOOKUP(B95,$P$61:$Q$74,2,FALSE)</f>
        <v>_COI_1_</v>
      </c>
      <c r="C39" s="37" t="str">
        <f t="shared" si="34"/>
        <v>_HIG_1_</v>
      </c>
      <c r="D39" s="37" t="str">
        <f t="shared" si="34"/>
        <v>_low_5_</v>
      </c>
      <c r="E39" s="37" t="str">
        <f t="shared" si="34"/>
        <v>_JOK_1_</v>
      </c>
      <c r="F39" s="37" t="str">
        <f t="shared" si="34"/>
        <v>_HIG_2_</v>
      </c>
      <c r="I39" s="60">
        <v>1</v>
      </c>
      <c r="J39" s="60">
        <v>20</v>
      </c>
      <c r="K39" s="60">
        <v>20</v>
      </c>
      <c r="L39" s="60">
        <v>20</v>
      </c>
      <c r="M39" s="60">
        <v>20</v>
      </c>
    </row>
    <row r="40" spans="1:13" x14ac:dyDescent="0.35">
      <c r="A40" s="37">
        <v>36</v>
      </c>
      <c r="B40" s="37" t="str">
        <f t="shared" ref="B40:F40" si="35">VLOOKUP(B96,$P$61:$Q$74,2,FALSE)</f>
        <v>_COI_1_</v>
      </c>
      <c r="C40" s="37" t="str">
        <f t="shared" si="35"/>
        <v>_low_5_</v>
      </c>
      <c r="D40" s="37" t="str">
        <f t="shared" si="35"/>
        <v>_HIG_1_</v>
      </c>
      <c r="E40" s="37" t="str">
        <f t="shared" si="35"/>
        <v>_low_5_</v>
      </c>
      <c r="F40" s="37" t="str">
        <f t="shared" si="35"/>
        <v>_HIG_3_</v>
      </c>
      <c r="I40" s="60">
        <v>1</v>
      </c>
      <c r="J40" s="60">
        <v>20</v>
      </c>
      <c r="K40" s="60">
        <v>1</v>
      </c>
      <c r="L40" s="60">
        <v>5</v>
      </c>
      <c r="M40" s="60">
        <v>20</v>
      </c>
    </row>
    <row r="41" spans="1:13" x14ac:dyDescent="0.35">
      <c r="A41" s="37">
        <v>37</v>
      </c>
      <c r="B41" s="37" t="str">
        <f t="shared" ref="B41:F41" si="36">VLOOKUP(B97,$P$61:$Q$74,2,FALSE)</f>
        <v>_low_4_</v>
      </c>
      <c r="C41" s="37" t="str">
        <f t="shared" si="36"/>
        <v>_HIG_3_</v>
      </c>
      <c r="D41" s="37" t="str">
        <f t="shared" si="36"/>
        <v>_COI_1_</v>
      </c>
      <c r="E41" s="37" t="str">
        <f t="shared" si="36"/>
        <v>_COI_1_</v>
      </c>
      <c r="F41" s="37" t="str">
        <f t="shared" si="36"/>
        <v>_low_5_</v>
      </c>
      <c r="I41" s="60">
        <v>1</v>
      </c>
      <c r="J41" s="60">
        <v>20</v>
      </c>
      <c r="K41" s="60">
        <v>1</v>
      </c>
      <c r="L41" s="60">
        <v>5</v>
      </c>
      <c r="M41" s="60">
        <v>20</v>
      </c>
    </row>
    <row r="42" spans="1:13" x14ac:dyDescent="0.35">
      <c r="A42" s="37">
        <v>38</v>
      </c>
      <c r="B42" s="37" t="str">
        <f t="shared" ref="B42:F42" si="37">VLOOKUP(B98,$P$61:$Q$74,2,FALSE)</f>
        <v>_low_4_</v>
      </c>
      <c r="C42" s="37" t="str">
        <f t="shared" si="37"/>
        <v>_low_4_</v>
      </c>
      <c r="D42" s="37" t="str">
        <f t="shared" si="37"/>
        <v>_COI_1_</v>
      </c>
      <c r="E42" s="37" t="str">
        <f t="shared" si="37"/>
        <v>_COI_1_</v>
      </c>
      <c r="F42" s="37" t="str">
        <f t="shared" si="37"/>
        <v>_low_1_</v>
      </c>
      <c r="I42" s="60">
        <v>20</v>
      </c>
      <c r="J42" s="60">
        <v>1</v>
      </c>
      <c r="K42" s="60">
        <v>1</v>
      </c>
      <c r="L42" s="60">
        <v>5</v>
      </c>
      <c r="M42" s="60">
        <v>20</v>
      </c>
    </row>
    <row r="43" spans="1:13" x14ac:dyDescent="0.35">
      <c r="A43" s="37">
        <v>39</v>
      </c>
      <c r="B43" s="37" t="str">
        <f t="shared" ref="B43:F43" si="38">VLOOKUP(B99,$P$61:$Q$74,2,FALSE)</f>
        <v>_low_2_</v>
      </c>
      <c r="C43" s="37" t="str">
        <f t="shared" si="38"/>
        <v>_COI_1_</v>
      </c>
      <c r="D43" s="37" t="str">
        <f t="shared" si="38"/>
        <v>_COI_1_</v>
      </c>
      <c r="E43" s="37" t="str">
        <f t="shared" si="38"/>
        <v>_HIG_1_</v>
      </c>
      <c r="F43" s="37" t="str">
        <f t="shared" si="38"/>
        <v>_HIG_1_</v>
      </c>
      <c r="I43" s="60">
        <v>20</v>
      </c>
      <c r="J43" s="60">
        <v>1</v>
      </c>
      <c r="K43" s="60">
        <v>1</v>
      </c>
      <c r="L43" s="60">
        <v>5</v>
      </c>
      <c r="M43" s="60">
        <v>20</v>
      </c>
    </row>
    <row r="44" spans="1:13" x14ac:dyDescent="0.35">
      <c r="A44" s="37">
        <v>40</v>
      </c>
      <c r="B44" s="37" t="str">
        <f t="shared" ref="B44:F44" si="39">VLOOKUP(B100,$P$61:$Q$74,2,FALSE)</f>
        <v>_low_5_</v>
      </c>
      <c r="C44" s="37" t="str">
        <f t="shared" si="39"/>
        <v>_COI_1_</v>
      </c>
      <c r="D44" s="37" t="str">
        <f t="shared" si="39"/>
        <v>_low_5_</v>
      </c>
      <c r="E44" s="37" t="str">
        <f t="shared" si="39"/>
        <v>_low_3_</v>
      </c>
      <c r="F44" s="37" t="str">
        <f t="shared" si="39"/>
        <v>_low_3_</v>
      </c>
      <c r="I44" s="60">
        <v>20</v>
      </c>
      <c r="J44" s="60">
        <v>1</v>
      </c>
      <c r="K44" s="60">
        <v>5</v>
      </c>
      <c r="L44" s="60">
        <v>20</v>
      </c>
      <c r="M44" s="60">
        <v>5</v>
      </c>
    </row>
    <row r="45" spans="1:13" x14ac:dyDescent="0.35">
      <c r="A45" s="37">
        <v>41</v>
      </c>
      <c r="B45" s="37" t="str">
        <f t="shared" ref="B45:F45" si="40">VLOOKUP(B101,$P$61:$Q$74,2,FALSE)</f>
        <v>_HIG_4_</v>
      </c>
      <c r="C45" s="37" t="str">
        <f t="shared" si="40"/>
        <v>_COI_1_</v>
      </c>
      <c r="D45" s="37" t="str">
        <f t="shared" si="40"/>
        <v>_BN_</v>
      </c>
      <c r="E45" s="37" t="str">
        <f t="shared" si="40"/>
        <v>_HIG_4_</v>
      </c>
      <c r="F45" s="37" t="str">
        <f t="shared" si="40"/>
        <v>_COI_1_</v>
      </c>
      <c r="I45" s="60">
        <v>20</v>
      </c>
      <c r="J45" s="60">
        <v>1</v>
      </c>
      <c r="K45" s="60">
        <v>5</v>
      </c>
      <c r="L45" s="60">
        <v>20</v>
      </c>
      <c r="M45" s="60">
        <v>5</v>
      </c>
    </row>
    <row r="46" spans="1:13" x14ac:dyDescent="0.35">
      <c r="A46" s="37">
        <v>42</v>
      </c>
      <c r="B46" s="37" t="str">
        <f t="shared" ref="B46:F46" si="41">VLOOKUP(B102,$P$61:$Q$74,2,FALSE)</f>
        <v>_HIG_4_</v>
      </c>
      <c r="C46" s="37" t="str">
        <f t="shared" si="41"/>
        <v>_low_1_</v>
      </c>
      <c r="D46" s="37" t="str">
        <f t="shared" si="41"/>
        <v>_low_1_</v>
      </c>
      <c r="E46" s="37" t="str">
        <f t="shared" si="41"/>
        <v>_low_2_</v>
      </c>
      <c r="F46" s="37" t="str">
        <f t="shared" si="41"/>
        <v>_COI_1_</v>
      </c>
      <c r="I46" s="60">
        <v>20</v>
      </c>
      <c r="J46" s="60">
        <v>1</v>
      </c>
      <c r="K46" s="60">
        <v>5</v>
      </c>
      <c r="L46" s="60">
        <v>20</v>
      </c>
      <c r="M46" s="60">
        <v>5</v>
      </c>
    </row>
    <row r="47" spans="1:13" x14ac:dyDescent="0.35">
      <c r="A47" s="37">
        <v>43</v>
      </c>
      <c r="B47" s="37" t="str">
        <f t="shared" ref="B47:F47" si="42">VLOOKUP(B103,$P$61:$Q$74,2,FALSE)</f>
        <v>_low_3_</v>
      </c>
      <c r="C47" s="37" t="str">
        <f t="shared" si="42"/>
        <v>_low_2_</v>
      </c>
      <c r="D47" s="37" t="str">
        <f t="shared" si="42"/>
        <v>_JOK_1_</v>
      </c>
      <c r="E47" s="37" t="str">
        <f t="shared" si="42"/>
        <v>_HIG_1_</v>
      </c>
      <c r="F47" s="37" t="str">
        <f t="shared" si="42"/>
        <v>_COI_1_</v>
      </c>
      <c r="I47" s="60">
        <v>20</v>
      </c>
      <c r="J47" s="60">
        <v>20</v>
      </c>
      <c r="K47" s="60">
        <v>20</v>
      </c>
      <c r="L47" s="60">
        <v>20</v>
      </c>
      <c r="M47" s="60">
        <v>5</v>
      </c>
    </row>
    <row r="48" spans="1:13" x14ac:dyDescent="0.35">
      <c r="A48" s="37">
        <v>44</v>
      </c>
      <c r="B48" s="37" t="str">
        <f t="shared" ref="B48:F48" si="43">VLOOKUP(B104,$P$61:$Q$74,2,FALSE)</f>
        <v>_HIG_3_</v>
      </c>
      <c r="C48" s="37" t="str">
        <f t="shared" si="43"/>
        <v>_HIG_3_</v>
      </c>
      <c r="D48" s="37" t="str">
        <f t="shared" si="43"/>
        <v>_JOK_1_</v>
      </c>
      <c r="E48" s="37" t="str">
        <f t="shared" si="43"/>
        <v>_low_1_</v>
      </c>
      <c r="F48" s="37" t="str">
        <f t="shared" si="43"/>
        <v>_low_2_</v>
      </c>
      <c r="I48" s="60">
        <v>20</v>
      </c>
      <c r="J48" s="60">
        <v>20</v>
      </c>
      <c r="K48" s="60">
        <v>20</v>
      </c>
      <c r="L48" s="60">
        <v>20</v>
      </c>
      <c r="M48" s="60">
        <v>5</v>
      </c>
    </row>
    <row r="49" spans="1:17" x14ac:dyDescent="0.35">
      <c r="A49" s="37">
        <v>45</v>
      </c>
      <c r="B49" s="37" t="str">
        <f t="shared" ref="B49:F49" si="44">VLOOKUP(B105,$P$61:$Q$74,2,FALSE)</f>
        <v>_low_1_</v>
      </c>
      <c r="C49" s="37" t="str">
        <f t="shared" si="44"/>
        <v>_low_5_</v>
      </c>
      <c r="D49" s="37" t="str">
        <f t="shared" si="44"/>
        <v>_JOK_1_</v>
      </c>
      <c r="E49" s="37" t="str">
        <f t="shared" si="44"/>
        <v>_HIG_2_</v>
      </c>
      <c r="F49" s="37" t="str">
        <f t="shared" si="44"/>
        <v>_HIG_3_</v>
      </c>
      <c r="I49" s="60">
        <v>20</v>
      </c>
      <c r="J49" s="60">
        <v>20</v>
      </c>
      <c r="K49" s="60">
        <v>20</v>
      </c>
      <c r="L49" s="60">
        <v>20</v>
      </c>
      <c r="M49" s="60">
        <v>20</v>
      </c>
    </row>
    <row r="50" spans="1:17" x14ac:dyDescent="0.35">
      <c r="A50" s="37">
        <v>46</v>
      </c>
      <c r="B50" s="37" t="str">
        <f t="shared" ref="B50:F50" si="45">VLOOKUP(B106,$P$61:$Q$74,2,FALSE)</f>
        <v>_low_5_</v>
      </c>
      <c r="C50" s="37" t="str">
        <f t="shared" si="45"/>
        <v>_HIG_4_</v>
      </c>
      <c r="D50" s="37" t="str">
        <f t="shared" si="45"/>
        <v>_low_1_</v>
      </c>
      <c r="E50" s="37" t="str">
        <f t="shared" si="45"/>
        <v>_low_5_</v>
      </c>
      <c r="F50" s="37" t="str">
        <f t="shared" si="45"/>
        <v>_low_1_</v>
      </c>
      <c r="I50" s="60">
        <v>20</v>
      </c>
      <c r="J50" s="60">
        <v>20</v>
      </c>
      <c r="K50" s="60">
        <v>2</v>
      </c>
      <c r="L50" s="60">
        <v>20</v>
      </c>
      <c r="M50" s="60">
        <v>5</v>
      </c>
    </row>
    <row r="51" spans="1:17" x14ac:dyDescent="0.35">
      <c r="A51" s="37">
        <v>47</v>
      </c>
      <c r="B51" s="37" t="str">
        <f t="shared" ref="B51:F51" si="46">VLOOKUP(B107,$P$61:$Q$74,2,FALSE)</f>
        <v>_low_3_</v>
      </c>
      <c r="C51" s="37" t="str">
        <f t="shared" si="46"/>
        <v>_low_5_</v>
      </c>
      <c r="D51" s="37" t="str">
        <f t="shared" si="46"/>
        <v>_COI_1_</v>
      </c>
      <c r="E51" s="37" t="str">
        <f t="shared" si="46"/>
        <v>_HIG_3_</v>
      </c>
      <c r="F51" s="37" t="str">
        <f t="shared" si="46"/>
        <v>_COI_1_</v>
      </c>
      <c r="I51" s="60">
        <v>1</v>
      </c>
      <c r="J51" s="60">
        <v>2</v>
      </c>
      <c r="K51" s="60">
        <v>2</v>
      </c>
      <c r="L51" s="60">
        <v>5</v>
      </c>
      <c r="M51" s="60">
        <v>5</v>
      </c>
    </row>
    <row r="52" spans="1:17" x14ac:dyDescent="0.35">
      <c r="A52" s="37">
        <v>48</v>
      </c>
      <c r="B52" s="37" t="str">
        <f t="shared" ref="B52:F52" si="47">VLOOKUP(B108,$P$61:$Q$74,2,FALSE)</f>
        <v>_COI_1_</v>
      </c>
      <c r="C52" s="37" t="str">
        <f t="shared" si="47"/>
        <v>_COI_1_</v>
      </c>
      <c r="D52" s="37" t="str">
        <f t="shared" si="47"/>
        <v>_COI_1_</v>
      </c>
      <c r="E52" s="37" t="str">
        <f t="shared" si="47"/>
        <v>_COI_1_</v>
      </c>
      <c r="F52" s="37" t="str">
        <f t="shared" si="47"/>
        <v>_low_2_</v>
      </c>
      <c r="I52" s="60">
        <v>2</v>
      </c>
      <c r="J52" s="60">
        <v>2</v>
      </c>
      <c r="K52" s="60">
        <v>2</v>
      </c>
      <c r="L52" s="60">
        <v>5</v>
      </c>
      <c r="M52" s="60">
        <v>5</v>
      </c>
    </row>
    <row r="53" spans="1:17" x14ac:dyDescent="0.35">
      <c r="A53" s="37">
        <v>49</v>
      </c>
      <c r="B53" s="37" t="str">
        <f t="shared" ref="B53:F53" si="48">VLOOKUP(B109,$P$61:$Q$74,2,FALSE)</f>
        <v>_COI_1_</v>
      </c>
      <c r="C53" s="37" t="str">
        <f t="shared" si="48"/>
        <v>_COI_1_</v>
      </c>
      <c r="D53" s="37" t="str">
        <f t="shared" si="48"/>
        <v>_low_4_</v>
      </c>
      <c r="E53" s="37" t="str">
        <f t="shared" si="48"/>
        <v>_COI_1_</v>
      </c>
      <c r="F53" s="37" t="str">
        <f t="shared" si="48"/>
        <v>_HIG_2_</v>
      </c>
      <c r="I53" s="60">
        <v>2</v>
      </c>
      <c r="J53" s="60">
        <v>2</v>
      </c>
      <c r="K53" s="60">
        <v>2</v>
      </c>
      <c r="L53" s="60">
        <v>5</v>
      </c>
      <c r="M53" s="60">
        <v>20</v>
      </c>
    </row>
    <row r="54" spans="1:17" x14ac:dyDescent="0.35">
      <c r="I54" s="37">
        <v>1</v>
      </c>
      <c r="J54" s="37">
        <v>2</v>
      </c>
      <c r="K54" s="37">
        <v>20</v>
      </c>
      <c r="L54" s="37">
        <v>5</v>
      </c>
      <c r="M54" s="37">
        <v>20</v>
      </c>
    </row>
    <row r="55" spans="1:17" x14ac:dyDescent="0.35">
      <c r="B55" s="37">
        <f>COUNTIF(B5:B53,$B$47)</f>
        <v>6</v>
      </c>
      <c r="C55" s="37">
        <f t="shared" ref="C55:F55" si="49">COUNTIF(C5:C53,$B$47)</f>
        <v>4</v>
      </c>
      <c r="D55" s="37">
        <f t="shared" si="49"/>
        <v>4</v>
      </c>
      <c r="E55" s="37">
        <f t="shared" si="49"/>
        <v>3</v>
      </c>
      <c r="F55" s="37">
        <f t="shared" si="49"/>
        <v>6</v>
      </c>
      <c r="I55" s="37">
        <f>SUM(I5:I53)</f>
        <v>553</v>
      </c>
      <c r="J55" s="37">
        <f t="shared" ref="J55:M55" si="50">SUM(J5:J53)</f>
        <v>484</v>
      </c>
      <c r="K55" s="37">
        <f t="shared" si="50"/>
        <v>512</v>
      </c>
      <c r="L55" s="37">
        <f t="shared" si="50"/>
        <v>560</v>
      </c>
      <c r="M55" s="37">
        <f t="shared" si="50"/>
        <v>620</v>
      </c>
    </row>
    <row r="57" spans="1:17" x14ac:dyDescent="0.35">
      <c r="B57" s="37">
        <f>B55/I55</f>
        <v>1.0849909584086799E-2</v>
      </c>
      <c r="C57" s="37">
        <f t="shared" ref="C57:F57" si="51">C55/J55</f>
        <v>8.2644628099173556E-3</v>
      </c>
      <c r="D57" s="37">
        <f t="shared" si="51"/>
        <v>7.8125E-3</v>
      </c>
      <c r="E57" s="37">
        <f t="shared" si="51"/>
        <v>5.3571428571428572E-3</v>
      </c>
      <c r="F57" s="37">
        <f t="shared" si="51"/>
        <v>9.6774193548387101E-3</v>
      </c>
    </row>
    <row r="61" spans="1:17" x14ac:dyDescent="0.35">
      <c r="B61" s="37" t="str" cm="1">
        <f t="array" ref="B61:F110">_xlfn.CHOOSECOLS('[1]FG Calc'!$B$2:$K$51,_xlfn.SEQUENCE(1,5,1,2))</f>
        <v>F9</v>
      </c>
      <c r="C61" s="37" t="str">
        <v>F8</v>
      </c>
      <c r="D61" s="37" t="str">
        <v>M4</v>
      </c>
      <c r="E61" s="37" t="str">
        <v>M4</v>
      </c>
      <c r="F61" s="37" t="str">
        <v>F8</v>
      </c>
      <c r="I61" s="37" cm="1">
        <f t="array" ref="I61:M110">_xlfn.CHOOSECOLS('[1]FG Calc'!$B$2:$K$51,_xlfn.SEQUENCE(1,5,2,2))</f>
        <v>20</v>
      </c>
      <c r="J61" s="37">
        <v>20</v>
      </c>
      <c r="K61" s="37">
        <v>20</v>
      </c>
      <c r="L61" s="37">
        <v>5</v>
      </c>
      <c r="M61" s="37">
        <v>20</v>
      </c>
      <c r="P61" s="37" t="s">
        <v>111</v>
      </c>
    </row>
    <row r="62" spans="1:17" x14ac:dyDescent="0.35">
      <c r="B62" s="37" t="str">
        <v>F8</v>
      </c>
      <c r="C62" s="37" t="str">
        <v>F8</v>
      </c>
      <c r="D62" s="37" t="str">
        <v>M4</v>
      </c>
      <c r="E62" s="37" t="str">
        <v>F7</v>
      </c>
      <c r="F62" s="37" t="str">
        <v>F5</v>
      </c>
      <c r="I62" s="37">
        <v>20</v>
      </c>
      <c r="J62" s="37">
        <v>20</v>
      </c>
      <c r="K62" s="37">
        <v>20</v>
      </c>
      <c r="L62" s="37">
        <v>20</v>
      </c>
      <c r="M62" s="37">
        <v>20</v>
      </c>
      <c r="P62" s="37" t="s">
        <v>75</v>
      </c>
      <c r="Q62" s="37" t="s">
        <v>10</v>
      </c>
    </row>
    <row r="63" spans="1:17" x14ac:dyDescent="0.35">
      <c r="B63" s="37" t="str">
        <v>F7</v>
      </c>
      <c r="C63" s="37" t="str">
        <v>F6</v>
      </c>
      <c r="D63" s="37" t="str">
        <v>F5</v>
      </c>
      <c r="E63" s="37" t="str">
        <v>M2</v>
      </c>
      <c r="F63" s="37" t="str">
        <v>F5</v>
      </c>
      <c r="I63" s="37">
        <v>20</v>
      </c>
      <c r="J63" s="37">
        <v>5</v>
      </c>
      <c r="K63" s="37">
        <v>5</v>
      </c>
      <c r="L63" s="37">
        <v>20</v>
      </c>
      <c r="M63" s="37">
        <v>20</v>
      </c>
      <c r="P63" s="37" t="s">
        <v>73</v>
      </c>
      <c r="Q63" s="37" t="s">
        <v>11</v>
      </c>
    </row>
    <row r="64" spans="1:17" x14ac:dyDescent="0.35">
      <c r="B64" s="37" t="str">
        <v>F8</v>
      </c>
      <c r="C64" s="37" t="str">
        <v>MB</v>
      </c>
      <c r="D64" s="37" t="str">
        <v>MB</v>
      </c>
      <c r="E64" s="37" t="str">
        <v>F6</v>
      </c>
      <c r="F64" s="37" t="str">
        <v>M4</v>
      </c>
      <c r="I64" s="37">
        <v>2</v>
      </c>
      <c r="J64" s="37">
        <v>5</v>
      </c>
      <c r="K64" s="37">
        <v>5</v>
      </c>
      <c r="L64" s="37">
        <v>5</v>
      </c>
      <c r="M64" s="37">
        <v>5</v>
      </c>
      <c r="P64" s="37" t="s">
        <v>78</v>
      </c>
      <c r="Q64" s="37" t="s">
        <v>27</v>
      </c>
    </row>
    <row r="65" spans="2:17" x14ac:dyDescent="0.35">
      <c r="B65" s="37" t="str">
        <v>MB</v>
      </c>
      <c r="C65" s="37" t="str">
        <v>F6</v>
      </c>
      <c r="D65" s="37" t="str">
        <v>F5</v>
      </c>
      <c r="E65" s="37" t="str">
        <v>MB</v>
      </c>
      <c r="F65" s="37" t="str">
        <v>MB</v>
      </c>
      <c r="I65" s="37">
        <v>2</v>
      </c>
      <c r="J65" s="37">
        <v>5</v>
      </c>
      <c r="K65" s="37">
        <v>5</v>
      </c>
      <c r="L65" s="37">
        <v>5</v>
      </c>
      <c r="M65" s="37">
        <v>5</v>
      </c>
      <c r="P65" s="37" t="s">
        <v>69</v>
      </c>
      <c r="Q65" s="37" t="s">
        <v>112</v>
      </c>
    </row>
    <row r="66" spans="2:17" x14ac:dyDescent="0.35">
      <c r="B66" s="37" t="str">
        <v>F9</v>
      </c>
      <c r="C66" s="37" t="str">
        <v>F7</v>
      </c>
      <c r="D66" s="37" t="str">
        <v>M2</v>
      </c>
      <c r="E66" s="37" t="str">
        <v>MB</v>
      </c>
      <c r="F66" s="37" t="str">
        <v>F9</v>
      </c>
      <c r="I66" s="37">
        <v>2</v>
      </c>
      <c r="J66" s="37">
        <v>20</v>
      </c>
      <c r="K66" s="37">
        <v>20</v>
      </c>
      <c r="L66" s="37">
        <v>5</v>
      </c>
      <c r="M66" s="37">
        <v>5</v>
      </c>
      <c r="P66" s="37" t="s">
        <v>71</v>
      </c>
      <c r="Q66" s="37" t="s">
        <v>12</v>
      </c>
    </row>
    <row r="67" spans="2:17" x14ac:dyDescent="0.35">
      <c r="B67" s="37" t="str">
        <v>M1</v>
      </c>
      <c r="C67" s="37" t="str">
        <v>M4</v>
      </c>
      <c r="D67" s="37" t="str">
        <v>F7</v>
      </c>
      <c r="E67" s="37" t="str">
        <v>M1</v>
      </c>
      <c r="F67" s="37" t="str">
        <v>F9</v>
      </c>
      <c r="I67" s="37">
        <v>20</v>
      </c>
      <c r="J67" s="37">
        <v>20</v>
      </c>
      <c r="K67" s="37">
        <v>20</v>
      </c>
      <c r="L67" s="37">
        <v>5</v>
      </c>
      <c r="M67" s="37">
        <v>20</v>
      </c>
      <c r="P67" s="37" t="s">
        <v>72</v>
      </c>
      <c r="Q67" s="37" t="s">
        <v>13</v>
      </c>
    </row>
    <row r="68" spans="2:17" x14ac:dyDescent="0.35">
      <c r="B68" s="37" t="str">
        <v>M2</v>
      </c>
      <c r="C68" s="37" t="str">
        <v>F8</v>
      </c>
      <c r="D68" s="37" t="str">
        <v>WW</v>
      </c>
      <c r="E68" s="37" t="str">
        <v>F8</v>
      </c>
      <c r="F68" s="37" t="str">
        <v>F6</v>
      </c>
      <c r="I68" s="37">
        <v>20</v>
      </c>
      <c r="J68" s="37">
        <v>5</v>
      </c>
      <c r="K68" s="37">
        <v>20</v>
      </c>
      <c r="L68" s="37">
        <v>5</v>
      </c>
      <c r="M68" s="37">
        <v>20</v>
      </c>
      <c r="P68" s="37" t="s">
        <v>70</v>
      </c>
      <c r="Q68" s="37" t="s">
        <v>14</v>
      </c>
    </row>
    <row r="69" spans="2:17" x14ac:dyDescent="0.35">
      <c r="B69" s="37" t="str">
        <v>F6</v>
      </c>
      <c r="C69" s="37" t="str">
        <v>BN</v>
      </c>
      <c r="D69" s="37" t="str">
        <v>WW</v>
      </c>
      <c r="E69" s="37" t="str">
        <v>BN</v>
      </c>
      <c r="F69" s="37" t="str">
        <v>M1</v>
      </c>
      <c r="I69" s="37">
        <v>20</v>
      </c>
      <c r="J69" s="37">
        <v>5</v>
      </c>
      <c r="K69" s="37">
        <v>20</v>
      </c>
      <c r="L69" s="37">
        <v>5</v>
      </c>
      <c r="M69" s="37">
        <v>20</v>
      </c>
      <c r="P69" s="37" t="s">
        <v>68</v>
      </c>
      <c r="Q69" s="37" t="s">
        <v>15</v>
      </c>
    </row>
    <row r="70" spans="2:17" x14ac:dyDescent="0.35">
      <c r="B70" s="37" t="str">
        <v>F6</v>
      </c>
      <c r="C70" s="37" t="str">
        <v>F7</v>
      </c>
      <c r="D70" s="37" t="str">
        <v>WW</v>
      </c>
      <c r="E70" s="37" t="str">
        <v>F7</v>
      </c>
      <c r="F70" s="37" t="str">
        <v>F7</v>
      </c>
      <c r="I70" s="37">
        <v>20</v>
      </c>
      <c r="J70" s="37">
        <v>5</v>
      </c>
      <c r="K70" s="37">
        <v>20</v>
      </c>
      <c r="L70" s="37">
        <v>5</v>
      </c>
      <c r="M70" s="37">
        <v>5</v>
      </c>
      <c r="P70" s="37" t="s">
        <v>67</v>
      </c>
      <c r="Q70" s="37" t="s">
        <v>16</v>
      </c>
    </row>
    <row r="71" spans="2:17" x14ac:dyDescent="0.35">
      <c r="B71" s="37" t="str">
        <v>M2</v>
      </c>
      <c r="C71" s="37" t="str">
        <v>F9</v>
      </c>
      <c r="D71" s="37" t="str">
        <v>F8</v>
      </c>
      <c r="E71" s="37" t="str">
        <v>F8</v>
      </c>
      <c r="F71" s="37" t="str">
        <v>MB</v>
      </c>
      <c r="I71" s="37">
        <v>20</v>
      </c>
      <c r="J71" s="37">
        <v>20</v>
      </c>
      <c r="K71" s="37">
        <v>20</v>
      </c>
      <c r="L71" s="37">
        <v>20</v>
      </c>
      <c r="M71" s="37">
        <v>5</v>
      </c>
      <c r="P71" s="37" t="s">
        <v>76</v>
      </c>
      <c r="Q71" s="37" t="s">
        <v>25</v>
      </c>
    </row>
    <row r="72" spans="2:17" x14ac:dyDescent="0.35">
      <c r="B72" s="37" t="str">
        <v>M1</v>
      </c>
      <c r="C72" s="37" t="str">
        <v>WW</v>
      </c>
      <c r="D72" s="37" t="str">
        <v>M2</v>
      </c>
      <c r="E72" s="37" t="str">
        <v>M4</v>
      </c>
      <c r="F72" s="37" t="str">
        <v>MB</v>
      </c>
      <c r="I72" s="37">
        <v>20</v>
      </c>
      <c r="J72" s="37">
        <v>20</v>
      </c>
      <c r="K72" s="37">
        <v>20</v>
      </c>
      <c r="L72" s="37">
        <v>20</v>
      </c>
      <c r="M72" s="37">
        <v>5</v>
      </c>
      <c r="P72" s="37" t="s">
        <v>113</v>
      </c>
      <c r="Q72" s="37" t="s">
        <v>28</v>
      </c>
    </row>
    <row r="73" spans="2:17" x14ac:dyDescent="0.35">
      <c r="B73" s="37" t="str">
        <v>F5</v>
      </c>
      <c r="C73" s="37" t="str">
        <v>WW</v>
      </c>
      <c r="D73" s="37" t="str">
        <v>F7</v>
      </c>
      <c r="E73" s="37" t="str">
        <v>M4</v>
      </c>
      <c r="F73" s="37" t="str">
        <v>F7</v>
      </c>
      <c r="I73" s="37">
        <v>20</v>
      </c>
      <c r="J73" s="37">
        <v>20</v>
      </c>
      <c r="K73" s="37">
        <v>20</v>
      </c>
      <c r="L73" s="37">
        <v>5</v>
      </c>
      <c r="M73" s="37">
        <v>5</v>
      </c>
      <c r="P73" s="37" t="s">
        <v>74</v>
      </c>
      <c r="Q73" s="37" t="s">
        <v>35</v>
      </c>
    </row>
    <row r="74" spans="2:17" x14ac:dyDescent="0.35">
      <c r="B74" s="37" t="str">
        <v>F9</v>
      </c>
      <c r="C74" s="37" t="str">
        <v>WW</v>
      </c>
      <c r="D74" s="37" t="str">
        <v>F6</v>
      </c>
      <c r="E74" s="37" t="str">
        <v>MB</v>
      </c>
      <c r="F74" s="37" t="str">
        <v>M2</v>
      </c>
      <c r="I74" s="37">
        <v>1</v>
      </c>
      <c r="J74" s="37">
        <v>20</v>
      </c>
      <c r="K74" s="37">
        <v>5</v>
      </c>
      <c r="L74" s="37">
        <v>5</v>
      </c>
      <c r="M74" s="37">
        <v>20</v>
      </c>
      <c r="P74" s="37" t="s">
        <v>77</v>
      </c>
      <c r="Q74" s="37" t="s">
        <v>50</v>
      </c>
    </row>
    <row r="75" spans="2:17" x14ac:dyDescent="0.35">
      <c r="B75" s="37" t="str">
        <v>MB</v>
      </c>
      <c r="C75" s="37" t="str">
        <v>F5</v>
      </c>
      <c r="D75" s="37" t="str">
        <v>MB</v>
      </c>
      <c r="E75" s="37" t="str">
        <v>MB</v>
      </c>
      <c r="F75" s="37" t="str">
        <v>F6</v>
      </c>
      <c r="I75" s="37">
        <v>2</v>
      </c>
      <c r="J75" s="37">
        <v>20</v>
      </c>
      <c r="K75" s="37">
        <v>1</v>
      </c>
      <c r="L75" s="37">
        <v>5</v>
      </c>
      <c r="M75" s="37">
        <v>20</v>
      </c>
    </row>
    <row r="76" spans="2:17" x14ac:dyDescent="0.35">
      <c r="B76" s="37" t="str">
        <v>MB</v>
      </c>
      <c r="C76" s="37" t="str">
        <v>F7</v>
      </c>
      <c r="D76" s="37" t="str">
        <v>MB</v>
      </c>
      <c r="E76" s="37" t="str">
        <v>MB</v>
      </c>
      <c r="F76" s="37" t="str">
        <v>M1</v>
      </c>
      <c r="I76" s="37">
        <v>2</v>
      </c>
      <c r="J76" s="37">
        <v>5</v>
      </c>
      <c r="K76" s="37">
        <v>1</v>
      </c>
      <c r="L76" s="37">
        <v>5</v>
      </c>
      <c r="M76" s="37">
        <v>20</v>
      </c>
    </row>
    <row r="77" spans="2:17" x14ac:dyDescent="0.35">
      <c r="B77" s="37" t="str">
        <v>F7</v>
      </c>
      <c r="C77" s="37" t="str">
        <v>MB</v>
      </c>
      <c r="D77" s="37" t="str">
        <v>F9</v>
      </c>
      <c r="E77" s="37" t="str">
        <v>M2</v>
      </c>
      <c r="F77" s="37" t="str">
        <v>F7</v>
      </c>
      <c r="I77" s="37">
        <v>1</v>
      </c>
      <c r="J77" s="37">
        <v>5</v>
      </c>
      <c r="K77" s="37">
        <v>5</v>
      </c>
      <c r="L77" s="37">
        <v>5</v>
      </c>
      <c r="M77" s="37">
        <v>20</v>
      </c>
    </row>
    <row r="78" spans="2:17" x14ac:dyDescent="0.35">
      <c r="B78" s="37" t="str">
        <v>F8</v>
      </c>
      <c r="C78" s="37" t="str">
        <v>F8</v>
      </c>
      <c r="D78" s="37" t="str">
        <v>F6</v>
      </c>
      <c r="E78" s="37" t="str">
        <v>F8</v>
      </c>
      <c r="F78" s="37" t="str">
        <v>M4</v>
      </c>
      <c r="I78" s="37">
        <v>20</v>
      </c>
      <c r="J78" s="37">
        <v>5</v>
      </c>
      <c r="K78" s="37">
        <v>20</v>
      </c>
      <c r="L78" s="37">
        <v>20</v>
      </c>
      <c r="M78" s="37">
        <v>20</v>
      </c>
    </row>
    <row r="79" spans="2:17" x14ac:dyDescent="0.35">
      <c r="B79" s="37" t="str">
        <v>F8</v>
      </c>
      <c r="C79" s="37" t="str">
        <v>F5</v>
      </c>
      <c r="D79" s="37" t="str">
        <v>F5</v>
      </c>
      <c r="E79" s="37" t="str">
        <v>M1</v>
      </c>
      <c r="F79" s="37" t="str">
        <v>F8</v>
      </c>
      <c r="I79" s="37">
        <v>20</v>
      </c>
      <c r="J79" s="37">
        <v>20</v>
      </c>
      <c r="K79" s="37">
        <v>20</v>
      </c>
      <c r="L79" s="37">
        <v>20</v>
      </c>
      <c r="M79" s="37">
        <v>20</v>
      </c>
    </row>
    <row r="80" spans="2:17" x14ac:dyDescent="0.35">
      <c r="B80" s="37" t="str">
        <v>F5</v>
      </c>
      <c r="C80" s="37" t="str">
        <v>M2</v>
      </c>
      <c r="D80" s="37" t="str">
        <v>BN</v>
      </c>
      <c r="E80" s="37" t="str">
        <v>F5</v>
      </c>
      <c r="F80" s="37" t="str">
        <v>M3</v>
      </c>
      <c r="I80" s="37">
        <v>2</v>
      </c>
      <c r="J80" s="37">
        <v>1</v>
      </c>
      <c r="K80" s="37">
        <v>20</v>
      </c>
      <c r="L80" s="37">
        <v>20</v>
      </c>
      <c r="M80" s="37">
        <v>5</v>
      </c>
    </row>
    <row r="81" spans="2:13" x14ac:dyDescent="0.35">
      <c r="B81" s="37" t="str">
        <v>MB</v>
      </c>
      <c r="C81" s="37" t="str">
        <v>MB</v>
      </c>
      <c r="D81" s="37" t="str">
        <v>M1</v>
      </c>
      <c r="E81" s="37" t="str">
        <v>M3</v>
      </c>
      <c r="F81" s="37" t="str">
        <v>MB</v>
      </c>
      <c r="I81" s="37">
        <v>2</v>
      </c>
      <c r="J81" s="37">
        <v>1</v>
      </c>
      <c r="K81" s="37">
        <v>20</v>
      </c>
      <c r="L81" s="37">
        <v>20</v>
      </c>
      <c r="M81" s="37">
        <v>5</v>
      </c>
    </row>
    <row r="82" spans="2:13" x14ac:dyDescent="0.35">
      <c r="B82" s="37" t="str">
        <v>F9</v>
      </c>
      <c r="C82" s="37" t="str">
        <v>MB</v>
      </c>
      <c r="D82" s="37" t="str">
        <v>F9</v>
      </c>
      <c r="E82" s="37" t="str">
        <v>M3</v>
      </c>
      <c r="F82" s="37" t="str">
        <v>MB</v>
      </c>
      <c r="I82" s="37">
        <v>2</v>
      </c>
      <c r="J82" s="37">
        <v>1</v>
      </c>
      <c r="K82" s="37">
        <v>20</v>
      </c>
      <c r="L82" s="37">
        <v>20</v>
      </c>
      <c r="M82" s="37">
        <v>5</v>
      </c>
    </row>
    <row r="83" spans="2:13" x14ac:dyDescent="0.35">
      <c r="B83" s="37" t="str">
        <v>F9</v>
      </c>
      <c r="C83" s="37" t="str">
        <v>MB</v>
      </c>
      <c r="D83" s="37" t="str">
        <v>M3</v>
      </c>
      <c r="E83" s="37" t="str">
        <v>F6</v>
      </c>
      <c r="F83" s="37" t="str">
        <v>MB</v>
      </c>
      <c r="I83" s="37">
        <v>20</v>
      </c>
      <c r="J83" s="37">
        <v>1</v>
      </c>
      <c r="K83" s="37">
        <v>20</v>
      </c>
      <c r="L83" s="37">
        <v>20</v>
      </c>
      <c r="M83" s="37">
        <v>5</v>
      </c>
    </row>
    <row r="84" spans="2:13" x14ac:dyDescent="0.35">
      <c r="B84" s="37" t="str">
        <v>M3</v>
      </c>
      <c r="C84" s="37" t="str">
        <v>M4</v>
      </c>
      <c r="D84" s="37" t="str">
        <v>F7</v>
      </c>
      <c r="E84" s="37" t="str">
        <v>F6</v>
      </c>
      <c r="F84" s="37" t="str">
        <v>M4</v>
      </c>
      <c r="I84" s="37">
        <v>20</v>
      </c>
      <c r="J84" s="37">
        <v>1</v>
      </c>
      <c r="K84" s="37">
        <v>5</v>
      </c>
      <c r="L84" s="37">
        <v>5</v>
      </c>
      <c r="M84" s="37">
        <v>5</v>
      </c>
    </row>
    <row r="85" spans="2:13" x14ac:dyDescent="0.35">
      <c r="B85" s="37" t="str">
        <v>M3</v>
      </c>
      <c r="C85" s="37" t="str">
        <v>F7</v>
      </c>
      <c r="D85" s="37" t="str">
        <v>MB</v>
      </c>
      <c r="E85" s="37" t="str">
        <v>MB</v>
      </c>
      <c r="F85" s="37" t="str">
        <v>F6</v>
      </c>
      <c r="I85" s="37">
        <v>20</v>
      </c>
      <c r="J85" s="37">
        <v>20</v>
      </c>
      <c r="K85" s="37">
        <v>1</v>
      </c>
      <c r="L85" s="37">
        <v>5</v>
      </c>
      <c r="M85" s="37">
        <v>20</v>
      </c>
    </row>
    <row r="86" spans="2:13" x14ac:dyDescent="0.35">
      <c r="B86" s="37" t="str">
        <v>F9</v>
      </c>
      <c r="C86" s="37" t="str">
        <v>M2</v>
      </c>
      <c r="D86" s="37" t="str">
        <v>MB</v>
      </c>
      <c r="E86" s="37" t="str">
        <v>F9</v>
      </c>
      <c r="F86" s="37" t="str">
        <v>M4</v>
      </c>
      <c r="I86" s="37">
        <v>1</v>
      </c>
      <c r="J86" s="37">
        <v>20</v>
      </c>
      <c r="K86" s="37">
        <v>1</v>
      </c>
      <c r="L86" s="37">
        <v>10</v>
      </c>
      <c r="M86" s="37">
        <v>20</v>
      </c>
    </row>
    <row r="87" spans="2:13" x14ac:dyDescent="0.35">
      <c r="B87" s="37" t="str">
        <v>MB</v>
      </c>
      <c r="C87" s="37" t="str">
        <v>F6</v>
      </c>
      <c r="D87" s="37" t="str">
        <v>MB</v>
      </c>
      <c r="E87" s="37" t="str">
        <v>BN</v>
      </c>
      <c r="F87" s="37" t="str">
        <v>F8</v>
      </c>
      <c r="I87" s="37">
        <v>1</v>
      </c>
      <c r="J87" s="37">
        <v>20</v>
      </c>
      <c r="K87" s="37">
        <v>1</v>
      </c>
      <c r="L87" s="37">
        <v>10</v>
      </c>
      <c r="M87" s="37">
        <v>20</v>
      </c>
    </row>
    <row r="88" spans="2:13" x14ac:dyDescent="0.35">
      <c r="B88" s="37" t="str">
        <v>MB</v>
      </c>
      <c r="C88" s="37" t="str">
        <v>M3</v>
      </c>
      <c r="D88" s="37" t="str">
        <v>F5</v>
      </c>
      <c r="E88" s="37" t="str">
        <v>F9</v>
      </c>
      <c r="F88" s="37" t="str">
        <v>F7</v>
      </c>
      <c r="I88" s="37">
        <v>1</v>
      </c>
      <c r="J88" s="37">
        <v>2</v>
      </c>
      <c r="K88" s="37">
        <v>5</v>
      </c>
      <c r="L88" s="37">
        <v>10</v>
      </c>
      <c r="M88" s="37">
        <v>20</v>
      </c>
    </row>
    <row r="89" spans="2:13" x14ac:dyDescent="0.35">
      <c r="B89" s="37" t="str">
        <v>MB</v>
      </c>
      <c r="C89" s="37" t="str">
        <v>MB</v>
      </c>
      <c r="D89" s="37" t="str">
        <v>F5</v>
      </c>
      <c r="E89" s="37" t="str">
        <v>M2</v>
      </c>
      <c r="F89" s="37" t="str">
        <v>M2</v>
      </c>
      <c r="I89" s="37">
        <v>1</v>
      </c>
      <c r="J89" s="37">
        <v>2</v>
      </c>
      <c r="K89" s="37">
        <v>20</v>
      </c>
      <c r="L89" s="37">
        <v>5</v>
      </c>
      <c r="M89" s="37">
        <v>20</v>
      </c>
    </row>
    <row r="90" spans="2:13" x14ac:dyDescent="0.35">
      <c r="B90" s="37" t="str">
        <v>F9</v>
      </c>
      <c r="C90" s="37" t="str">
        <v>MB</v>
      </c>
      <c r="D90" s="37" t="str">
        <v>F9</v>
      </c>
      <c r="E90" s="37" t="str">
        <v>MB</v>
      </c>
      <c r="F90" s="37" t="str">
        <v>F9</v>
      </c>
      <c r="I90" s="37">
        <v>1</v>
      </c>
      <c r="J90" s="37">
        <v>2</v>
      </c>
      <c r="K90" s="37">
        <v>5</v>
      </c>
      <c r="L90" s="37">
        <v>5</v>
      </c>
      <c r="M90" s="37">
        <v>20</v>
      </c>
    </row>
    <row r="91" spans="2:13" x14ac:dyDescent="0.35">
      <c r="B91" s="37" t="str">
        <v>F7</v>
      </c>
      <c r="C91" s="37" t="str">
        <v>F8</v>
      </c>
      <c r="D91" s="37" t="str">
        <v>BN</v>
      </c>
      <c r="E91" s="37" t="str">
        <v>F9</v>
      </c>
      <c r="F91" s="37" t="str">
        <v>M4</v>
      </c>
      <c r="I91" s="37">
        <v>20</v>
      </c>
      <c r="J91" s="37">
        <v>2</v>
      </c>
      <c r="K91" s="37">
        <v>5</v>
      </c>
      <c r="L91" s="37">
        <v>5</v>
      </c>
      <c r="M91" s="37">
        <v>5</v>
      </c>
    </row>
    <row r="92" spans="2:13" x14ac:dyDescent="0.35">
      <c r="B92" s="37" t="str">
        <v>F7</v>
      </c>
      <c r="C92" s="37" t="str">
        <v>M2</v>
      </c>
      <c r="D92" s="37" t="str">
        <v>F9</v>
      </c>
      <c r="E92" s="37" t="str">
        <v>F9</v>
      </c>
      <c r="F92" s="37" t="str">
        <v>MB</v>
      </c>
      <c r="I92" s="37">
        <v>20</v>
      </c>
      <c r="J92" s="37">
        <v>5</v>
      </c>
      <c r="K92" s="37">
        <v>5</v>
      </c>
      <c r="L92" s="37">
        <v>15</v>
      </c>
      <c r="M92" s="37">
        <v>5</v>
      </c>
    </row>
    <row r="93" spans="2:13" x14ac:dyDescent="0.35">
      <c r="B93" s="37" t="str">
        <v>M4</v>
      </c>
      <c r="C93" s="37" t="str">
        <v>BN</v>
      </c>
      <c r="D93" s="37" t="str">
        <v>MB</v>
      </c>
      <c r="E93" s="37" t="str">
        <v>WW</v>
      </c>
      <c r="F93" s="37" t="str">
        <v>MB</v>
      </c>
      <c r="I93" s="37">
        <v>1</v>
      </c>
      <c r="J93" s="37">
        <v>5</v>
      </c>
      <c r="K93" s="37">
        <v>5</v>
      </c>
      <c r="L93" s="37">
        <v>15</v>
      </c>
      <c r="M93" s="37">
        <v>5</v>
      </c>
    </row>
    <row r="94" spans="2:13" x14ac:dyDescent="0.35">
      <c r="B94" s="37" t="str">
        <v>MB</v>
      </c>
      <c r="C94" s="37" t="str">
        <v>F6</v>
      </c>
      <c r="D94" s="37" t="str">
        <v>F7</v>
      </c>
      <c r="E94" s="37" t="str">
        <v>WW</v>
      </c>
      <c r="F94" s="37" t="str">
        <v>F7</v>
      </c>
      <c r="I94" s="37">
        <v>1</v>
      </c>
      <c r="J94" s="37">
        <v>5</v>
      </c>
      <c r="K94" s="37">
        <v>5</v>
      </c>
      <c r="L94" s="37">
        <v>15</v>
      </c>
      <c r="M94" s="37">
        <v>5</v>
      </c>
    </row>
    <row r="95" spans="2:13" x14ac:dyDescent="0.35">
      <c r="B95" s="37" t="str">
        <v>MB</v>
      </c>
      <c r="C95" s="37" t="str">
        <v>M1</v>
      </c>
      <c r="D95" s="37" t="str">
        <v>F9</v>
      </c>
      <c r="E95" s="37" t="str">
        <v>WW</v>
      </c>
      <c r="F95" s="37" t="str">
        <v>M2</v>
      </c>
      <c r="I95" s="37">
        <v>1</v>
      </c>
      <c r="J95" s="37">
        <v>20</v>
      </c>
      <c r="K95" s="37">
        <v>20</v>
      </c>
      <c r="L95" s="37">
        <v>20</v>
      </c>
      <c r="M95" s="37">
        <v>20</v>
      </c>
    </row>
    <row r="96" spans="2:13" x14ac:dyDescent="0.35">
      <c r="B96" s="37" t="str">
        <v>MB</v>
      </c>
      <c r="C96" s="37" t="str">
        <v>F9</v>
      </c>
      <c r="D96" s="37" t="str">
        <v>M1</v>
      </c>
      <c r="E96" s="37" t="str">
        <v>F9</v>
      </c>
      <c r="F96" s="37" t="str">
        <v>M3</v>
      </c>
      <c r="I96" s="37">
        <v>1</v>
      </c>
      <c r="J96" s="37">
        <v>20</v>
      </c>
      <c r="K96" s="37">
        <v>1</v>
      </c>
      <c r="L96" s="37">
        <v>5</v>
      </c>
      <c r="M96" s="37">
        <v>20</v>
      </c>
    </row>
    <row r="97" spans="2:13" x14ac:dyDescent="0.35">
      <c r="B97" s="37" t="str">
        <v>F8</v>
      </c>
      <c r="C97" s="37" t="str">
        <v>M3</v>
      </c>
      <c r="D97" s="37" t="str">
        <v>MB</v>
      </c>
      <c r="E97" s="37" t="str">
        <v>MB</v>
      </c>
      <c r="F97" s="37" t="str">
        <v>F9</v>
      </c>
      <c r="I97" s="37">
        <v>1</v>
      </c>
      <c r="J97" s="37">
        <v>20</v>
      </c>
      <c r="K97" s="37">
        <v>1</v>
      </c>
      <c r="L97" s="37">
        <v>5</v>
      </c>
      <c r="M97" s="37">
        <v>20</v>
      </c>
    </row>
    <row r="98" spans="2:13" x14ac:dyDescent="0.35">
      <c r="B98" s="37" t="str">
        <v>F8</v>
      </c>
      <c r="C98" s="37" t="str">
        <v>F8</v>
      </c>
      <c r="D98" s="37" t="str">
        <v>MB</v>
      </c>
      <c r="E98" s="37" t="str">
        <v>MB</v>
      </c>
      <c r="F98" s="37" t="str">
        <v>F5</v>
      </c>
      <c r="I98" s="37">
        <v>20</v>
      </c>
      <c r="J98" s="37">
        <v>1</v>
      </c>
      <c r="K98" s="37">
        <v>1</v>
      </c>
      <c r="L98" s="37">
        <v>5</v>
      </c>
      <c r="M98" s="37">
        <v>20</v>
      </c>
    </row>
    <row r="99" spans="2:13" x14ac:dyDescent="0.35">
      <c r="B99" s="37" t="str">
        <v>F6</v>
      </c>
      <c r="C99" s="37" t="str">
        <v>MB</v>
      </c>
      <c r="D99" s="37" t="str">
        <v>MB</v>
      </c>
      <c r="E99" s="37" t="str">
        <v>M1</v>
      </c>
      <c r="F99" s="37" t="str">
        <v>M1</v>
      </c>
      <c r="I99" s="37">
        <v>20</v>
      </c>
      <c r="J99" s="37">
        <v>1</v>
      </c>
      <c r="K99" s="37">
        <v>1</v>
      </c>
      <c r="L99" s="37">
        <v>5</v>
      </c>
      <c r="M99" s="37">
        <v>20</v>
      </c>
    </row>
    <row r="100" spans="2:13" x14ac:dyDescent="0.35">
      <c r="B100" s="37" t="str">
        <v>F9</v>
      </c>
      <c r="C100" s="37" t="str">
        <v>MB</v>
      </c>
      <c r="D100" s="37" t="str">
        <v>F9</v>
      </c>
      <c r="E100" s="37" t="str">
        <v>F7</v>
      </c>
      <c r="F100" s="37" t="str">
        <v>F7</v>
      </c>
      <c r="I100" s="37">
        <v>20</v>
      </c>
      <c r="J100" s="37">
        <v>1</v>
      </c>
      <c r="K100" s="37">
        <v>5</v>
      </c>
      <c r="L100" s="37">
        <v>20</v>
      </c>
      <c r="M100" s="37">
        <v>5</v>
      </c>
    </row>
    <row r="101" spans="2:13" x14ac:dyDescent="0.35">
      <c r="B101" s="37" t="str">
        <v>M4</v>
      </c>
      <c r="C101" s="37" t="str">
        <v>MB</v>
      </c>
      <c r="D101" s="37" t="str">
        <v>BN</v>
      </c>
      <c r="E101" s="37" t="str">
        <v>M4</v>
      </c>
      <c r="F101" s="37" t="str">
        <v>MB</v>
      </c>
      <c r="I101" s="37">
        <v>20</v>
      </c>
      <c r="J101" s="37">
        <v>1</v>
      </c>
      <c r="K101" s="37">
        <v>5</v>
      </c>
      <c r="L101" s="37">
        <v>20</v>
      </c>
      <c r="M101" s="37">
        <v>5</v>
      </c>
    </row>
    <row r="102" spans="2:13" x14ac:dyDescent="0.35">
      <c r="B102" s="37" t="str">
        <v>M4</v>
      </c>
      <c r="C102" s="37" t="str">
        <v>F5</v>
      </c>
      <c r="D102" s="37" t="str">
        <v>F5</v>
      </c>
      <c r="E102" s="37" t="str">
        <v>F6</v>
      </c>
      <c r="F102" s="37" t="str">
        <v>MB</v>
      </c>
      <c r="I102" s="37">
        <v>20</v>
      </c>
      <c r="J102" s="37">
        <v>1</v>
      </c>
      <c r="K102" s="37">
        <v>5</v>
      </c>
      <c r="L102" s="37">
        <v>20</v>
      </c>
      <c r="M102" s="37">
        <v>5</v>
      </c>
    </row>
    <row r="103" spans="2:13" x14ac:dyDescent="0.35">
      <c r="B103" s="37" t="str">
        <v>F7</v>
      </c>
      <c r="C103" s="37" t="str">
        <v>F6</v>
      </c>
      <c r="D103" s="37" t="str">
        <v>WW</v>
      </c>
      <c r="E103" s="37" t="str">
        <v>M1</v>
      </c>
      <c r="F103" s="37" t="str">
        <v>MB</v>
      </c>
      <c r="I103" s="37">
        <v>20</v>
      </c>
      <c r="J103" s="37">
        <v>20</v>
      </c>
      <c r="K103" s="37">
        <v>20</v>
      </c>
      <c r="L103" s="37">
        <v>20</v>
      </c>
      <c r="M103" s="37">
        <v>5</v>
      </c>
    </row>
    <row r="104" spans="2:13" x14ac:dyDescent="0.35">
      <c r="B104" s="37" t="str">
        <v>M3</v>
      </c>
      <c r="C104" s="37" t="str">
        <v>M3</v>
      </c>
      <c r="D104" s="37" t="str">
        <v>WW</v>
      </c>
      <c r="E104" s="37" t="str">
        <v>F5</v>
      </c>
      <c r="F104" s="37" t="str">
        <v>F6</v>
      </c>
      <c r="I104" s="37">
        <v>20</v>
      </c>
      <c r="J104" s="37">
        <v>20</v>
      </c>
      <c r="K104" s="37">
        <v>20</v>
      </c>
      <c r="L104" s="37">
        <v>20</v>
      </c>
      <c r="M104" s="37">
        <v>5</v>
      </c>
    </row>
    <row r="105" spans="2:13" x14ac:dyDescent="0.35">
      <c r="B105" s="37" t="str">
        <v>F5</v>
      </c>
      <c r="C105" s="37" t="str">
        <v>F9</v>
      </c>
      <c r="D105" s="37" t="str">
        <v>WW</v>
      </c>
      <c r="E105" s="37" t="str">
        <v>M2</v>
      </c>
      <c r="F105" s="37" t="str">
        <v>M3</v>
      </c>
      <c r="I105" s="37">
        <v>20</v>
      </c>
      <c r="J105" s="37">
        <v>20</v>
      </c>
      <c r="K105" s="37">
        <v>20</v>
      </c>
      <c r="L105" s="37">
        <v>20</v>
      </c>
      <c r="M105" s="37">
        <v>20</v>
      </c>
    </row>
    <row r="106" spans="2:13" x14ac:dyDescent="0.35">
      <c r="B106" s="37" t="str">
        <v>F9</v>
      </c>
      <c r="C106" s="37" t="str">
        <v>M4</v>
      </c>
      <c r="D106" s="37" t="str">
        <v>F5</v>
      </c>
      <c r="E106" s="37" t="str">
        <v>F9</v>
      </c>
      <c r="F106" s="37" t="str">
        <v>F5</v>
      </c>
      <c r="I106" s="37">
        <v>20</v>
      </c>
      <c r="J106" s="37">
        <v>20</v>
      </c>
      <c r="K106" s="37">
        <v>2</v>
      </c>
      <c r="L106" s="37">
        <v>20</v>
      </c>
      <c r="M106" s="37">
        <v>5</v>
      </c>
    </row>
    <row r="107" spans="2:13" x14ac:dyDescent="0.35">
      <c r="B107" s="37" t="str">
        <v>F7</v>
      </c>
      <c r="C107" s="37" t="str">
        <v>F9</v>
      </c>
      <c r="D107" s="37" t="str">
        <v>MB</v>
      </c>
      <c r="E107" s="37" t="str">
        <v>M3</v>
      </c>
      <c r="F107" s="37" t="str">
        <v>MB</v>
      </c>
      <c r="I107" s="37">
        <v>1</v>
      </c>
      <c r="J107" s="37">
        <v>2</v>
      </c>
      <c r="K107" s="37">
        <v>2</v>
      </c>
      <c r="L107" s="37">
        <v>5</v>
      </c>
      <c r="M107" s="37">
        <v>5</v>
      </c>
    </row>
    <row r="108" spans="2:13" x14ac:dyDescent="0.35">
      <c r="B108" s="37" t="str">
        <v>MB</v>
      </c>
      <c r="C108" s="37" t="str">
        <v>MB</v>
      </c>
      <c r="D108" s="37" t="str">
        <v>MB</v>
      </c>
      <c r="E108" s="37" t="str">
        <v>MB</v>
      </c>
      <c r="F108" s="37" t="str">
        <v>F6</v>
      </c>
      <c r="I108" s="37">
        <v>2</v>
      </c>
      <c r="J108" s="37">
        <v>2</v>
      </c>
      <c r="K108" s="37">
        <v>2</v>
      </c>
      <c r="L108" s="37">
        <v>5</v>
      </c>
      <c r="M108" s="37">
        <v>5</v>
      </c>
    </row>
    <row r="109" spans="2:13" x14ac:dyDescent="0.35">
      <c r="B109" s="37" t="str">
        <v>MB</v>
      </c>
      <c r="C109" s="37" t="str">
        <v>MB</v>
      </c>
      <c r="D109" s="37" t="str">
        <v>F8</v>
      </c>
      <c r="E109" s="37" t="str">
        <v>MB</v>
      </c>
      <c r="F109" s="37" t="str">
        <v>M2</v>
      </c>
      <c r="I109" s="37">
        <v>2</v>
      </c>
      <c r="J109" s="37">
        <v>2</v>
      </c>
      <c r="K109" s="37">
        <v>2</v>
      </c>
      <c r="L109" s="37">
        <v>5</v>
      </c>
      <c r="M109" s="37">
        <v>20</v>
      </c>
    </row>
    <row r="110" spans="2:13" x14ac:dyDescent="0.35">
      <c r="B110" s="37" t="str">
        <v>F9</v>
      </c>
      <c r="C110" s="37" t="str">
        <v>F5</v>
      </c>
      <c r="D110" s="37" t="str">
        <v>M3</v>
      </c>
      <c r="E110" s="37" t="str">
        <v>MB</v>
      </c>
      <c r="F110" s="37" t="str">
        <v>F8</v>
      </c>
      <c r="I110" s="37">
        <v>1</v>
      </c>
      <c r="J110" s="37">
        <v>2</v>
      </c>
      <c r="K110" s="37">
        <v>20</v>
      </c>
      <c r="L110" s="37">
        <v>5</v>
      </c>
      <c r="M110" s="37">
        <v>20</v>
      </c>
    </row>
  </sheetData>
  <conditionalFormatting sqref="B5:F53">
    <cfRule type="containsText" dxfId="3" priority="1" operator="containsText" text="TOP">
      <formula>NOT(ISERROR(SEARCH("TOP",B5)))</formula>
    </cfRule>
    <cfRule type="containsText" dxfId="2" priority="2" operator="containsText" text="COI">
      <formula>NOT(ISERROR(SEARCH("COI",B5)))</formula>
    </cfRule>
    <cfRule type="containsText" dxfId="1" priority="3" operator="containsText" text="JOK">
      <formula>NOT(ISERROR(SEARCH("JOK",B5)))</formula>
    </cfRule>
    <cfRule type="containsText" dxfId="0" priority="4" operator="containsText" text="SCA">
      <formula>NOT(ISERROR(SEARCH("SCA",B5)))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D566A-6AE0-4C9F-9451-9D98EC66A9B0}">
  <dimension ref="B2:C18"/>
  <sheetViews>
    <sheetView workbookViewId="0">
      <selection activeCell="I27" sqref="I27"/>
    </sheetView>
  </sheetViews>
  <sheetFormatPr defaultRowHeight="14.5" x14ac:dyDescent="0.35"/>
  <cols>
    <col min="3" max="3" width="18.54296875" customWidth="1"/>
  </cols>
  <sheetData>
    <row r="2" spans="2:3" x14ac:dyDescent="0.35">
      <c r="B2" s="92" t="s">
        <v>64</v>
      </c>
      <c r="C2" s="92" t="s">
        <v>65</v>
      </c>
    </row>
    <row r="3" spans="2:3" x14ac:dyDescent="0.35">
      <c r="B3" s="92">
        <v>1</v>
      </c>
      <c r="C3" s="93">
        <v>835926859</v>
      </c>
    </row>
    <row r="4" spans="2:3" x14ac:dyDescent="0.35">
      <c r="B4" s="92">
        <f>B3+1</f>
        <v>2</v>
      </c>
      <c r="C4" s="93">
        <v>80753689</v>
      </c>
    </row>
    <row r="5" spans="2:3" x14ac:dyDescent="0.35">
      <c r="B5" s="92">
        <f t="shared" ref="B5:B18" si="0">B4+1</f>
        <v>3</v>
      </c>
      <c r="C5" s="93">
        <v>35653550</v>
      </c>
    </row>
    <row r="6" spans="2:3" x14ac:dyDescent="0.35">
      <c r="B6" s="92">
        <f t="shared" si="0"/>
        <v>4</v>
      </c>
      <c r="C6" s="93">
        <v>24559431</v>
      </c>
    </row>
    <row r="7" spans="2:3" x14ac:dyDescent="0.35">
      <c r="B7" s="92">
        <f t="shared" si="0"/>
        <v>5</v>
      </c>
      <c r="C7" s="93">
        <v>20114867</v>
      </c>
    </row>
    <row r="8" spans="2:3" x14ac:dyDescent="0.35">
      <c r="B8" s="92">
        <f t="shared" si="0"/>
        <v>6</v>
      </c>
      <c r="C8" s="93">
        <v>1773935</v>
      </c>
    </row>
    <row r="9" spans="2:3" x14ac:dyDescent="0.35">
      <c r="B9" s="92">
        <f t="shared" si="0"/>
        <v>7</v>
      </c>
      <c r="C9" s="93">
        <v>443155</v>
      </c>
    </row>
    <row r="10" spans="2:3" x14ac:dyDescent="0.35">
      <c r="B10" s="92">
        <f t="shared" si="0"/>
        <v>8</v>
      </c>
      <c r="C10" s="93">
        <v>1035655</v>
      </c>
    </row>
    <row r="11" spans="2:3" x14ac:dyDescent="0.35">
      <c r="B11" s="92">
        <f t="shared" si="0"/>
        <v>9</v>
      </c>
      <c r="C11" s="93">
        <v>106392</v>
      </c>
    </row>
    <row r="12" spans="2:3" x14ac:dyDescent="0.35">
      <c r="B12" s="92">
        <f t="shared" si="0"/>
        <v>10</v>
      </c>
      <c r="C12" s="93">
        <v>135394</v>
      </c>
    </row>
    <row r="13" spans="2:3" x14ac:dyDescent="0.35">
      <c r="B13" s="92">
        <f t="shared" si="0"/>
        <v>11</v>
      </c>
      <c r="C13" s="93">
        <v>25271</v>
      </c>
    </row>
    <row r="14" spans="2:3" x14ac:dyDescent="0.35">
      <c r="B14" s="92">
        <f t="shared" si="0"/>
        <v>12</v>
      </c>
      <c r="C14" s="93">
        <v>110858</v>
      </c>
    </row>
    <row r="15" spans="2:3" x14ac:dyDescent="0.35">
      <c r="B15" s="92">
        <f t="shared" si="0"/>
        <v>13</v>
      </c>
      <c r="C15" s="93">
        <v>4406</v>
      </c>
    </row>
    <row r="16" spans="2:3" x14ac:dyDescent="0.35">
      <c r="B16" s="92">
        <f t="shared" si="0"/>
        <v>14</v>
      </c>
      <c r="C16" s="93">
        <v>1239</v>
      </c>
    </row>
    <row r="17" spans="2:3" x14ac:dyDescent="0.35">
      <c r="B17" s="92">
        <f t="shared" si="0"/>
        <v>15</v>
      </c>
      <c r="C17" s="93">
        <v>15</v>
      </c>
    </row>
    <row r="18" spans="2:3" x14ac:dyDescent="0.35">
      <c r="B18" s="92">
        <f t="shared" si="0"/>
        <v>16</v>
      </c>
      <c r="C18" s="93">
        <v>327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52941-E100-4D7A-82F8-659D3235A462}">
  <dimension ref="A1:AB35"/>
  <sheetViews>
    <sheetView zoomScale="110" workbookViewId="0">
      <selection activeCell="A43" sqref="A43"/>
    </sheetView>
  </sheetViews>
  <sheetFormatPr defaultRowHeight="14.5" x14ac:dyDescent="0.35"/>
  <cols>
    <col min="1" max="1" width="21.54296875" customWidth="1"/>
    <col min="2" max="2" width="15.453125" customWidth="1"/>
    <col min="3" max="3" width="10.54296875" customWidth="1"/>
  </cols>
  <sheetData>
    <row r="1" spans="1:28" x14ac:dyDescent="0.35">
      <c r="A1" s="166" t="s">
        <v>218</v>
      </c>
      <c r="B1" s="166"/>
      <c r="D1" t="s">
        <v>220</v>
      </c>
      <c r="E1" s="121"/>
      <c r="F1" s="121"/>
      <c r="G1" s="121"/>
      <c r="H1" s="121"/>
      <c r="I1" s="121"/>
      <c r="K1" s="121"/>
      <c r="L1" s="121"/>
      <c r="M1" s="121"/>
      <c r="N1" s="121"/>
      <c r="O1" s="121"/>
      <c r="Q1" t="s">
        <v>222</v>
      </c>
      <c r="R1" s="121"/>
      <c r="S1" s="121"/>
      <c r="T1" s="121"/>
      <c r="U1" s="122"/>
      <c r="V1" s="121"/>
      <c r="X1" s="121"/>
      <c r="Y1" s="121"/>
      <c r="Z1" s="121"/>
      <c r="AA1" s="132"/>
      <c r="AB1" s="121"/>
    </row>
    <row r="2" spans="1:28" x14ac:dyDescent="0.35">
      <c r="A2" s="120" t="s">
        <v>148</v>
      </c>
      <c r="B2" s="120" t="s">
        <v>53</v>
      </c>
      <c r="E2" s="121"/>
      <c r="F2" s="121"/>
      <c r="G2" s="121"/>
      <c r="H2" s="121"/>
      <c r="I2" s="121"/>
      <c r="K2" s="121"/>
      <c r="L2" s="121"/>
      <c r="M2" s="121"/>
      <c r="N2" s="130"/>
      <c r="O2" s="121"/>
      <c r="R2" s="121"/>
      <c r="S2" s="122"/>
      <c r="T2" s="121"/>
      <c r="U2" s="121"/>
      <c r="V2" s="121"/>
      <c r="X2" s="121"/>
      <c r="Y2" s="132"/>
      <c r="Z2" s="121"/>
      <c r="AA2" s="121"/>
      <c r="AB2" s="121"/>
    </row>
    <row r="3" spans="1:28" x14ac:dyDescent="0.35">
      <c r="A3" s="118" t="s">
        <v>187</v>
      </c>
      <c r="B3" s="119">
        <v>99000000</v>
      </c>
      <c r="C3" s="37"/>
      <c r="E3" s="121"/>
      <c r="F3" s="122"/>
      <c r="G3" s="121"/>
      <c r="H3" s="121"/>
      <c r="I3" s="121"/>
      <c r="K3" s="121"/>
      <c r="L3" s="121"/>
      <c r="M3" s="121"/>
      <c r="N3" s="121"/>
      <c r="O3" s="121"/>
      <c r="R3" s="121"/>
      <c r="S3" s="121"/>
      <c r="T3" s="121"/>
      <c r="U3" s="122"/>
      <c r="V3" s="121"/>
      <c r="X3" s="121"/>
      <c r="Y3" s="121"/>
      <c r="Z3" s="121"/>
      <c r="AA3" s="132"/>
      <c r="AB3" s="121"/>
    </row>
    <row r="4" spans="1:28" x14ac:dyDescent="0.35">
      <c r="A4" s="123" t="s">
        <v>188</v>
      </c>
      <c r="B4" s="119">
        <v>11000000</v>
      </c>
      <c r="C4" s="37"/>
    </row>
    <row r="5" spans="1:28" x14ac:dyDescent="0.35">
      <c r="A5" s="124" t="s">
        <v>189</v>
      </c>
      <c r="B5" s="119">
        <v>99000000</v>
      </c>
      <c r="C5" s="37"/>
      <c r="E5" s="121"/>
      <c r="F5" s="121"/>
      <c r="G5" s="121"/>
      <c r="H5" s="121"/>
      <c r="I5" s="121"/>
      <c r="K5" s="121"/>
      <c r="L5" s="121"/>
      <c r="M5" s="121"/>
      <c r="N5" s="121"/>
      <c r="O5" s="121"/>
      <c r="R5" s="121"/>
      <c r="S5" s="121"/>
      <c r="T5" s="121"/>
      <c r="U5" s="125"/>
      <c r="V5" s="121"/>
      <c r="X5" s="121"/>
      <c r="Y5" s="121"/>
      <c r="Z5" s="135"/>
      <c r="AA5" s="121"/>
      <c r="AB5" s="121"/>
    </row>
    <row r="6" spans="1:28" x14ac:dyDescent="0.35">
      <c r="A6" s="124" t="s">
        <v>190</v>
      </c>
      <c r="B6" s="119">
        <v>66000000</v>
      </c>
      <c r="C6" s="37"/>
      <c r="E6" s="121"/>
      <c r="F6" s="125"/>
      <c r="G6" s="121"/>
      <c r="H6" s="121"/>
      <c r="I6" s="121"/>
      <c r="K6" s="121"/>
      <c r="L6" s="121"/>
      <c r="M6" s="121"/>
      <c r="N6" s="121"/>
      <c r="O6" s="132"/>
      <c r="R6" s="121"/>
      <c r="S6" s="125"/>
      <c r="T6" s="121"/>
      <c r="U6" s="121"/>
      <c r="V6" s="125"/>
      <c r="X6" s="121"/>
      <c r="Y6" s="121"/>
      <c r="Z6" s="135"/>
      <c r="AA6" s="121"/>
      <c r="AB6" s="135"/>
    </row>
    <row r="7" spans="1:28" x14ac:dyDescent="0.35">
      <c r="A7" s="127" t="s">
        <v>191</v>
      </c>
      <c r="B7" s="119">
        <v>11000000</v>
      </c>
      <c r="C7" s="37"/>
      <c r="E7" s="121"/>
      <c r="F7" s="121"/>
      <c r="G7" s="121"/>
      <c r="H7" s="121"/>
      <c r="I7" s="121"/>
      <c r="K7" s="121"/>
      <c r="L7" s="121"/>
      <c r="M7" s="121"/>
      <c r="N7" s="121"/>
      <c r="O7" s="121"/>
      <c r="R7" s="121"/>
      <c r="S7" s="121"/>
      <c r="T7" s="121"/>
      <c r="U7" s="121"/>
      <c r="V7" s="121"/>
      <c r="X7" s="121"/>
      <c r="Y7" s="121"/>
      <c r="Z7" s="121"/>
      <c r="AA7" s="121"/>
      <c r="AB7" s="121"/>
    </row>
    <row r="8" spans="1:28" x14ac:dyDescent="0.35">
      <c r="A8" s="127" t="s">
        <v>192</v>
      </c>
      <c r="B8" s="119">
        <v>11000000</v>
      </c>
      <c r="C8" s="37"/>
    </row>
    <row r="9" spans="1:28" x14ac:dyDescent="0.35">
      <c r="A9" s="129" t="s">
        <v>193</v>
      </c>
      <c r="B9" s="119">
        <v>99000000</v>
      </c>
      <c r="C9" s="37"/>
      <c r="E9" s="121"/>
      <c r="F9" s="121"/>
      <c r="G9" s="121"/>
      <c r="H9" s="121"/>
      <c r="I9" s="121"/>
      <c r="K9" s="121"/>
      <c r="L9" s="121"/>
      <c r="M9" s="121"/>
      <c r="N9" s="135"/>
      <c r="O9" s="121"/>
      <c r="R9" s="121"/>
      <c r="S9" s="121"/>
      <c r="T9" s="126"/>
      <c r="U9" s="121"/>
      <c r="V9" s="121"/>
      <c r="X9" s="121"/>
      <c r="Y9" s="117"/>
      <c r="Z9" s="121"/>
      <c r="AA9" s="121"/>
      <c r="AB9" s="121"/>
    </row>
    <row r="10" spans="1:28" x14ac:dyDescent="0.35">
      <c r="A10" s="131" t="s">
        <v>194</v>
      </c>
      <c r="B10" s="119">
        <v>11000000</v>
      </c>
      <c r="C10" s="37"/>
      <c r="E10" s="121"/>
      <c r="F10" s="121"/>
      <c r="G10" s="126"/>
      <c r="H10" s="121"/>
      <c r="I10" s="121"/>
      <c r="K10" s="121"/>
      <c r="L10" s="121"/>
      <c r="M10" s="121"/>
      <c r="N10" s="121"/>
      <c r="O10" s="121"/>
      <c r="R10" s="121"/>
      <c r="S10" s="121"/>
      <c r="T10" s="126"/>
      <c r="U10" s="121"/>
      <c r="V10" s="121"/>
      <c r="X10" s="121"/>
      <c r="Y10" s="121"/>
      <c r="Z10" s="117"/>
      <c r="AA10" s="121"/>
      <c r="AB10" s="117"/>
    </row>
    <row r="11" spans="1:28" x14ac:dyDescent="0.35">
      <c r="A11" s="133" t="s">
        <v>195</v>
      </c>
      <c r="B11" s="119">
        <v>550000</v>
      </c>
      <c r="C11" s="37"/>
      <c r="E11" s="121"/>
      <c r="F11" s="121"/>
      <c r="G11" s="121"/>
      <c r="H11" s="121"/>
      <c r="I11" s="121"/>
      <c r="K11" s="121"/>
      <c r="L11" s="121"/>
      <c r="M11" s="121"/>
      <c r="N11" s="121"/>
      <c r="O11" s="121"/>
      <c r="R11" s="121"/>
      <c r="S11" s="126"/>
      <c r="T11" s="121"/>
      <c r="U11" s="121"/>
      <c r="V11" s="121"/>
      <c r="X11" s="121"/>
      <c r="Y11" s="121"/>
      <c r="Z11" s="121"/>
      <c r="AA11" s="121"/>
      <c r="AB11" s="121"/>
    </row>
    <row r="12" spans="1:28" x14ac:dyDescent="0.35">
      <c r="A12" s="134" t="s">
        <v>196</v>
      </c>
      <c r="B12" s="119">
        <v>99000000</v>
      </c>
      <c r="C12" s="37"/>
    </row>
    <row r="13" spans="1:28" x14ac:dyDescent="0.35">
      <c r="A13" s="137" t="s">
        <v>197</v>
      </c>
      <c r="B13" s="119">
        <v>11000000</v>
      </c>
      <c r="C13" s="37"/>
      <c r="E13" s="121"/>
      <c r="F13" s="121"/>
      <c r="G13" s="128"/>
      <c r="H13" s="121"/>
      <c r="I13" s="121"/>
      <c r="K13" s="121"/>
      <c r="L13" s="121"/>
      <c r="M13" s="121"/>
      <c r="N13" s="121"/>
      <c r="O13" s="121"/>
      <c r="R13" s="121"/>
      <c r="S13" s="121"/>
      <c r="T13" s="128"/>
      <c r="U13" s="121"/>
      <c r="V13" s="121"/>
      <c r="X13" s="121"/>
      <c r="Y13" s="121"/>
      <c r="Z13" s="139"/>
      <c r="AA13" s="121"/>
      <c r="AB13" s="121"/>
    </row>
    <row r="14" spans="1:28" x14ac:dyDescent="0.35">
      <c r="A14" s="123" t="s">
        <v>198</v>
      </c>
      <c r="B14" s="119">
        <v>61250000</v>
      </c>
      <c r="C14" s="37"/>
      <c r="E14" s="121"/>
      <c r="F14" s="121"/>
      <c r="G14" s="121"/>
      <c r="H14" s="121"/>
      <c r="I14" s="121"/>
      <c r="K14" s="121"/>
      <c r="L14" s="121"/>
      <c r="M14" s="121"/>
      <c r="N14" s="136"/>
      <c r="O14" s="121"/>
      <c r="R14" s="121"/>
      <c r="S14" s="128"/>
      <c r="T14" s="121"/>
      <c r="U14" s="121"/>
      <c r="V14" s="121"/>
      <c r="X14" s="121"/>
      <c r="Y14" s="121"/>
      <c r="Z14" s="139"/>
      <c r="AA14" s="121"/>
      <c r="AB14" s="139"/>
    </row>
    <row r="15" spans="1:28" x14ac:dyDescent="0.35">
      <c r="A15" s="124" t="s">
        <v>199</v>
      </c>
      <c r="B15" s="119">
        <v>2100000</v>
      </c>
      <c r="C15" s="37"/>
      <c r="E15" s="121"/>
      <c r="F15" s="121"/>
      <c r="G15" s="121"/>
      <c r="H15" s="121"/>
      <c r="I15" s="121"/>
      <c r="K15" s="121"/>
      <c r="L15" s="121"/>
      <c r="M15" s="121"/>
      <c r="N15" s="121"/>
      <c r="O15" s="121"/>
      <c r="R15" s="121"/>
      <c r="S15" s="121"/>
      <c r="T15" s="128"/>
      <c r="U15" s="121"/>
      <c r="V15" s="121"/>
      <c r="X15" s="121"/>
      <c r="Y15" s="121"/>
      <c r="Z15" s="121"/>
      <c r="AA15" s="121"/>
      <c r="AB15" s="121"/>
    </row>
    <row r="16" spans="1:28" x14ac:dyDescent="0.35">
      <c r="A16" s="127" t="s">
        <v>200</v>
      </c>
      <c r="B16" s="119">
        <v>49000000</v>
      </c>
      <c r="C16" s="37"/>
    </row>
    <row r="17" spans="1:28" x14ac:dyDescent="0.35">
      <c r="A17" s="129" t="s">
        <v>201</v>
      </c>
      <c r="B17" s="119">
        <v>1750000</v>
      </c>
      <c r="C17" s="37"/>
      <c r="D17" t="s">
        <v>221</v>
      </c>
      <c r="E17" s="121"/>
      <c r="F17" s="122"/>
      <c r="G17" s="121"/>
      <c r="H17" s="121"/>
      <c r="I17" s="121"/>
      <c r="K17" s="121"/>
      <c r="L17" s="121"/>
      <c r="M17" s="132"/>
      <c r="N17" s="121"/>
      <c r="O17" s="121"/>
      <c r="R17" s="121"/>
      <c r="S17" s="121"/>
      <c r="T17" s="130"/>
      <c r="U17" s="121"/>
      <c r="V17" s="121"/>
      <c r="X17" s="121"/>
      <c r="Y17" s="121"/>
      <c r="Z17" s="141"/>
      <c r="AA17" s="121"/>
      <c r="AB17" s="121"/>
    </row>
    <row r="18" spans="1:28" x14ac:dyDescent="0.35">
      <c r="A18" s="131" t="s">
        <v>202</v>
      </c>
      <c r="B18" s="119">
        <v>10500000</v>
      </c>
      <c r="C18" s="37"/>
      <c r="E18" s="121"/>
      <c r="F18" s="122"/>
      <c r="G18" s="121"/>
      <c r="H18" s="121"/>
      <c r="I18" s="121"/>
      <c r="K18" s="121"/>
      <c r="L18" s="121"/>
      <c r="M18" s="121"/>
      <c r="N18" s="132"/>
      <c r="O18" s="121"/>
      <c r="R18" s="121"/>
      <c r="S18" s="130"/>
      <c r="T18" s="130"/>
      <c r="U18" s="121"/>
      <c r="V18" s="121"/>
      <c r="X18" s="121"/>
      <c r="Y18" s="121"/>
      <c r="Z18" s="141"/>
      <c r="AA18" s="121"/>
      <c r="AB18" s="121"/>
    </row>
    <row r="19" spans="1:28" x14ac:dyDescent="0.35">
      <c r="A19" s="133" t="s">
        <v>203</v>
      </c>
      <c r="B19" s="119">
        <v>2100000</v>
      </c>
      <c r="C19" s="37"/>
      <c r="E19" s="121"/>
      <c r="F19" s="121"/>
      <c r="G19" s="121"/>
      <c r="H19" s="121"/>
      <c r="I19" s="121"/>
      <c r="K19" s="121"/>
      <c r="L19" s="121"/>
      <c r="M19" s="121"/>
      <c r="N19" s="121"/>
      <c r="O19" s="121"/>
      <c r="R19" s="121"/>
      <c r="S19" s="121"/>
      <c r="T19" s="121"/>
      <c r="U19" s="121"/>
      <c r="V19" s="121"/>
      <c r="X19" s="121"/>
      <c r="Y19" s="121"/>
      <c r="Z19" s="121"/>
      <c r="AA19" s="121"/>
      <c r="AB19" s="121"/>
    </row>
    <row r="20" spans="1:28" x14ac:dyDescent="0.35">
      <c r="A20" s="134" t="s">
        <v>204</v>
      </c>
      <c r="B20" s="119">
        <v>10500000</v>
      </c>
      <c r="C20" s="37"/>
    </row>
    <row r="21" spans="1:28" x14ac:dyDescent="0.35">
      <c r="A21" s="138" t="s">
        <v>205</v>
      </c>
      <c r="B21" s="119">
        <v>49000000</v>
      </c>
      <c r="C21" s="37"/>
      <c r="E21" s="121"/>
      <c r="F21" s="121"/>
      <c r="G21" s="125"/>
      <c r="H21" s="121"/>
      <c r="I21" s="121"/>
      <c r="K21" s="121"/>
      <c r="L21" s="121"/>
      <c r="M21" s="121"/>
      <c r="N21" s="121"/>
      <c r="O21" s="121"/>
    </row>
    <row r="22" spans="1:28" x14ac:dyDescent="0.35">
      <c r="A22" s="140" t="s">
        <v>206</v>
      </c>
      <c r="B22" s="119">
        <v>61250000</v>
      </c>
      <c r="C22" s="37"/>
      <c r="E22" s="121"/>
      <c r="F22" s="125"/>
      <c r="G22" s="121"/>
      <c r="H22" s="121"/>
      <c r="I22" s="121"/>
      <c r="K22" s="121"/>
      <c r="L22" s="135"/>
      <c r="M22" s="121"/>
      <c r="N22" s="121"/>
      <c r="O22" s="121"/>
    </row>
    <row r="23" spans="1:28" x14ac:dyDescent="0.35">
      <c r="A23" s="142" t="s">
        <v>207</v>
      </c>
      <c r="B23" s="119">
        <v>700000</v>
      </c>
      <c r="C23" s="37"/>
      <c r="E23" s="121"/>
      <c r="F23" s="121"/>
      <c r="G23" s="121"/>
      <c r="H23" s="121"/>
      <c r="I23" s="121"/>
      <c r="K23" s="121"/>
      <c r="L23" s="135"/>
      <c r="M23" s="121"/>
      <c r="N23" s="121"/>
      <c r="O23" s="121"/>
    </row>
    <row r="24" spans="1:28" x14ac:dyDescent="0.35">
      <c r="A24" s="123" t="s">
        <v>208</v>
      </c>
      <c r="B24" s="119">
        <v>120000</v>
      </c>
      <c r="C24" s="37"/>
    </row>
    <row r="25" spans="1:28" x14ac:dyDescent="0.35">
      <c r="A25" s="124" t="s">
        <v>209</v>
      </c>
      <c r="B25" s="119">
        <v>100000</v>
      </c>
      <c r="C25" s="37"/>
      <c r="E25" s="121"/>
      <c r="F25" s="121"/>
      <c r="G25" s="121"/>
      <c r="H25" s="126"/>
      <c r="I25" s="121"/>
      <c r="K25" s="121"/>
      <c r="L25" s="117"/>
      <c r="M25" s="121"/>
      <c r="N25" s="121"/>
      <c r="O25" s="121"/>
    </row>
    <row r="26" spans="1:28" x14ac:dyDescent="0.35">
      <c r="A26" s="127" t="s">
        <v>210</v>
      </c>
      <c r="B26" s="119">
        <v>180000</v>
      </c>
      <c r="C26" s="37"/>
      <c r="E26" s="121"/>
      <c r="F26" s="121"/>
      <c r="G26" s="121"/>
      <c r="H26" s="126"/>
      <c r="I26" s="121"/>
      <c r="K26" s="121"/>
      <c r="L26" s="121"/>
      <c r="M26" s="121"/>
      <c r="N26" s="121"/>
      <c r="O26" s="121"/>
    </row>
    <row r="27" spans="1:28" x14ac:dyDescent="0.35">
      <c r="A27" s="129" t="s">
        <v>211</v>
      </c>
      <c r="B27" s="119">
        <v>100000</v>
      </c>
      <c r="C27" s="37"/>
      <c r="E27" s="121"/>
      <c r="F27" s="121"/>
      <c r="G27" s="121"/>
      <c r="H27" s="121"/>
      <c r="I27" s="121"/>
      <c r="K27" s="121"/>
      <c r="L27" s="117"/>
      <c r="M27" s="121"/>
      <c r="N27" s="121"/>
      <c r="O27" s="121"/>
    </row>
    <row r="28" spans="1:28" x14ac:dyDescent="0.35">
      <c r="A28" s="131" t="s">
        <v>212</v>
      </c>
      <c r="B28" s="119">
        <v>150000</v>
      </c>
      <c r="C28" s="37"/>
    </row>
    <row r="29" spans="1:28" x14ac:dyDescent="0.35">
      <c r="A29" s="133" t="s">
        <v>213</v>
      </c>
      <c r="B29" s="119">
        <v>100000</v>
      </c>
      <c r="C29" s="37"/>
      <c r="E29" s="121"/>
      <c r="F29" s="121"/>
      <c r="G29" s="121"/>
      <c r="H29" s="121"/>
      <c r="I29" s="121"/>
      <c r="K29" s="121"/>
      <c r="L29" s="121"/>
      <c r="M29" s="121"/>
      <c r="N29" s="121"/>
      <c r="O29" s="121"/>
    </row>
    <row r="30" spans="1:28" x14ac:dyDescent="0.35">
      <c r="A30" s="134" t="s">
        <v>214</v>
      </c>
      <c r="B30" s="119">
        <v>200000</v>
      </c>
      <c r="C30" s="37"/>
      <c r="E30" s="121"/>
      <c r="F30" s="128"/>
      <c r="G30" s="121"/>
      <c r="H30" s="128"/>
      <c r="I30" s="121"/>
      <c r="K30" s="121"/>
      <c r="L30" s="121"/>
      <c r="M30" s="139"/>
      <c r="N30" s="139"/>
      <c r="O30" s="121"/>
    </row>
    <row r="31" spans="1:28" x14ac:dyDescent="0.35">
      <c r="A31" s="138" t="s">
        <v>215</v>
      </c>
      <c r="B31" s="119">
        <v>100000</v>
      </c>
      <c r="C31" s="37"/>
      <c r="E31" s="121"/>
      <c r="F31" s="121"/>
      <c r="G31" s="121"/>
      <c r="H31" s="121"/>
      <c r="I31" s="121"/>
      <c r="K31" s="121"/>
      <c r="L31" s="121"/>
      <c r="M31" s="121"/>
      <c r="N31" s="121"/>
      <c r="O31" s="121"/>
    </row>
    <row r="32" spans="1:28" x14ac:dyDescent="0.35">
      <c r="A32" s="140" t="s">
        <v>216</v>
      </c>
      <c r="B32" s="119">
        <v>100000</v>
      </c>
      <c r="C32" s="37"/>
    </row>
    <row r="33" spans="1:15" x14ac:dyDescent="0.35">
      <c r="A33" s="142" t="s">
        <v>217</v>
      </c>
      <c r="B33" s="119">
        <v>100000</v>
      </c>
      <c r="C33" s="37"/>
      <c r="E33" s="121"/>
      <c r="F33" s="121"/>
      <c r="G33" s="121"/>
      <c r="H33" s="121"/>
      <c r="I33" s="130"/>
      <c r="K33" s="121"/>
      <c r="L33" s="121"/>
      <c r="M33" s="121"/>
      <c r="N33" s="141"/>
      <c r="O33" s="121"/>
    </row>
    <row r="34" spans="1:15" x14ac:dyDescent="0.35">
      <c r="E34" s="121"/>
      <c r="F34" s="121"/>
      <c r="G34" s="130"/>
      <c r="H34" s="121"/>
      <c r="I34" s="121"/>
      <c r="K34" s="121"/>
      <c r="L34" s="141"/>
      <c r="M34" s="121"/>
      <c r="N34" s="121"/>
      <c r="O34" s="121"/>
    </row>
    <row r="35" spans="1:15" x14ac:dyDescent="0.35">
      <c r="E35" s="121"/>
      <c r="F35" s="121"/>
      <c r="G35" s="121"/>
      <c r="H35" s="121"/>
      <c r="I35" s="121"/>
      <c r="K35" s="121"/>
      <c r="L35" s="121"/>
      <c r="M35" s="121"/>
      <c r="N35" s="121"/>
      <c r="O35" s="121"/>
    </row>
  </sheetData>
  <mergeCells count="1">
    <mergeCell ref="A1:B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FB9E3-27AF-4678-B736-4494BA3992E0}">
  <dimension ref="A1:AM117"/>
  <sheetViews>
    <sheetView topLeftCell="A80" zoomScale="90" workbookViewId="0">
      <selection activeCell="V88" sqref="V88"/>
    </sheetView>
  </sheetViews>
  <sheetFormatPr defaultColWidth="9.1796875" defaultRowHeight="14.5" x14ac:dyDescent="0.35"/>
  <cols>
    <col min="1" max="1" width="9.1796875" style="37"/>
    <col min="2" max="2" width="6.81640625" style="37" bestFit="1" customWidth="1"/>
    <col min="3" max="3" width="10" style="37" bestFit="1" customWidth="1"/>
    <col min="4" max="4" width="8" style="37" customWidth="1"/>
    <col min="5" max="5" width="9.1796875" style="37"/>
    <col min="6" max="6" width="14.81640625" style="37" bestFit="1" customWidth="1"/>
    <col min="7" max="15" width="8.08984375" style="37" bestFit="1" customWidth="1"/>
    <col min="16" max="16" width="9.1796875" style="37"/>
    <col min="17" max="17" width="13.26953125" style="37" customWidth="1"/>
    <col min="18" max="18" width="10.81640625" style="37" customWidth="1"/>
    <col min="19" max="19" width="10.6328125" style="37" customWidth="1"/>
    <col min="20" max="20" width="11.08984375" style="37" customWidth="1"/>
    <col min="21" max="21" width="11.1796875" style="37" customWidth="1"/>
    <col min="22" max="22" width="11.26953125" style="37" customWidth="1"/>
    <col min="23" max="23" width="10" style="37" bestFit="1" customWidth="1"/>
    <col min="24" max="24" width="11.81640625" style="37" customWidth="1"/>
    <col min="25" max="30" width="10" style="37" bestFit="1" customWidth="1"/>
    <col min="31" max="31" width="9.1796875" style="37"/>
    <col min="32" max="32" width="9.36328125" style="37" bestFit="1" customWidth="1"/>
    <col min="33" max="35" width="10" style="37" bestFit="1" customWidth="1"/>
    <col min="36" max="16384" width="9.1796875" style="37"/>
  </cols>
  <sheetData>
    <row r="1" spans="2:28" ht="15" thickBot="1" x14ac:dyDescent="0.4">
      <c r="B1" s="167" t="s">
        <v>152</v>
      </c>
      <c r="C1" s="167"/>
      <c r="D1" s="96"/>
    </row>
    <row r="2" spans="2:28" ht="15" thickBot="1" x14ac:dyDescent="0.4">
      <c r="B2" s="100" t="s">
        <v>148</v>
      </c>
      <c r="C2" s="97" t="s">
        <v>53</v>
      </c>
      <c r="D2" s="97"/>
      <c r="F2" s="65" t="s">
        <v>47</v>
      </c>
      <c r="G2" s="73">
        <v>6</v>
      </c>
      <c r="H2" s="76">
        <v>7</v>
      </c>
      <c r="I2" s="76">
        <v>8</v>
      </c>
      <c r="J2" s="76">
        <v>9</v>
      </c>
      <c r="K2" s="76">
        <v>10</v>
      </c>
      <c r="L2" s="76">
        <v>11</v>
      </c>
      <c r="M2" s="76">
        <v>12</v>
      </c>
      <c r="N2" s="76">
        <v>13</v>
      </c>
      <c r="O2" s="75">
        <v>14</v>
      </c>
      <c r="Q2" s="91" t="s">
        <v>144</v>
      </c>
      <c r="R2" s="91" t="s">
        <v>54</v>
      </c>
      <c r="S2" s="91" t="s">
        <v>55</v>
      </c>
      <c r="U2" s="91" t="s">
        <v>145</v>
      </c>
      <c r="V2" s="91" t="s">
        <v>54</v>
      </c>
      <c r="W2" s="91" t="s">
        <v>55</v>
      </c>
    </row>
    <row r="3" spans="2:28" x14ac:dyDescent="0.35">
      <c r="B3" s="100">
        <v>50</v>
      </c>
      <c r="C3" s="99">
        <v>580000000</v>
      </c>
      <c r="D3" s="99"/>
      <c r="F3" s="57">
        <v>0</v>
      </c>
      <c r="G3" s="74">
        <v>0</v>
      </c>
      <c r="H3" s="74">
        <v>200</v>
      </c>
      <c r="I3" s="74">
        <v>1000</v>
      </c>
      <c r="J3" s="74">
        <v>2000</v>
      </c>
      <c r="K3" s="74">
        <v>2800</v>
      </c>
      <c r="L3" s="74">
        <v>3000</v>
      </c>
      <c r="M3" s="74">
        <v>5000</v>
      </c>
      <c r="N3" s="74">
        <v>8000</v>
      </c>
      <c r="O3" s="74">
        <v>11000</v>
      </c>
      <c r="Q3" s="37">
        <v>1</v>
      </c>
      <c r="R3" s="37">
        <v>5966338</v>
      </c>
      <c r="S3" s="37">
        <v>994033663</v>
      </c>
      <c r="U3" s="37">
        <v>1</v>
      </c>
      <c r="V3" s="37">
        <v>5500000</v>
      </c>
      <c r="W3" s="37">
        <v>994500000</v>
      </c>
    </row>
    <row r="4" spans="2:28" x14ac:dyDescent="0.35">
      <c r="B4" s="100">
        <v>100</v>
      </c>
      <c r="C4" s="99">
        <v>317315106</v>
      </c>
      <c r="D4" s="99"/>
      <c r="F4" s="57">
        <v>1</v>
      </c>
      <c r="G4" s="71">
        <v>15000</v>
      </c>
      <c r="H4" s="71">
        <v>15000</v>
      </c>
      <c r="I4" s="71">
        <v>15000</v>
      </c>
      <c r="J4" s="71">
        <v>15000</v>
      </c>
      <c r="K4" s="71">
        <v>15000</v>
      </c>
      <c r="L4" s="71">
        <v>15000</v>
      </c>
      <c r="M4" s="71">
        <v>15000</v>
      </c>
      <c r="N4" s="71">
        <v>15000</v>
      </c>
      <c r="O4" s="71">
        <v>15000</v>
      </c>
      <c r="Q4" s="37">
        <v>2</v>
      </c>
      <c r="R4" s="37">
        <v>13572834</v>
      </c>
      <c r="S4" s="37">
        <v>986427167</v>
      </c>
      <c r="U4" s="37">
        <v>2</v>
      </c>
      <c r="V4" s="37">
        <v>5500000</v>
      </c>
      <c r="W4" s="37">
        <v>994500000</v>
      </c>
    </row>
    <row r="5" spans="2:28" x14ac:dyDescent="0.35">
      <c r="B5" s="100">
        <v>150</v>
      </c>
      <c r="C5" s="99">
        <v>82382821</v>
      </c>
      <c r="D5" s="99"/>
      <c r="F5" s="57">
        <v>2</v>
      </c>
      <c r="G5" s="71">
        <v>10000</v>
      </c>
      <c r="H5" s="71">
        <v>10000</v>
      </c>
      <c r="I5" s="71">
        <v>10000</v>
      </c>
      <c r="J5" s="71">
        <v>10000</v>
      </c>
      <c r="K5" s="71">
        <v>10000</v>
      </c>
      <c r="L5" s="71">
        <v>10000</v>
      </c>
      <c r="M5" s="71">
        <v>10000</v>
      </c>
      <c r="N5" s="71">
        <v>10000</v>
      </c>
      <c r="O5" s="83">
        <v>0</v>
      </c>
      <c r="Q5" s="37">
        <v>3</v>
      </c>
      <c r="R5" s="37">
        <v>27804582</v>
      </c>
      <c r="S5" s="37">
        <v>972195419</v>
      </c>
      <c r="U5" s="37">
        <v>3</v>
      </c>
      <c r="V5" s="37">
        <v>5500000</v>
      </c>
      <c r="W5" s="37">
        <v>994500000</v>
      </c>
    </row>
    <row r="6" spans="2:28" x14ac:dyDescent="0.35">
      <c r="B6" s="100">
        <v>200</v>
      </c>
      <c r="C6" s="99">
        <v>100000</v>
      </c>
      <c r="D6" s="99"/>
      <c r="F6" s="57">
        <v>3</v>
      </c>
      <c r="G6" s="71">
        <v>6000</v>
      </c>
      <c r="H6" s="71">
        <v>6000</v>
      </c>
      <c r="I6" s="71">
        <v>6000</v>
      </c>
      <c r="J6" s="71">
        <v>6000</v>
      </c>
      <c r="K6" s="71">
        <v>6000</v>
      </c>
      <c r="L6" s="71">
        <v>6000</v>
      </c>
      <c r="M6" s="71">
        <v>6000</v>
      </c>
      <c r="N6" s="83">
        <v>0</v>
      </c>
      <c r="O6" s="83">
        <v>0</v>
      </c>
      <c r="Q6" s="37">
        <v>4</v>
      </c>
      <c r="R6" s="37">
        <v>71170258</v>
      </c>
      <c r="S6" s="37">
        <v>928829743</v>
      </c>
      <c r="U6" s="37">
        <v>4</v>
      </c>
      <c r="V6" s="37">
        <v>5500000</v>
      </c>
      <c r="W6" s="37">
        <v>994500000</v>
      </c>
    </row>
    <row r="7" spans="2:28" x14ac:dyDescent="0.35">
      <c r="B7" s="100">
        <v>250</v>
      </c>
      <c r="C7" s="99">
        <v>100000</v>
      </c>
      <c r="D7" s="99"/>
      <c r="F7" s="57">
        <v>4</v>
      </c>
      <c r="G7" s="71">
        <v>1500</v>
      </c>
      <c r="H7" s="71">
        <v>1500</v>
      </c>
      <c r="I7" s="71">
        <v>1500</v>
      </c>
      <c r="J7" s="71">
        <v>1500</v>
      </c>
      <c r="K7" s="71">
        <v>1500</v>
      </c>
      <c r="L7" s="71">
        <v>1500</v>
      </c>
      <c r="M7" s="83">
        <v>0</v>
      </c>
      <c r="N7" s="83">
        <v>0</v>
      </c>
      <c r="O7" s="83">
        <v>0</v>
      </c>
      <c r="Q7" s="37">
        <v>5</v>
      </c>
      <c r="R7" s="37">
        <v>293064445</v>
      </c>
      <c r="S7" s="37">
        <v>706935556</v>
      </c>
      <c r="U7" s="37">
        <v>5</v>
      </c>
      <c r="V7" s="37">
        <v>5500000</v>
      </c>
      <c r="W7" s="37">
        <v>994500000</v>
      </c>
    </row>
    <row r="8" spans="2:28" ht="15" thickBot="1" x14ac:dyDescent="0.4">
      <c r="B8" s="100">
        <v>300</v>
      </c>
      <c r="C8" s="99">
        <v>20000000</v>
      </c>
      <c r="D8" s="99"/>
      <c r="F8" s="64">
        <v>5</v>
      </c>
      <c r="G8" s="72">
        <v>150</v>
      </c>
      <c r="H8" s="72">
        <v>150</v>
      </c>
      <c r="I8" s="72">
        <v>150</v>
      </c>
      <c r="J8" s="72">
        <v>150</v>
      </c>
      <c r="K8" s="72">
        <v>150</v>
      </c>
      <c r="L8" s="84">
        <v>0</v>
      </c>
      <c r="M8" s="84">
        <v>0</v>
      </c>
      <c r="N8" s="84">
        <v>0</v>
      </c>
      <c r="O8" s="84">
        <v>0</v>
      </c>
    </row>
    <row r="9" spans="2:28" ht="15" thickBot="1" x14ac:dyDescent="0.4">
      <c r="B9" s="100">
        <v>350</v>
      </c>
      <c r="C9" s="99">
        <v>10000</v>
      </c>
      <c r="D9" s="99"/>
      <c r="F9"/>
      <c r="G9"/>
      <c r="H9"/>
      <c r="I9"/>
      <c r="J9"/>
      <c r="K9"/>
      <c r="L9"/>
      <c r="M9"/>
      <c r="N9"/>
      <c r="O9"/>
    </row>
    <row r="10" spans="2:28" ht="15" thickBot="1" x14ac:dyDescent="0.4">
      <c r="B10" s="100">
        <v>400</v>
      </c>
      <c r="C10" s="99">
        <v>10000</v>
      </c>
      <c r="D10" s="99"/>
      <c r="F10" s="65" t="s">
        <v>47</v>
      </c>
      <c r="G10" s="73">
        <v>6</v>
      </c>
      <c r="H10" s="76">
        <v>7</v>
      </c>
      <c r="I10" s="76">
        <v>8</v>
      </c>
      <c r="J10" s="76">
        <v>9</v>
      </c>
      <c r="K10" s="76">
        <v>10</v>
      </c>
      <c r="L10" s="76">
        <v>11</v>
      </c>
      <c r="M10" s="76">
        <v>12</v>
      </c>
      <c r="N10" s="76">
        <v>13</v>
      </c>
      <c r="O10" s="75">
        <v>14</v>
      </c>
      <c r="Q10" s="168" t="s">
        <v>158</v>
      </c>
      <c r="R10" s="168"/>
      <c r="S10" s="168"/>
      <c r="T10" s="97"/>
      <c r="U10" s="97"/>
      <c r="V10" s="97"/>
    </row>
    <row r="11" spans="2:28" x14ac:dyDescent="0.35">
      <c r="B11" s="100">
        <v>450</v>
      </c>
      <c r="C11" s="99">
        <v>10000</v>
      </c>
      <c r="D11" s="99"/>
      <c r="F11" s="57">
        <v>0</v>
      </c>
      <c r="G11" s="67">
        <f t="shared" ref="G11:O11" si="0">G3/SUM(G$3:G$8)</f>
        <v>0</v>
      </c>
      <c r="H11" s="67">
        <f t="shared" si="0"/>
        <v>6.0882800608828003E-3</v>
      </c>
      <c r="I11" s="67">
        <f t="shared" si="0"/>
        <v>2.9717682020802376E-2</v>
      </c>
      <c r="J11" s="67">
        <f t="shared" si="0"/>
        <v>5.772005772005772E-2</v>
      </c>
      <c r="K11" s="67">
        <f t="shared" si="0"/>
        <v>7.8984485190409029E-2</v>
      </c>
      <c r="L11" s="67">
        <f t="shared" si="0"/>
        <v>8.4507042253521125E-2</v>
      </c>
      <c r="M11" s="67">
        <f t="shared" si="0"/>
        <v>0.1388888888888889</v>
      </c>
      <c r="N11" s="67">
        <f t="shared" si="0"/>
        <v>0.24242424242424243</v>
      </c>
      <c r="O11" s="67">
        <f t="shared" si="0"/>
        <v>0.42307692307692307</v>
      </c>
      <c r="Q11" s="102" t="s">
        <v>153</v>
      </c>
      <c r="R11" s="102"/>
      <c r="S11" s="102"/>
      <c r="T11" s="99"/>
      <c r="U11" s="97"/>
      <c r="V11" s="98"/>
      <c r="X11" s="102" t="s">
        <v>159</v>
      </c>
      <c r="Y11" s="102"/>
      <c r="Z11" s="102"/>
    </row>
    <row r="12" spans="2:28" x14ac:dyDescent="0.35">
      <c r="B12" s="100">
        <v>500</v>
      </c>
      <c r="C12" s="99">
        <v>10000</v>
      </c>
      <c r="D12" s="99"/>
      <c r="F12" s="57">
        <v>1</v>
      </c>
      <c r="G12" s="66">
        <f t="shared" ref="G12:O12" si="1">G4/SUM(G$3:G$8)</f>
        <v>0.45941807044410415</v>
      </c>
      <c r="H12" s="66">
        <f t="shared" si="1"/>
        <v>0.45662100456621002</v>
      </c>
      <c r="I12" s="66">
        <f t="shared" si="1"/>
        <v>0.44576523031203569</v>
      </c>
      <c r="J12" s="66">
        <f t="shared" si="1"/>
        <v>0.4329004329004329</v>
      </c>
      <c r="K12" s="66">
        <f t="shared" si="1"/>
        <v>0.42313117066290551</v>
      </c>
      <c r="L12" s="66">
        <f t="shared" si="1"/>
        <v>0.42253521126760563</v>
      </c>
      <c r="M12" s="66">
        <f t="shared" si="1"/>
        <v>0.41666666666666669</v>
      </c>
      <c r="N12" s="66">
        <f t="shared" si="1"/>
        <v>0.45454545454545453</v>
      </c>
      <c r="O12" s="66">
        <f t="shared" si="1"/>
        <v>0.57692307692307687</v>
      </c>
      <c r="Q12" s="100" t="s">
        <v>3</v>
      </c>
      <c r="R12" s="97">
        <v>1</v>
      </c>
      <c r="S12" s="97"/>
      <c r="T12" s="99"/>
      <c r="U12" s="97"/>
      <c r="V12" s="98"/>
      <c r="X12" s="100" t="s">
        <v>3</v>
      </c>
      <c r="Y12" s="97">
        <v>1</v>
      </c>
      <c r="Z12" s="97"/>
      <c r="AA12" s="99"/>
      <c r="AB12" s="97"/>
    </row>
    <row r="13" spans="2:28" x14ac:dyDescent="0.35">
      <c r="B13" s="100">
        <v>550</v>
      </c>
      <c r="C13" s="99">
        <v>10000</v>
      </c>
      <c r="D13" s="99"/>
      <c r="F13" s="57">
        <v>2</v>
      </c>
      <c r="G13" s="66">
        <f t="shared" ref="G13:O13" si="2">G5/SUM(G$3:G$8)</f>
        <v>0.30627871362940273</v>
      </c>
      <c r="H13" s="66">
        <f t="shared" si="2"/>
        <v>0.30441400304414001</v>
      </c>
      <c r="I13" s="66">
        <f t="shared" si="2"/>
        <v>0.29717682020802377</v>
      </c>
      <c r="J13" s="66">
        <f t="shared" si="2"/>
        <v>0.28860028860028858</v>
      </c>
      <c r="K13" s="66">
        <f t="shared" si="2"/>
        <v>0.28208744710860367</v>
      </c>
      <c r="L13" s="66">
        <f t="shared" si="2"/>
        <v>0.28169014084507044</v>
      </c>
      <c r="M13" s="66">
        <f t="shared" si="2"/>
        <v>0.27777777777777779</v>
      </c>
      <c r="N13" s="66">
        <f t="shared" si="2"/>
        <v>0.30303030303030304</v>
      </c>
      <c r="O13" s="66">
        <f t="shared" si="2"/>
        <v>0</v>
      </c>
      <c r="Q13" s="103" t="s">
        <v>148</v>
      </c>
      <c r="R13" s="103" t="s">
        <v>154</v>
      </c>
      <c r="S13" s="103" t="s">
        <v>155</v>
      </c>
      <c r="T13" s="103" t="s">
        <v>156</v>
      </c>
      <c r="U13" s="103" t="s">
        <v>157</v>
      </c>
      <c r="X13" s="114" t="s">
        <v>148</v>
      </c>
      <c r="Y13" s="114" t="s">
        <v>154</v>
      </c>
      <c r="Z13" s="114" t="s">
        <v>155</v>
      </c>
      <c r="AA13" s="114" t="s">
        <v>156</v>
      </c>
      <c r="AB13" s="114" t="s">
        <v>157</v>
      </c>
    </row>
    <row r="14" spans="2:28" x14ac:dyDescent="0.35">
      <c r="B14" s="100">
        <v>600</v>
      </c>
      <c r="C14" s="99">
        <v>10000</v>
      </c>
      <c r="D14" s="99"/>
      <c r="F14" s="57">
        <v>3</v>
      </c>
      <c r="G14" s="66">
        <f t="shared" ref="G14:O14" si="3">G6/SUM(G$3:G$8)</f>
        <v>0.18376722817764166</v>
      </c>
      <c r="H14" s="66">
        <f t="shared" si="3"/>
        <v>0.18264840182648401</v>
      </c>
      <c r="I14" s="66">
        <f t="shared" si="3"/>
        <v>0.17830609212481427</v>
      </c>
      <c r="J14" s="66">
        <f t="shared" si="3"/>
        <v>0.17316017316017315</v>
      </c>
      <c r="K14" s="66">
        <f t="shared" si="3"/>
        <v>0.16925246826516219</v>
      </c>
      <c r="L14" s="66">
        <f t="shared" si="3"/>
        <v>0.16901408450704225</v>
      </c>
      <c r="M14" s="66">
        <f t="shared" si="3"/>
        <v>0.16666666666666666</v>
      </c>
      <c r="N14" s="66">
        <f t="shared" si="3"/>
        <v>0</v>
      </c>
      <c r="O14" s="66">
        <f t="shared" si="3"/>
        <v>0</v>
      </c>
      <c r="Q14" s="104">
        <v>50</v>
      </c>
      <c r="R14" s="105">
        <v>50000000</v>
      </c>
      <c r="S14" s="105">
        <v>10000000</v>
      </c>
      <c r="T14" s="105">
        <v>138900000</v>
      </c>
      <c r="U14" s="105">
        <v>1000000</v>
      </c>
      <c r="X14" s="115">
        <v>50</v>
      </c>
      <c r="Y14" s="116">
        <v>427263761</v>
      </c>
      <c r="Z14" s="116">
        <v>278200000</v>
      </c>
      <c r="AA14" s="116">
        <v>138900000</v>
      </c>
      <c r="AB14" s="116">
        <v>80000000</v>
      </c>
    </row>
    <row r="15" spans="2:28" x14ac:dyDescent="0.35">
      <c r="B15" s="100">
        <v>650</v>
      </c>
      <c r="C15" s="99">
        <v>10000</v>
      </c>
      <c r="D15" s="99"/>
      <c r="F15" s="57">
        <v>4</v>
      </c>
      <c r="G15" s="66">
        <f t="shared" ref="G15:O15" si="4">G7/SUM(G$3:G$8)</f>
        <v>4.5941807044410414E-2</v>
      </c>
      <c r="H15" s="66">
        <f t="shared" si="4"/>
        <v>4.5662100456621002E-2</v>
      </c>
      <c r="I15" s="66">
        <f t="shared" si="4"/>
        <v>4.4576523031203567E-2</v>
      </c>
      <c r="J15" s="66">
        <f t="shared" si="4"/>
        <v>4.3290043290043288E-2</v>
      </c>
      <c r="K15" s="66">
        <f t="shared" si="4"/>
        <v>4.2313117066290547E-2</v>
      </c>
      <c r="L15" s="66">
        <f t="shared" si="4"/>
        <v>4.2253521126760563E-2</v>
      </c>
      <c r="M15" s="66">
        <f t="shared" si="4"/>
        <v>0</v>
      </c>
      <c r="N15" s="66">
        <f t="shared" si="4"/>
        <v>0</v>
      </c>
      <c r="O15" s="66">
        <f t="shared" si="4"/>
        <v>0</v>
      </c>
      <c r="Q15" s="104">
        <v>100</v>
      </c>
      <c r="R15" s="105">
        <v>326921600</v>
      </c>
      <c r="S15" s="105">
        <v>245552961</v>
      </c>
      <c r="T15" s="105">
        <v>255910937</v>
      </c>
      <c r="U15" s="105">
        <v>135660000</v>
      </c>
      <c r="X15" s="115">
        <v>100</v>
      </c>
      <c r="Y15" s="116">
        <v>437142271</v>
      </c>
      <c r="Z15" s="116">
        <v>622161315</v>
      </c>
      <c r="AA15" s="116">
        <v>298341390</v>
      </c>
      <c r="AB15" s="116">
        <v>582300000</v>
      </c>
    </row>
    <row r="16" spans="2:28" ht="15" thickBot="1" x14ac:dyDescent="0.4">
      <c r="B16" s="100">
        <v>700</v>
      </c>
      <c r="C16" s="99">
        <v>10000</v>
      </c>
      <c r="D16" s="99"/>
      <c r="F16" s="64">
        <v>5</v>
      </c>
      <c r="G16" s="62">
        <f t="shared" ref="G16:O16" si="5">G8/SUM(G$3:G$8)</f>
        <v>4.5941807044410417E-3</v>
      </c>
      <c r="H16" s="62">
        <f t="shared" si="5"/>
        <v>4.5662100456621002E-3</v>
      </c>
      <c r="I16" s="62">
        <f t="shared" si="5"/>
        <v>4.4576523031203564E-3</v>
      </c>
      <c r="J16" s="62">
        <f t="shared" si="5"/>
        <v>4.329004329004329E-3</v>
      </c>
      <c r="K16" s="62">
        <f t="shared" si="5"/>
        <v>4.2313117066290554E-3</v>
      </c>
      <c r="L16" s="62">
        <f t="shared" si="5"/>
        <v>0</v>
      </c>
      <c r="M16" s="62">
        <f t="shared" si="5"/>
        <v>0</v>
      </c>
      <c r="N16" s="62">
        <f t="shared" si="5"/>
        <v>0</v>
      </c>
      <c r="O16" s="62">
        <f t="shared" si="5"/>
        <v>0</v>
      </c>
      <c r="Q16" s="104">
        <v>150</v>
      </c>
      <c r="R16" s="105">
        <v>228748210</v>
      </c>
      <c r="S16" s="105">
        <v>295727026</v>
      </c>
      <c r="T16" s="105">
        <v>58069042</v>
      </c>
      <c r="U16" s="105">
        <v>300700000</v>
      </c>
      <c r="X16" s="115">
        <v>150</v>
      </c>
      <c r="Y16" s="116">
        <v>62859644</v>
      </c>
      <c r="Z16" s="116">
        <v>10600158</v>
      </c>
      <c r="AA16" s="116">
        <v>298449356</v>
      </c>
      <c r="AB16" s="116">
        <v>139540000</v>
      </c>
    </row>
    <row r="17" spans="1:30" ht="15" thickBot="1" x14ac:dyDescent="0.4">
      <c r="B17" s="100">
        <v>750</v>
      </c>
      <c r="C17" s="99">
        <v>10000</v>
      </c>
      <c r="D17" s="99"/>
      <c r="Q17" s="104">
        <v>200</v>
      </c>
      <c r="R17" s="105">
        <v>80000000</v>
      </c>
      <c r="S17" s="105">
        <v>1000000</v>
      </c>
      <c r="T17" s="105">
        <v>10000000</v>
      </c>
      <c r="U17" s="105">
        <v>1000000</v>
      </c>
      <c r="X17" s="115">
        <v>200</v>
      </c>
      <c r="Y17" s="116">
        <v>30000000</v>
      </c>
      <c r="Z17" s="116">
        <v>20000000</v>
      </c>
      <c r="AA17" s="116">
        <v>150000000</v>
      </c>
      <c r="AB17" s="116">
        <v>30000000</v>
      </c>
    </row>
    <row r="18" spans="1:30" ht="15" thickBot="1" x14ac:dyDescent="0.4">
      <c r="B18" s="100">
        <v>800</v>
      </c>
      <c r="C18" s="99">
        <v>10000</v>
      </c>
      <c r="D18" s="99"/>
      <c r="F18" s="37" t="s">
        <v>48</v>
      </c>
      <c r="G18" s="68">
        <f>SUMPRODUCT($F$12:$F$16,G12:G16)</f>
        <v>1.8300153139356816</v>
      </c>
      <c r="H18" s="70">
        <f t="shared" ref="H18:O18" si="6">SUMPRODUCT($F$12:$F$16,H12:H16)</f>
        <v>1.8188736681887365</v>
      </c>
      <c r="I18" s="70">
        <f t="shared" si="6"/>
        <v>1.7756315007429422</v>
      </c>
      <c r="J18" s="70">
        <f t="shared" si="6"/>
        <v>1.7243867243867241</v>
      </c>
      <c r="K18" s="70">
        <f t="shared" si="6"/>
        <v>1.6854724964739067</v>
      </c>
      <c r="L18" s="70">
        <f t="shared" si="6"/>
        <v>1.6619718309859155</v>
      </c>
      <c r="M18" s="70">
        <f t="shared" si="6"/>
        <v>1.4722222222222223</v>
      </c>
      <c r="N18" s="70">
        <f t="shared" si="6"/>
        <v>1.0606060606060606</v>
      </c>
      <c r="O18" s="61">
        <f t="shared" si="6"/>
        <v>0.57692307692307687</v>
      </c>
      <c r="Q18" s="104">
        <v>250</v>
      </c>
      <c r="R18" s="105">
        <v>100000000</v>
      </c>
      <c r="S18" s="105">
        <v>150000000</v>
      </c>
      <c r="T18" s="105">
        <v>30000000</v>
      </c>
      <c r="U18" s="105">
        <v>1000000</v>
      </c>
      <c r="X18" s="115">
        <v>250</v>
      </c>
      <c r="Y18" s="116">
        <v>10000000</v>
      </c>
      <c r="Z18" s="116">
        <v>10000000</v>
      </c>
      <c r="AA18" s="116">
        <v>30000000</v>
      </c>
      <c r="AB18" s="116">
        <v>80000000</v>
      </c>
    </row>
    <row r="19" spans="1:30" ht="15" thickBot="1" x14ac:dyDescent="0.4">
      <c r="B19" s="104">
        <v>50000</v>
      </c>
      <c r="C19" s="99">
        <v>107</v>
      </c>
      <c r="F19"/>
      <c r="G19"/>
      <c r="H19"/>
      <c r="I19"/>
      <c r="J19"/>
      <c r="K19"/>
      <c r="L19"/>
      <c r="M19"/>
      <c r="N19"/>
      <c r="O19"/>
      <c r="Q19" s="104">
        <v>300</v>
      </c>
      <c r="R19" s="105">
        <v>100000000</v>
      </c>
      <c r="S19" s="105">
        <v>150000000</v>
      </c>
      <c r="T19" s="105">
        <v>120000000</v>
      </c>
      <c r="U19" s="105">
        <v>110000000</v>
      </c>
      <c r="X19" s="115">
        <v>300</v>
      </c>
      <c r="Y19" s="116">
        <v>10000000</v>
      </c>
      <c r="Z19" s="116">
        <v>5000000</v>
      </c>
      <c r="AA19" s="116">
        <v>10000000</v>
      </c>
      <c r="AB19" s="116">
        <v>15000000</v>
      </c>
    </row>
    <row r="20" spans="1:30" ht="15" thickBot="1" x14ac:dyDescent="0.4">
      <c r="B20" s="104">
        <v>2500</v>
      </c>
      <c r="C20" s="99">
        <v>833</v>
      </c>
      <c r="F20" s="82" t="s">
        <v>49</v>
      </c>
      <c r="G20" s="65" t="s">
        <v>46</v>
      </c>
      <c r="H20" s="65" t="s">
        <v>46</v>
      </c>
      <c r="I20" s="65" t="s">
        <v>46</v>
      </c>
      <c r="J20" s="65" t="s">
        <v>46</v>
      </c>
      <c r="K20" s="65" t="s">
        <v>46</v>
      </c>
      <c r="L20" s="65" t="s">
        <v>46</v>
      </c>
      <c r="M20" s="65" t="s">
        <v>46</v>
      </c>
      <c r="N20" s="65" t="s">
        <v>46</v>
      </c>
      <c r="O20" s="65" t="s">
        <v>46</v>
      </c>
      <c r="Q20" s="104">
        <v>350</v>
      </c>
      <c r="R20" s="105">
        <v>80000000</v>
      </c>
      <c r="S20" s="105">
        <v>80000000</v>
      </c>
      <c r="T20" s="105">
        <v>120000000</v>
      </c>
      <c r="U20" s="105">
        <v>150000000</v>
      </c>
      <c r="X20" s="115">
        <v>350</v>
      </c>
      <c r="Y20" s="116">
        <v>7385000</v>
      </c>
      <c r="Z20" s="116">
        <v>5000000</v>
      </c>
      <c r="AA20" s="116">
        <v>8000000</v>
      </c>
      <c r="AB20" s="116">
        <v>1000000</v>
      </c>
    </row>
    <row r="21" spans="1:30" x14ac:dyDescent="0.35">
      <c r="B21" s="104">
        <v>1000</v>
      </c>
      <c r="C21" s="99">
        <v>1133</v>
      </c>
      <c r="F21" s="80">
        <v>1</v>
      </c>
      <c r="G21" s="69">
        <v>50</v>
      </c>
      <c r="H21" s="69">
        <v>50</v>
      </c>
      <c r="I21" s="69">
        <v>50</v>
      </c>
      <c r="J21" s="69">
        <v>50</v>
      </c>
      <c r="K21" s="69">
        <v>50</v>
      </c>
      <c r="L21" s="69">
        <v>50</v>
      </c>
      <c r="M21" s="69">
        <v>50</v>
      </c>
      <c r="N21" s="69">
        <v>50</v>
      </c>
      <c r="O21" s="74">
        <v>50</v>
      </c>
      <c r="Q21" s="104">
        <v>400</v>
      </c>
      <c r="R21" s="105">
        <v>5000000</v>
      </c>
      <c r="S21" s="105">
        <v>20000000</v>
      </c>
      <c r="T21" s="105">
        <v>150000000</v>
      </c>
      <c r="U21" s="105">
        <v>200000000</v>
      </c>
      <c r="X21" s="115">
        <v>400</v>
      </c>
      <c r="Y21" s="116">
        <v>1000000</v>
      </c>
      <c r="Z21" s="116">
        <v>3000000</v>
      </c>
      <c r="AA21" s="116">
        <v>5000000</v>
      </c>
      <c r="AB21" s="116">
        <v>1000000</v>
      </c>
    </row>
    <row r="22" spans="1:30" x14ac:dyDescent="0.35">
      <c r="F22" s="79">
        <v>2</v>
      </c>
      <c r="G22" s="77">
        <v>35</v>
      </c>
      <c r="H22" s="77">
        <v>35</v>
      </c>
      <c r="I22" s="77">
        <v>35</v>
      </c>
      <c r="J22" s="77">
        <v>35</v>
      </c>
      <c r="K22" s="77">
        <v>35</v>
      </c>
      <c r="L22" s="77">
        <v>35</v>
      </c>
      <c r="M22" s="77">
        <v>35</v>
      </c>
      <c r="N22" s="77">
        <v>35</v>
      </c>
      <c r="O22" s="71">
        <v>35</v>
      </c>
      <c r="Q22" s="104">
        <v>450</v>
      </c>
      <c r="R22" s="105">
        <v>20000000</v>
      </c>
      <c r="S22" s="105">
        <v>10000000</v>
      </c>
      <c r="T22" s="105">
        <v>50000000</v>
      </c>
      <c r="U22" s="105">
        <v>50000000</v>
      </c>
      <c r="X22" s="115">
        <v>450</v>
      </c>
      <c r="Y22" s="116">
        <v>1000000</v>
      </c>
      <c r="Z22" s="116">
        <v>3000000</v>
      </c>
      <c r="AA22" s="116">
        <v>3000000</v>
      </c>
      <c r="AB22" s="116">
        <v>10000</v>
      </c>
    </row>
    <row r="23" spans="1:30" ht="15" thickBot="1" x14ac:dyDescent="0.4">
      <c r="A23" s="95"/>
      <c r="B23" s="100" t="s">
        <v>146</v>
      </c>
      <c r="C23"/>
      <c r="F23" s="81">
        <v>3</v>
      </c>
      <c r="G23" s="78">
        <v>15</v>
      </c>
      <c r="H23" s="78">
        <v>15</v>
      </c>
      <c r="I23" s="78">
        <v>15</v>
      </c>
      <c r="J23" s="78">
        <v>15</v>
      </c>
      <c r="K23" s="78">
        <v>15</v>
      </c>
      <c r="L23" s="78">
        <v>15</v>
      </c>
      <c r="M23" s="78">
        <v>15</v>
      </c>
      <c r="N23" s="78">
        <v>15</v>
      </c>
      <c r="O23" s="72">
        <v>15</v>
      </c>
      <c r="Q23" s="104">
        <v>500</v>
      </c>
      <c r="R23" s="105">
        <v>1000000</v>
      </c>
      <c r="S23" s="105">
        <v>10000000</v>
      </c>
      <c r="T23" s="105">
        <v>20000000</v>
      </c>
      <c r="U23" s="105">
        <v>10000000</v>
      </c>
      <c r="X23" s="115">
        <v>500</v>
      </c>
      <c r="Y23" s="116">
        <v>5000000</v>
      </c>
      <c r="Z23" s="116">
        <v>1000000</v>
      </c>
      <c r="AA23" s="116">
        <v>3000000</v>
      </c>
      <c r="AB23" s="116">
        <v>500000</v>
      </c>
    </row>
    <row r="24" spans="1:30" x14ac:dyDescent="0.35">
      <c r="B24" s="97" t="s">
        <v>147</v>
      </c>
      <c r="C24"/>
      <c r="Q24" s="104">
        <v>550</v>
      </c>
      <c r="R24" s="105">
        <v>5000000</v>
      </c>
      <c r="S24" s="105">
        <v>1000000</v>
      </c>
      <c r="T24" s="105">
        <v>1000000</v>
      </c>
      <c r="U24" s="105">
        <v>10000000</v>
      </c>
      <c r="X24" s="115">
        <v>550</v>
      </c>
      <c r="Y24" s="116">
        <v>5000000</v>
      </c>
      <c r="Z24" s="116">
        <v>1000000</v>
      </c>
      <c r="AA24" s="116">
        <v>1000000</v>
      </c>
      <c r="AB24" s="116">
        <v>10000</v>
      </c>
    </row>
    <row r="25" spans="1:30" x14ac:dyDescent="0.35">
      <c r="B25" s="97" t="s">
        <v>148</v>
      </c>
      <c r="C25" s="97" t="s">
        <v>53</v>
      </c>
      <c r="Q25" s="104">
        <v>600</v>
      </c>
      <c r="R25" s="105">
        <v>3000000</v>
      </c>
      <c r="S25" s="105">
        <v>2000000</v>
      </c>
      <c r="T25" s="105">
        <v>1000000</v>
      </c>
      <c r="U25" s="105">
        <v>500000</v>
      </c>
      <c r="X25" s="115">
        <v>600</v>
      </c>
      <c r="Y25" s="116">
        <v>3000000</v>
      </c>
      <c r="Z25" s="116">
        <v>2000000</v>
      </c>
      <c r="AA25" s="116">
        <v>1000000</v>
      </c>
      <c r="AB25" s="116">
        <v>500000</v>
      </c>
    </row>
    <row r="26" spans="1:30" x14ac:dyDescent="0.35">
      <c r="B26" s="100">
        <v>50</v>
      </c>
      <c r="C26" s="99">
        <v>355000000</v>
      </c>
      <c r="Q26" s="104">
        <v>650</v>
      </c>
      <c r="R26" s="105">
        <v>100000</v>
      </c>
      <c r="S26" s="105">
        <v>12000000</v>
      </c>
      <c r="T26" s="105">
        <v>2000000</v>
      </c>
      <c r="U26" s="105">
        <v>10000</v>
      </c>
      <c r="X26" s="115">
        <v>650</v>
      </c>
      <c r="Y26" s="116">
        <v>100000</v>
      </c>
      <c r="Z26" s="116">
        <v>12000000</v>
      </c>
      <c r="AA26" s="116">
        <v>2000000</v>
      </c>
      <c r="AB26" s="116">
        <v>10000</v>
      </c>
    </row>
    <row r="27" spans="1:30" x14ac:dyDescent="0.35">
      <c r="B27" s="100">
        <v>100</v>
      </c>
      <c r="C27" s="99">
        <v>226738846</v>
      </c>
      <c r="Q27" s="104">
        <v>700</v>
      </c>
      <c r="R27" s="105">
        <v>100000</v>
      </c>
      <c r="S27" s="105">
        <v>1050000</v>
      </c>
      <c r="T27" s="105">
        <v>12000000</v>
      </c>
      <c r="U27" s="105">
        <v>10000</v>
      </c>
      <c r="X27" s="115">
        <v>700</v>
      </c>
      <c r="Y27" s="116">
        <v>100000</v>
      </c>
      <c r="Z27" s="116">
        <v>1050000</v>
      </c>
      <c r="AA27" s="116">
        <v>12000000</v>
      </c>
      <c r="AB27" s="116">
        <v>10000</v>
      </c>
    </row>
    <row r="28" spans="1:30" x14ac:dyDescent="0.35">
      <c r="B28" s="100">
        <v>150</v>
      </c>
      <c r="C28" s="99">
        <v>310836181</v>
      </c>
      <c r="Q28" s="104">
        <v>750</v>
      </c>
      <c r="R28" s="105">
        <v>100000</v>
      </c>
      <c r="S28" s="105">
        <v>700000</v>
      </c>
      <c r="T28" s="105">
        <v>1050000</v>
      </c>
      <c r="U28" s="105">
        <v>10000</v>
      </c>
      <c r="X28" s="115">
        <v>750</v>
      </c>
      <c r="Y28" s="116">
        <v>100000</v>
      </c>
      <c r="Z28" s="116">
        <v>700000</v>
      </c>
      <c r="AA28" s="116">
        <v>1050000</v>
      </c>
      <c r="AB28" s="116">
        <v>10000</v>
      </c>
    </row>
    <row r="29" spans="1:30" x14ac:dyDescent="0.35">
      <c r="B29" s="100">
        <v>200</v>
      </c>
      <c r="C29" s="99">
        <v>20000000</v>
      </c>
      <c r="Q29" s="104">
        <v>800</v>
      </c>
      <c r="R29" s="105">
        <v>10000</v>
      </c>
      <c r="S29" s="105">
        <v>500000</v>
      </c>
      <c r="T29" s="105">
        <v>700000</v>
      </c>
      <c r="U29" s="105">
        <v>10000</v>
      </c>
      <c r="X29" s="115">
        <v>800</v>
      </c>
      <c r="Y29" s="116">
        <v>10000</v>
      </c>
      <c r="Z29" s="116">
        <v>500000</v>
      </c>
      <c r="AA29" s="116">
        <v>700000</v>
      </c>
      <c r="AB29" s="116">
        <v>10000</v>
      </c>
      <c r="AD29" s="37" t="s">
        <v>245</v>
      </c>
    </row>
    <row r="30" spans="1:30" x14ac:dyDescent="0.35">
      <c r="B30" s="100">
        <v>250</v>
      </c>
      <c r="C30" s="99">
        <v>20000000</v>
      </c>
      <c r="P30" s="37" t="s">
        <v>149</v>
      </c>
      <c r="Q30" s="104">
        <v>50000</v>
      </c>
      <c r="R30" s="105">
        <v>10</v>
      </c>
      <c r="S30" s="105">
        <v>13</v>
      </c>
      <c r="T30" s="105">
        <v>21</v>
      </c>
      <c r="U30" s="105">
        <v>100000</v>
      </c>
      <c r="X30" s="115">
        <v>50000</v>
      </c>
      <c r="Y30" s="116">
        <v>428</v>
      </c>
      <c r="Z30" s="116">
        <v>48186</v>
      </c>
      <c r="AA30" s="116">
        <v>73838</v>
      </c>
      <c r="AB30" s="116">
        <v>100000</v>
      </c>
      <c r="AD30" s="37">
        <v>500</v>
      </c>
    </row>
    <row r="31" spans="1:30" x14ac:dyDescent="0.35">
      <c r="B31" s="100">
        <v>300</v>
      </c>
      <c r="C31" s="99">
        <v>15000000</v>
      </c>
      <c r="P31" s="37" t="s">
        <v>150</v>
      </c>
      <c r="Q31" s="104">
        <v>2500</v>
      </c>
      <c r="R31" s="105">
        <v>4619</v>
      </c>
      <c r="S31" s="105">
        <v>470000</v>
      </c>
      <c r="T31" s="105">
        <v>790000</v>
      </c>
      <c r="U31" s="105">
        <v>10000000</v>
      </c>
      <c r="X31" s="115">
        <v>2500</v>
      </c>
      <c r="Y31" s="116">
        <v>20393</v>
      </c>
      <c r="Z31" s="116">
        <v>2082798</v>
      </c>
      <c r="AA31" s="116">
        <v>3499101</v>
      </c>
      <c r="AB31" s="116">
        <v>20000000</v>
      </c>
      <c r="AD31" s="37">
        <v>250</v>
      </c>
    </row>
    <row r="32" spans="1:30" x14ac:dyDescent="0.35">
      <c r="B32" s="100">
        <v>350</v>
      </c>
      <c r="C32" s="99">
        <v>5000000</v>
      </c>
      <c r="P32" s="37" t="s">
        <v>151</v>
      </c>
      <c r="Q32" s="104">
        <v>1000</v>
      </c>
      <c r="R32" s="105">
        <v>15561</v>
      </c>
      <c r="S32" s="105">
        <v>10000000</v>
      </c>
      <c r="T32" s="105">
        <v>28580000</v>
      </c>
      <c r="U32" s="105">
        <v>20000000</v>
      </c>
      <c r="X32" s="115">
        <v>1000</v>
      </c>
      <c r="Y32" s="116">
        <v>18503</v>
      </c>
      <c r="Z32" s="116">
        <v>22657543</v>
      </c>
      <c r="AA32" s="116">
        <v>33986315</v>
      </c>
      <c r="AB32" s="116">
        <v>50000000</v>
      </c>
      <c r="AD32" s="37">
        <v>10</v>
      </c>
    </row>
    <row r="33" spans="2:35" x14ac:dyDescent="0.35">
      <c r="B33" s="100">
        <v>400</v>
      </c>
      <c r="C33" s="99">
        <v>1000000</v>
      </c>
    </row>
    <row r="34" spans="2:35" x14ac:dyDescent="0.35">
      <c r="B34" s="100">
        <v>450</v>
      </c>
      <c r="C34" s="99">
        <v>5000000</v>
      </c>
    </row>
    <row r="35" spans="2:35" x14ac:dyDescent="0.35">
      <c r="B35" s="100">
        <v>500</v>
      </c>
      <c r="C35" s="99">
        <v>1000000</v>
      </c>
    </row>
    <row r="36" spans="2:35" ht="15" thickBot="1" x14ac:dyDescent="0.4">
      <c r="B36" s="100">
        <v>550</v>
      </c>
      <c r="C36" s="99">
        <v>5000000</v>
      </c>
      <c r="Q36" s="101" t="s">
        <v>160</v>
      </c>
      <c r="R36" s="97"/>
    </row>
    <row r="37" spans="2:35" x14ac:dyDescent="0.35">
      <c r="B37" s="100">
        <v>600</v>
      </c>
      <c r="C37" s="99">
        <v>1000000</v>
      </c>
      <c r="Q37" s="97" t="s">
        <v>148</v>
      </c>
      <c r="R37" s="97" t="s">
        <v>53</v>
      </c>
      <c r="T37" s="101" t="s">
        <v>233</v>
      </c>
      <c r="U37" s="97"/>
      <c r="W37" s="97" t="s">
        <v>234</v>
      </c>
      <c r="X37" s="145" t="s">
        <v>235</v>
      </c>
      <c r="Y37" s="146" t="s">
        <v>236</v>
      </c>
      <c r="Z37" s="154" t="s">
        <v>237</v>
      </c>
      <c r="AA37" s="154"/>
      <c r="AB37" s="155"/>
    </row>
    <row r="38" spans="2:35" x14ac:dyDescent="0.35">
      <c r="B38" s="100">
        <v>650</v>
      </c>
      <c r="C38" s="99">
        <v>5000000</v>
      </c>
      <c r="Q38" s="115">
        <v>1</v>
      </c>
      <c r="R38" s="116">
        <v>790000000</v>
      </c>
      <c r="T38" s="97" t="s">
        <v>148</v>
      </c>
      <c r="U38" s="143" t="s">
        <v>53</v>
      </c>
      <c r="W38" s="97" t="s">
        <v>238</v>
      </c>
      <c r="X38" s="149"/>
      <c r="Y38" s="147"/>
      <c r="Z38" s="147"/>
      <c r="AA38" s="147" t="s">
        <v>239</v>
      </c>
      <c r="AB38" s="150"/>
    </row>
    <row r="39" spans="2:35" ht="15" thickBot="1" x14ac:dyDescent="0.4">
      <c r="B39" s="100">
        <v>700</v>
      </c>
      <c r="C39" s="99">
        <v>1000000</v>
      </c>
      <c r="Q39" s="115">
        <v>2</v>
      </c>
      <c r="R39" s="116">
        <v>150000000</v>
      </c>
      <c r="T39" s="162">
        <v>5</v>
      </c>
      <c r="U39" s="144">
        <v>58638670</v>
      </c>
      <c r="W39" s="97" t="s">
        <v>240</v>
      </c>
      <c r="X39" s="151"/>
      <c r="Y39" s="152"/>
      <c r="Z39" s="152"/>
      <c r="AA39" s="152"/>
      <c r="AB39" s="153"/>
    </row>
    <row r="40" spans="2:35" x14ac:dyDescent="0.35">
      <c r="B40" s="100">
        <v>750</v>
      </c>
      <c r="C40" s="99">
        <v>1050000</v>
      </c>
      <c r="Q40" s="115">
        <v>3</v>
      </c>
      <c r="R40" s="116">
        <v>10000000</v>
      </c>
      <c r="T40" s="163">
        <v>6</v>
      </c>
      <c r="U40" s="144">
        <v>941361330</v>
      </c>
    </row>
    <row r="41" spans="2:35" x14ac:dyDescent="0.35">
      <c r="B41" s="100">
        <v>800</v>
      </c>
      <c r="C41" s="99">
        <v>500000</v>
      </c>
      <c r="Q41" s="104">
        <v>4</v>
      </c>
      <c r="R41" s="105">
        <v>50000000</v>
      </c>
    </row>
    <row r="42" spans="2:35" x14ac:dyDescent="0.35">
      <c r="B42" s="104">
        <v>50000</v>
      </c>
      <c r="C42" s="99">
        <v>51833</v>
      </c>
    </row>
    <row r="43" spans="2:35" x14ac:dyDescent="0.35">
      <c r="B43" s="104">
        <v>2500</v>
      </c>
      <c r="C43" s="99">
        <v>4165597</v>
      </c>
    </row>
    <row r="44" spans="2:35" x14ac:dyDescent="0.35">
      <c r="B44" s="104">
        <v>1000</v>
      </c>
      <c r="C44" s="99">
        <v>22657543</v>
      </c>
      <c r="Q44" t="s">
        <v>161</v>
      </c>
      <c r="R44"/>
      <c r="S44"/>
      <c r="T44"/>
      <c r="U44" t="s">
        <v>162</v>
      </c>
      <c r="V44"/>
      <c r="W44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</row>
    <row r="45" spans="2:35" x14ac:dyDescent="0.35">
      <c r="Q45" s="97" t="s">
        <v>163</v>
      </c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</row>
    <row r="46" spans="2:35" x14ac:dyDescent="0.35">
      <c r="Q46" s="97" t="s">
        <v>164</v>
      </c>
      <c r="R46" s="97" t="s">
        <v>165</v>
      </c>
      <c r="S46" s="97" t="s">
        <v>166</v>
      </c>
      <c r="T46" s="97" t="s">
        <v>167</v>
      </c>
      <c r="U46" s="97"/>
      <c r="V46" s="97" t="s">
        <v>168</v>
      </c>
      <c r="W46" s="97" t="s">
        <v>165</v>
      </c>
      <c r="X46" s="97" t="s">
        <v>166</v>
      </c>
      <c r="Y46" s="97" t="s">
        <v>167</v>
      </c>
      <c r="Z46" s="97"/>
      <c r="AA46" s="97" t="s">
        <v>169</v>
      </c>
      <c r="AB46" s="97" t="s">
        <v>165</v>
      </c>
      <c r="AC46" s="97" t="s">
        <v>166</v>
      </c>
      <c r="AD46" s="97" t="s">
        <v>167</v>
      </c>
      <c r="AE46" s="97"/>
      <c r="AF46" s="97" t="s">
        <v>170</v>
      </c>
      <c r="AG46" s="97" t="s">
        <v>165</v>
      </c>
      <c r="AH46" s="97" t="s">
        <v>166</v>
      </c>
      <c r="AI46" s="97" t="s">
        <v>167</v>
      </c>
    </row>
    <row r="47" spans="2:35" x14ac:dyDescent="0.35">
      <c r="Q47" s="97" t="s">
        <v>171</v>
      </c>
      <c r="R47" s="97" t="s">
        <v>172</v>
      </c>
      <c r="S47" s="97" t="s">
        <v>173</v>
      </c>
      <c r="T47" s="97" t="s">
        <v>174</v>
      </c>
      <c r="U47" s="97"/>
      <c r="V47" s="97" t="s">
        <v>171</v>
      </c>
      <c r="W47" s="147" t="s">
        <v>172</v>
      </c>
      <c r="X47" s="97" t="s">
        <v>173</v>
      </c>
      <c r="Y47" s="97" t="s">
        <v>174</v>
      </c>
      <c r="Z47" s="97"/>
      <c r="AA47" s="97" t="s">
        <v>171</v>
      </c>
      <c r="AB47" s="97" t="s">
        <v>172</v>
      </c>
      <c r="AC47" s="97" t="s">
        <v>173</v>
      </c>
      <c r="AD47" s="97" t="s">
        <v>174</v>
      </c>
      <c r="AE47" s="97"/>
      <c r="AF47" s="97" t="s">
        <v>171</v>
      </c>
      <c r="AG47" s="97" t="s">
        <v>172</v>
      </c>
      <c r="AH47" s="97" t="s">
        <v>173</v>
      </c>
      <c r="AI47" s="97" t="s">
        <v>174</v>
      </c>
    </row>
    <row r="48" spans="2:35" x14ac:dyDescent="0.35">
      <c r="Q48" s="97">
        <v>1</v>
      </c>
      <c r="R48" s="99">
        <v>818000</v>
      </c>
      <c r="S48" s="99">
        <v>818000</v>
      </c>
      <c r="T48" s="99">
        <v>10000000</v>
      </c>
      <c r="U48" s="97"/>
      <c r="V48" s="97">
        <f>Q48</f>
        <v>1</v>
      </c>
      <c r="W48" s="148">
        <v>818000</v>
      </c>
      <c r="X48" s="99">
        <v>818000</v>
      </c>
      <c r="Y48" s="99">
        <v>10000000</v>
      </c>
      <c r="Z48" s="97"/>
      <c r="AA48" s="97">
        <f>V48</f>
        <v>1</v>
      </c>
      <c r="AB48" s="99">
        <v>818000</v>
      </c>
      <c r="AC48" s="99">
        <v>818000</v>
      </c>
      <c r="AD48" s="99">
        <v>10000000</v>
      </c>
      <c r="AE48" s="97"/>
      <c r="AF48" s="97">
        <f>AA48</f>
        <v>1</v>
      </c>
      <c r="AG48" s="99">
        <v>818000</v>
      </c>
      <c r="AH48" s="99">
        <v>818000</v>
      </c>
      <c r="AI48" s="99">
        <v>10000000</v>
      </c>
    </row>
    <row r="49" spans="17:35" x14ac:dyDescent="0.35">
      <c r="Q49" s="97">
        <v>2</v>
      </c>
      <c r="R49" s="99">
        <v>16347000</v>
      </c>
      <c r="S49" s="99">
        <v>16347000</v>
      </c>
      <c r="T49" s="99">
        <v>10000000</v>
      </c>
      <c r="U49" s="97"/>
      <c r="V49" s="97">
        <f t="shared" ref="V49:V53" si="7">Q49</f>
        <v>2</v>
      </c>
      <c r="W49" s="148">
        <v>16347000</v>
      </c>
      <c r="X49" s="99">
        <v>16347000</v>
      </c>
      <c r="Y49" s="99">
        <v>10000000</v>
      </c>
      <c r="Z49" s="97"/>
      <c r="AA49" s="97">
        <f t="shared" ref="AA49:AA53" si="8">V49</f>
        <v>2</v>
      </c>
      <c r="AB49" s="99">
        <v>16347000</v>
      </c>
      <c r="AC49" s="99">
        <v>16347000</v>
      </c>
      <c r="AD49" s="99">
        <v>10000000</v>
      </c>
      <c r="AE49" s="97"/>
      <c r="AF49" s="97">
        <f t="shared" ref="AF49:AF53" si="9">AA49</f>
        <v>2</v>
      </c>
      <c r="AG49" s="99">
        <v>16347000</v>
      </c>
      <c r="AH49" s="99">
        <v>16347000</v>
      </c>
      <c r="AI49" s="99">
        <v>10000000</v>
      </c>
    </row>
    <row r="50" spans="17:35" x14ac:dyDescent="0.35">
      <c r="Q50" s="97">
        <v>3</v>
      </c>
      <c r="R50" s="99">
        <v>535964000</v>
      </c>
      <c r="S50" s="99">
        <v>128545000</v>
      </c>
      <c r="T50" s="99">
        <v>937148000</v>
      </c>
      <c r="U50" s="97"/>
      <c r="V50" s="97">
        <f t="shared" si="7"/>
        <v>3</v>
      </c>
      <c r="W50" s="148">
        <v>617447000</v>
      </c>
      <c r="X50" s="99">
        <v>902640000</v>
      </c>
      <c r="Y50" s="99">
        <v>937148000</v>
      </c>
      <c r="Z50" s="97"/>
      <c r="AA50" s="97">
        <f t="shared" si="8"/>
        <v>3</v>
      </c>
      <c r="AB50" s="99">
        <v>617447000</v>
      </c>
      <c r="AC50" s="99">
        <v>739673000</v>
      </c>
      <c r="AD50" s="99">
        <v>957519000</v>
      </c>
      <c r="AE50" s="97"/>
      <c r="AF50" s="97">
        <f t="shared" si="9"/>
        <v>3</v>
      </c>
      <c r="AG50" s="99">
        <v>617447000</v>
      </c>
      <c r="AH50" s="99">
        <v>739673000</v>
      </c>
      <c r="AI50" s="99">
        <v>957519000</v>
      </c>
    </row>
    <row r="51" spans="17:35" x14ac:dyDescent="0.35">
      <c r="Q51" s="97">
        <v>4</v>
      </c>
      <c r="R51" s="99">
        <v>10000000</v>
      </c>
      <c r="S51" s="99">
        <v>10000000</v>
      </c>
      <c r="T51" s="99">
        <v>10000000</v>
      </c>
      <c r="U51" s="97"/>
      <c r="V51" s="97">
        <f t="shared" si="7"/>
        <v>4</v>
      </c>
      <c r="W51" s="148">
        <v>10000000</v>
      </c>
      <c r="X51" s="99">
        <v>10000000</v>
      </c>
      <c r="Y51" s="99">
        <v>10000000</v>
      </c>
      <c r="Z51" s="97"/>
      <c r="AA51" s="97">
        <f t="shared" si="8"/>
        <v>4</v>
      </c>
      <c r="AB51" s="99">
        <v>10000000</v>
      </c>
      <c r="AC51" s="99">
        <v>10000000</v>
      </c>
      <c r="AD51" s="99">
        <v>10000000</v>
      </c>
      <c r="AE51" s="97"/>
      <c r="AF51" s="97">
        <f t="shared" si="9"/>
        <v>4</v>
      </c>
      <c r="AG51" s="99">
        <v>10000000</v>
      </c>
      <c r="AH51" s="99">
        <v>10000000</v>
      </c>
      <c r="AI51" s="99">
        <v>10000000</v>
      </c>
    </row>
    <row r="52" spans="17:35" x14ac:dyDescent="0.35">
      <c r="Q52" s="97">
        <v>5</v>
      </c>
      <c r="R52" s="99">
        <v>51083000</v>
      </c>
      <c r="S52" s="99">
        <v>51083000</v>
      </c>
      <c r="T52" s="99">
        <v>10000000</v>
      </c>
      <c r="U52" s="97"/>
      <c r="V52" s="97">
        <f t="shared" si="7"/>
        <v>5</v>
      </c>
      <c r="W52" s="148">
        <v>51083000</v>
      </c>
      <c r="X52" s="99">
        <v>51083000</v>
      </c>
      <c r="Y52" s="99">
        <v>10000000</v>
      </c>
      <c r="Z52" s="97"/>
      <c r="AA52" s="97">
        <f t="shared" si="8"/>
        <v>5</v>
      </c>
      <c r="AB52" s="99">
        <v>51083000</v>
      </c>
      <c r="AC52" s="99">
        <v>51083000</v>
      </c>
      <c r="AD52" s="99">
        <v>10000000</v>
      </c>
      <c r="AE52" s="97"/>
      <c r="AF52" s="97">
        <f t="shared" si="9"/>
        <v>5</v>
      </c>
      <c r="AG52" s="99">
        <v>51083000</v>
      </c>
      <c r="AH52" s="99">
        <v>51083000</v>
      </c>
      <c r="AI52" s="99">
        <v>10000000</v>
      </c>
    </row>
    <row r="53" spans="17:35" x14ac:dyDescent="0.35">
      <c r="Q53" s="97">
        <v>8</v>
      </c>
      <c r="R53" s="99">
        <v>385788000</v>
      </c>
      <c r="S53" s="99">
        <v>793207000</v>
      </c>
      <c r="T53" s="99">
        <v>22852000</v>
      </c>
      <c r="U53" s="97"/>
      <c r="V53" s="97">
        <f t="shared" si="7"/>
        <v>8</v>
      </c>
      <c r="W53" s="148">
        <v>304305000</v>
      </c>
      <c r="X53" s="99">
        <v>19112000</v>
      </c>
      <c r="Y53" s="99">
        <v>22852000</v>
      </c>
      <c r="Z53" s="97"/>
      <c r="AA53" s="97">
        <f t="shared" si="8"/>
        <v>8</v>
      </c>
      <c r="AB53" s="99">
        <v>304305000</v>
      </c>
      <c r="AC53" s="99">
        <v>182079000</v>
      </c>
      <c r="AD53" s="99">
        <v>2481000</v>
      </c>
      <c r="AE53" s="97"/>
      <c r="AF53" s="97">
        <f t="shared" si="9"/>
        <v>8</v>
      </c>
      <c r="AG53" s="99">
        <v>304305000</v>
      </c>
      <c r="AH53" s="99">
        <v>182079000</v>
      </c>
      <c r="AI53" s="99">
        <v>2481000</v>
      </c>
    </row>
    <row r="54" spans="17:35" x14ac:dyDescent="0.35"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9"/>
      <c r="AC54" s="99"/>
      <c r="AD54" s="99"/>
      <c r="AE54" s="97"/>
      <c r="AF54" s="97"/>
      <c r="AG54" s="97"/>
      <c r="AH54" s="97"/>
      <c r="AI54" s="97"/>
    </row>
    <row r="55" spans="17:35" x14ac:dyDescent="0.35">
      <c r="Q55" s="97" t="s">
        <v>181</v>
      </c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</row>
    <row r="56" spans="17:35" x14ac:dyDescent="0.35">
      <c r="Q56" s="97" t="s">
        <v>164</v>
      </c>
      <c r="R56" s="97" t="s">
        <v>165</v>
      </c>
      <c r="S56" s="97" t="s">
        <v>166</v>
      </c>
      <c r="T56" s="97" t="s">
        <v>167</v>
      </c>
      <c r="U56" s="97"/>
      <c r="V56" s="97" t="s">
        <v>168</v>
      </c>
      <c r="W56" s="97" t="s">
        <v>165</v>
      </c>
      <c r="X56" s="97" t="s">
        <v>166</v>
      </c>
      <c r="Y56" s="97" t="s">
        <v>167</v>
      </c>
      <c r="Z56" s="97"/>
      <c r="AA56" s="97" t="s">
        <v>169</v>
      </c>
      <c r="AB56" s="97" t="s">
        <v>165</v>
      </c>
      <c r="AC56" s="97" t="s">
        <v>166</v>
      </c>
      <c r="AD56" s="97" t="s">
        <v>167</v>
      </c>
      <c r="AE56" s="97"/>
      <c r="AF56" s="97" t="s">
        <v>170</v>
      </c>
      <c r="AG56" s="97" t="s">
        <v>165</v>
      </c>
      <c r="AH56" s="97" t="s">
        <v>166</v>
      </c>
      <c r="AI56" s="97" t="s">
        <v>167</v>
      </c>
    </row>
    <row r="57" spans="17:35" x14ac:dyDescent="0.35">
      <c r="Q57" s="97" t="s">
        <v>171</v>
      </c>
      <c r="R57" s="97" t="s">
        <v>172</v>
      </c>
      <c r="S57" s="97" t="s">
        <v>173</v>
      </c>
      <c r="T57" s="97" t="s">
        <v>174</v>
      </c>
      <c r="U57" s="97"/>
      <c r="V57" s="97" t="s">
        <v>171</v>
      </c>
      <c r="W57" s="97" t="s">
        <v>172</v>
      </c>
      <c r="X57" s="97" t="s">
        <v>173</v>
      </c>
      <c r="Y57" s="97" t="s">
        <v>174</v>
      </c>
      <c r="Z57" s="97"/>
      <c r="AA57" s="97" t="s">
        <v>171</v>
      </c>
      <c r="AB57" s="97" t="s">
        <v>172</v>
      </c>
      <c r="AC57" s="97" t="s">
        <v>173</v>
      </c>
      <c r="AD57" s="97" t="s">
        <v>174</v>
      </c>
      <c r="AE57" s="97"/>
      <c r="AF57" s="97" t="s">
        <v>171</v>
      </c>
      <c r="AG57" s="97" t="s">
        <v>172</v>
      </c>
      <c r="AH57" s="97" t="s">
        <v>173</v>
      </c>
      <c r="AI57" s="97" t="s">
        <v>174</v>
      </c>
    </row>
    <row r="58" spans="17:35" x14ac:dyDescent="0.35">
      <c r="Q58" s="106">
        <f>Q48</f>
        <v>1</v>
      </c>
      <c r="R58" s="99">
        <v>818000</v>
      </c>
      <c r="S58" s="99">
        <v>818000</v>
      </c>
      <c r="T58" s="99">
        <v>10000000</v>
      </c>
      <c r="U58" s="97"/>
      <c r="V58" s="97">
        <f>V48</f>
        <v>1</v>
      </c>
      <c r="W58" s="99">
        <v>818000</v>
      </c>
      <c r="X58" s="99">
        <v>818000</v>
      </c>
      <c r="Y58" s="99">
        <v>10000000</v>
      </c>
      <c r="Z58" s="97"/>
      <c r="AA58" s="97">
        <f>AA48</f>
        <v>1</v>
      </c>
      <c r="AB58" s="99">
        <v>818000</v>
      </c>
      <c r="AC58" s="99">
        <v>818000</v>
      </c>
      <c r="AD58" s="99">
        <v>10000000</v>
      </c>
      <c r="AE58" s="97"/>
      <c r="AF58" s="97">
        <f>AF48</f>
        <v>1</v>
      </c>
      <c r="AG58" s="99">
        <v>818000</v>
      </c>
      <c r="AH58" s="99">
        <v>818000</v>
      </c>
      <c r="AI58" s="99">
        <v>10000000</v>
      </c>
    </row>
    <row r="59" spans="17:35" x14ac:dyDescent="0.35">
      <c r="Q59" s="108">
        <f t="shared" ref="Q59:Q63" si="10">Q49</f>
        <v>2</v>
      </c>
      <c r="R59" s="99">
        <v>16347000</v>
      </c>
      <c r="S59" s="99">
        <v>16347000</v>
      </c>
      <c r="T59" s="99">
        <v>10000000</v>
      </c>
      <c r="U59" s="97"/>
      <c r="V59" s="97">
        <f t="shared" ref="V59:V63" si="11">V49</f>
        <v>2</v>
      </c>
      <c r="W59" s="99">
        <v>16347000</v>
      </c>
      <c r="X59" s="99">
        <v>16347000</v>
      </c>
      <c r="Y59" s="99">
        <v>10000000</v>
      </c>
      <c r="Z59" s="97"/>
      <c r="AA59" s="97">
        <f t="shared" ref="AA59:AA63" si="12">AA49</f>
        <v>2</v>
      </c>
      <c r="AB59" s="99">
        <v>16347000</v>
      </c>
      <c r="AC59" s="99">
        <v>16347000</v>
      </c>
      <c r="AD59" s="99">
        <v>10000000</v>
      </c>
      <c r="AE59" s="97"/>
      <c r="AF59" s="97">
        <f t="shared" ref="AF59:AF63" si="13">AF49</f>
        <v>2</v>
      </c>
      <c r="AG59" s="99">
        <v>16347000</v>
      </c>
      <c r="AH59" s="99">
        <v>16347000</v>
      </c>
      <c r="AI59" s="99">
        <v>10000000</v>
      </c>
    </row>
    <row r="60" spans="17:35" x14ac:dyDescent="0.35">
      <c r="Q60" s="110">
        <f t="shared" si="10"/>
        <v>3</v>
      </c>
      <c r="R60" s="99">
        <v>535964000</v>
      </c>
      <c r="S60" s="99">
        <v>352625000</v>
      </c>
      <c r="T60" s="99">
        <v>937148000</v>
      </c>
      <c r="U60" s="97"/>
      <c r="V60" s="97">
        <f t="shared" si="11"/>
        <v>3</v>
      </c>
      <c r="W60" s="99">
        <v>128545000</v>
      </c>
      <c r="X60" s="99">
        <v>128545000</v>
      </c>
      <c r="Y60" s="99">
        <v>937148000</v>
      </c>
      <c r="Z60" s="97"/>
      <c r="AA60" s="97">
        <f t="shared" si="12"/>
        <v>3</v>
      </c>
      <c r="AB60" s="99">
        <v>698931000</v>
      </c>
      <c r="AC60" s="99">
        <v>780415000</v>
      </c>
      <c r="AD60" s="99">
        <v>957519000</v>
      </c>
      <c r="AE60" s="97"/>
      <c r="AF60" s="97">
        <f t="shared" si="13"/>
        <v>3</v>
      </c>
      <c r="AG60" s="99">
        <v>698931000</v>
      </c>
      <c r="AH60" s="99">
        <v>780415000</v>
      </c>
      <c r="AI60" s="99">
        <v>957519000</v>
      </c>
    </row>
    <row r="61" spans="17:35" x14ac:dyDescent="0.35">
      <c r="Q61" s="112">
        <f t="shared" si="10"/>
        <v>4</v>
      </c>
      <c r="R61" s="99">
        <v>10000000</v>
      </c>
      <c r="S61" s="99">
        <v>10000000</v>
      </c>
      <c r="T61" s="99">
        <v>10000000</v>
      </c>
      <c r="U61" s="97"/>
      <c r="V61" s="97">
        <f t="shared" si="11"/>
        <v>4</v>
      </c>
      <c r="W61" s="99">
        <v>10000000</v>
      </c>
      <c r="X61" s="99">
        <v>10000000</v>
      </c>
      <c r="Y61" s="99">
        <v>10000000</v>
      </c>
      <c r="Z61" s="97"/>
      <c r="AA61" s="97">
        <f t="shared" si="12"/>
        <v>4</v>
      </c>
      <c r="AB61" s="99">
        <v>10000000</v>
      </c>
      <c r="AC61" s="99">
        <v>10000000</v>
      </c>
      <c r="AD61" s="99">
        <v>10000000</v>
      </c>
      <c r="AE61" s="97"/>
      <c r="AF61" s="97">
        <f t="shared" si="13"/>
        <v>4</v>
      </c>
      <c r="AG61" s="99">
        <v>10000000</v>
      </c>
      <c r="AH61" s="99">
        <v>10000000</v>
      </c>
      <c r="AI61" s="99">
        <v>10000000</v>
      </c>
    </row>
    <row r="62" spans="17:35" x14ac:dyDescent="0.35">
      <c r="Q62" s="160">
        <v>7</v>
      </c>
      <c r="R62" s="99">
        <v>51083000</v>
      </c>
      <c r="S62" s="99">
        <v>51083000</v>
      </c>
      <c r="T62" s="99">
        <v>10000000</v>
      </c>
      <c r="U62" s="97"/>
      <c r="V62" s="97">
        <v>7</v>
      </c>
      <c r="W62" s="99">
        <v>51083000</v>
      </c>
      <c r="X62" s="99">
        <v>51083000</v>
      </c>
      <c r="Y62" s="99">
        <v>10000000</v>
      </c>
      <c r="Z62" s="97"/>
      <c r="AA62" s="97">
        <v>7</v>
      </c>
      <c r="AB62" s="99">
        <v>51083000</v>
      </c>
      <c r="AC62" s="99">
        <v>51083000</v>
      </c>
      <c r="AD62" s="99">
        <v>10000000</v>
      </c>
      <c r="AE62" s="97"/>
      <c r="AF62" s="97">
        <v>7</v>
      </c>
      <c r="AG62" s="99">
        <v>51083000</v>
      </c>
      <c r="AH62" s="99">
        <v>51083000</v>
      </c>
      <c r="AI62" s="99">
        <v>10000000</v>
      </c>
    </row>
    <row r="63" spans="17:35" x14ac:dyDescent="0.35">
      <c r="Q63" s="103">
        <f t="shared" si="10"/>
        <v>8</v>
      </c>
      <c r="R63" s="99">
        <v>385788000</v>
      </c>
      <c r="S63" s="99">
        <v>569127000</v>
      </c>
      <c r="T63" s="99">
        <v>22852000</v>
      </c>
      <c r="U63" s="97"/>
      <c r="V63" s="97">
        <f t="shared" si="11"/>
        <v>8</v>
      </c>
      <c r="W63" s="99">
        <v>793207000</v>
      </c>
      <c r="X63" s="99">
        <v>793207000</v>
      </c>
      <c r="Y63" s="99">
        <v>22852000</v>
      </c>
      <c r="Z63" s="97"/>
      <c r="AA63" s="97">
        <f t="shared" si="12"/>
        <v>8</v>
      </c>
      <c r="AB63" s="99">
        <v>222821000</v>
      </c>
      <c r="AC63" s="99">
        <v>141337000</v>
      </c>
      <c r="AD63" s="99">
        <v>2481000</v>
      </c>
      <c r="AE63" s="97"/>
      <c r="AF63" s="97">
        <f t="shared" si="13"/>
        <v>8</v>
      </c>
      <c r="AG63" s="99">
        <v>222821000</v>
      </c>
      <c r="AH63" s="99">
        <v>141337000</v>
      </c>
      <c r="AI63" s="99">
        <v>2481000</v>
      </c>
    </row>
    <row r="64" spans="17:35" x14ac:dyDescent="0.35"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</row>
    <row r="65" spans="17:35" x14ac:dyDescent="0.35">
      <c r="Q65" s="97" t="s">
        <v>182</v>
      </c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</row>
    <row r="66" spans="17:35" x14ac:dyDescent="0.35">
      <c r="Q66" s="97" t="s">
        <v>164</v>
      </c>
      <c r="R66" s="97" t="s">
        <v>165</v>
      </c>
      <c r="S66" s="97" t="s">
        <v>166</v>
      </c>
      <c r="T66" s="97" t="s">
        <v>167</v>
      </c>
      <c r="U66" s="97"/>
      <c r="V66" s="97" t="s">
        <v>168</v>
      </c>
      <c r="W66" s="97" t="s">
        <v>165</v>
      </c>
      <c r="X66" s="97" t="s">
        <v>166</v>
      </c>
      <c r="Y66" s="97" t="s">
        <v>167</v>
      </c>
      <c r="Z66" s="97"/>
      <c r="AA66" s="97" t="s">
        <v>169</v>
      </c>
      <c r="AB66" s="97" t="s">
        <v>165</v>
      </c>
      <c r="AC66" s="97" t="s">
        <v>166</v>
      </c>
      <c r="AD66" s="97" t="s">
        <v>167</v>
      </c>
      <c r="AE66" s="97"/>
      <c r="AF66" s="97" t="s">
        <v>170</v>
      </c>
      <c r="AG66" s="97" t="s">
        <v>165</v>
      </c>
      <c r="AH66" s="97" t="s">
        <v>166</v>
      </c>
      <c r="AI66" s="97" t="s">
        <v>167</v>
      </c>
    </row>
    <row r="67" spans="17:35" x14ac:dyDescent="0.35">
      <c r="Q67" s="97" t="s">
        <v>171</v>
      </c>
      <c r="R67" s="97" t="s">
        <v>172</v>
      </c>
      <c r="S67" s="97" t="s">
        <v>173</v>
      </c>
      <c r="T67" s="97" t="s">
        <v>174</v>
      </c>
      <c r="U67" s="97"/>
      <c r="V67" s="97" t="s">
        <v>171</v>
      </c>
      <c r="W67" s="97" t="s">
        <v>172</v>
      </c>
      <c r="X67" s="97" t="s">
        <v>173</v>
      </c>
      <c r="Y67" s="97" t="s">
        <v>174</v>
      </c>
      <c r="Z67" s="97"/>
      <c r="AA67" s="97" t="s">
        <v>171</v>
      </c>
      <c r="AB67" s="97" t="s">
        <v>172</v>
      </c>
      <c r="AC67" s="97" t="s">
        <v>173</v>
      </c>
      <c r="AD67" s="97" t="s">
        <v>174</v>
      </c>
      <c r="AE67" s="97"/>
      <c r="AF67" s="97" t="s">
        <v>171</v>
      </c>
      <c r="AG67" s="97" t="s">
        <v>172</v>
      </c>
      <c r="AH67" s="97" t="s">
        <v>173</v>
      </c>
      <c r="AI67" s="97" t="s">
        <v>174</v>
      </c>
    </row>
    <row r="68" spans="17:35" x14ac:dyDescent="0.35">
      <c r="Q68" s="97">
        <f>Q58</f>
        <v>1</v>
      </c>
      <c r="R68" s="99">
        <v>818000</v>
      </c>
      <c r="S68" s="99">
        <v>818000</v>
      </c>
      <c r="T68" s="99">
        <v>10000000</v>
      </c>
      <c r="U68" s="97"/>
      <c r="V68" s="97">
        <f>V58</f>
        <v>1</v>
      </c>
      <c r="W68" s="99">
        <v>818000</v>
      </c>
      <c r="X68" s="99">
        <v>818000</v>
      </c>
      <c r="Y68" s="99">
        <v>10000000</v>
      </c>
      <c r="Z68" s="97"/>
      <c r="AA68" s="97">
        <f>AA58</f>
        <v>1</v>
      </c>
      <c r="AB68" s="99">
        <v>818000</v>
      </c>
      <c r="AC68" s="99">
        <v>818000</v>
      </c>
      <c r="AD68" s="99">
        <v>10000000</v>
      </c>
      <c r="AE68" s="97"/>
      <c r="AF68" s="97">
        <f>AF58</f>
        <v>1</v>
      </c>
      <c r="AG68" s="99">
        <v>818000</v>
      </c>
      <c r="AH68" s="99">
        <v>818000</v>
      </c>
      <c r="AI68" s="99">
        <v>10000000</v>
      </c>
    </row>
    <row r="69" spans="17:35" x14ac:dyDescent="0.35">
      <c r="Q69" s="97">
        <f t="shared" ref="Q69:Q73" si="14">Q59</f>
        <v>2</v>
      </c>
      <c r="R69" s="99">
        <v>16347000</v>
      </c>
      <c r="S69" s="99">
        <v>16347000</v>
      </c>
      <c r="T69" s="99">
        <v>10000000</v>
      </c>
      <c r="U69" s="97"/>
      <c r="V69" s="97">
        <f t="shared" ref="V69:V73" si="15">V59</f>
        <v>2</v>
      </c>
      <c r="W69" s="99">
        <v>16347000</v>
      </c>
      <c r="X69" s="99">
        <v>16347000</v>
      </c>
      <c r="Y69" s="99">
        <v>10000000</v>
      </c>
      <c r="Z69" s="97"/>
      <c r="AA69" s="97">
        <f t="shared" ref="AA69:AA73" si="16">AA59</f>
        <v>2</v>
      </c>
      <c r="AB69" s="99">
        <v>16347000</v>
      </c>
      <c r="AC69" s="99">
        <v>16347000</v>
      </c>
      <c r="AD69" s="99">
        <v>10000000</v>
      </c>
      <c r="AE69" s="97"/>
      <c r="AF69" s="97">
        <f t="shared" ref="AF69:AF73" si="17">AF59</f>
        <v>2</v>
      </c>
      <c r="AG69" s="99">
        <v>16347000</v>
      </c>
      <c r="AH69" s="99">
        <v>16347000</v>
      </c>
      <c r="AI69" s="99">
        <v>10000000</v>
      </c>
    </row>
    <row r="70" spans="17:35" x14ac:dyDescent="0.35">
      <c r="Q70" s="97">
        <f t="shared" si="14"/>
        <v>3</v>
      </c>
      <c r="R70" s="99">
        <v>535964000</v>
      </c>
      <c r="S70" s="99">
        <v>352625000</v>
      </c>
      <c r="T70" s="99">
        <v>937148000</v>
      </c>
      <c r="U70" s="97"/>
      <c r="V70" s="97">
        <f t="shared" si="15"/>
        <v>3</v>
      </c>
      <c r="W70" s="99">
        <v>617447000</v>
      </c>
      <c r="X70" s="99">
        <v>698931000</v>
      </c>
      <c r="Y70" s="99">
        <v>937148000</v>
      </c>
      <c r="Z70" s="97"/>
      <c r="AA70" s="97">
        <f t="shared" si="16"/>
        <v>3</v>
      </c>
      <c r="AB70" s="99">
        <v>128545000</v>
      </c>
      <c r="AC70" s="99">
        <v>128545000</v>
      </c>
      <c r="AD70" s="99">
        <v>937148000</v>
      </c>
      <c r="AE70" s="97"/>
      <c r="AF70" s="97">
        <f t="shared" si="17"/>
        <v>3</v>
      </c>
      <c r="AG70" s="99">
        <v>698931000</v>
      </c>
      <c r="AH70" s="99">
        <v>780415000</v>
      </c>
      <c r="AI70" s="99">
        <v>957519000</v>
      </c>
    </row>
    <row r="71" spans="17:35" x14ac:dyDescent="0.35">
      <c r="Q71" s="97">
        <f t="shared" si="14"/>
        <v>4</v>
      </c>
      <c r="R71" s="99">
        <v>10000000</v>
      </c>
      <c r="S71" s="99">
        <v>10000000</v>
      </c>
      <c r="T71" s="99">
        <v>10000000</v>
      </c>
      <c r="U71" s="97"/>
      <c r="V71" s="97">
        <f t="shared" si="15"/>
        <v>4</v>
      </c>
      <c r="W71" s="99">
        <v>10000000</v>
      </c>
      <c r="X71" s="99">
        <v>10000000</v>
      </c>
      <c r="Y71" s="99">
        <v>10000000</v>
      </c>
      <c r="Z71" s="97"/>
      <c r="AA71" s="97">
        <f t="shared" si="16"/>
        <v>4</v>
      </c>
      <c r="AB71" s="99">
        <v>10000000</v>
      </c>
      <c r="AC71" s="99">
        <v>10000000</v>
      </c>
      <c r="AD71" s="99">
        <v>10000000</v>
      </c>
      <c r="AE71" s="97"/>
      <c r="AF71" s="97">
        <f t="shared" si="17"/>
        <v>4</v>
      </c>
      <c r="AG71" s="99">
        <v>10000000</v>
      </c>
      <c r="AH71" s="99">
        <v>10000000</v>
      </c>
      <c r="AI71" s="99">
        <v>10000000</v>
      </c>
    </row>
    <row r="72" spans="17:35" x14ac:dyDescent="0.35">
      <c r="Q72" s="97">
        <f t="shared" si="14"/>
        <v>7</v>
      </c>
      <c r="R72" s="99">
        <v>51083000</v>
      </c>
      <c r="S72" s="99">
        <v>51083000</v>
      </c>
      <c r="T72" s="99">
        <v>10000000</v>
      </c>
      <c r="U72" s="97"/>
      <c r="V72" s="97">
        <v>7</v>
      </c>
      <c r="W72" s="99">
        <v>51083000</v>
      </c>
      <c r="X72" s="99">
        <v>51083000</v>
      </c>
      <c r="Y72" s="99">
        <v>10000000</v>
      </c>
      <c r="Z72" s="97"/>
      <c r="AA72" s="97">
        <v>7</v>
      </c>
      <c r="AB72" s="99">
        <v>51083000</v>
      </c>
      <c r="AC72" s="99">
        <v>51083000</v>
      </c>
      <c r="AD72" s="99">
        <v>10000000</v>
      </c>
      <c r="AE72" s="97"/>
      <c r="AF72" s="97">
        <v>7</v>
      </c>
      <c r="AG72" s="99">
        <v>51083000</v>
      </c>
      <c r="AH72" s="99">
        <v>51083000</v>
      </c>
      <c r="AI72" s="99">
        <v>10000000</v>
      </c>
    </row>
    <row r="73" spans="17:35" x14ac:dyDescent="0.35">
      <c r="Q73" s="97">
        <f t="shared" si="14"/>
        <v>8</v>
      </c>
      <c r="R73" s="99">
        <v>385788000</v>
      </c>
      <c r="S73" s="99">
        <v>569127000</v>
      </c>
      <c r="T73" s="99">
        <v>22852000</v>
      </c>
      <c r="U73" s="97"/>
      <c r="V73" s="97">
        <f t="shared" si="15"/>
        <v>8</v>
      </c>
      <c r="W73" s="99">
        <v>304305000</v>
      </c>
      <c r="X73" s="99">
        <v>222821000</v>
      </c>
      <c r="Y73" s="99">
        <v>22852000</v>
      </c>
      <c r="Z73" s="97"/>
      <c r="AA73" s="97">
        <f t="shared" si="16"/>
        <v>8</v>
      </c>
      <c r="AB73" s="99">
        <v>793207000</v>
      </c>
      <c r="AC73" s="99">
        <v>793207000</v>
      </c>
      <c r="AD73" s="99">
        <v>22852000</v>
      </c>
      <c r="AE73" s="97"/>
      <c r="AF73" s="97">
        <f t="shared" si="17"/>
        <v>8</v>
      </c>
      <c r="AG73" s="99">
        <v>222821000</v>
      </c>
      <c r="AH73" s="99">
        <v>141337000</v>
      </c>
      <c r="AI73" s="99">
        <v>2481000</v>
      </c>
    </row>
    <row r="74" spans="17:35" x14ac:dyDescent="0.35"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</row>
    <row r="75" spans="17:35" x14ac:dyDescent="0.35">
      <c r="Q75" s="97" t="s">
        <v>183</v>
      </c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</row>
    <row r="76" spans="17:35" x14ac:dyDescent="0.35">
      <c r="Q76" s="97" t="s">
        <v>164</v>
      </c>
      <c r="R76" s="97" t="s">
        <v>165</v>
      </c>
      <c r="S76" s="97" t="s">
        <v>166</v>
      </c>
      <c r="T76" s="97" t="s">
        <v>167</v>
      </c>
      <c r="U76" s="97"/>
      <c r="V76" s="97" t="s">
        <v>168</v>
      </c>
      <c r="W76" s="97" t="s">
        <v>165</v>
      </c>
      <c r="X76" s="97" t="s">
        <v>166</v>
      </c>
      <c r="Y76" s="97" t="s">
        <v>167</v>
      </c>
      <c r="Z76" s="97"/>
      <c r="AA76" s="97" t="s">
        <v>169</v>
      </c>
      <c r="AB76" s="97" t="s">
        <v>165</v>
      </c>
      <c r="AC76" s="97" t="s">
        <v>166</v>
      </c>
      <c r="AD76" s="97" t="s">
        <v>167</v>
      </c>
      <c r="AE76" s="97"/>
      <c r="AF76" s="97" t="s">
        <v>170</v>
      </c>
      <c r="AG76" s="97" t="s">
        <v>165</v>
      </c>
      <c r="AH76" s="97" t="s">
        <v>166</v>
      </c>
      <c r="AI76" s="97" t="s">
        <v>167</v>
      </c>
    </row>
    <row r="77" spans="17:35" x14ac:dyDescent="0.35">
      <c r="Q77" s="97" t="s">
        <v>171</v>
      </c>
      <c r="R77" s="97" t="s">
        <v>172</v>
      </c>
      <c r="S77" s="97" t="s">
        <v>173</v>
      </c>
      <c r="T77" s="97" t="s">
        <v>174</v>
      </c>
      <c r="U77" s="97"/>
      <c r="V77" s="97" t="s">
        <v>171</v>
      </c>
      <c r="W77" s="97" t="s">
        <v>172</v>
      </c>
      <c r="X77" s="97" t="s">
        <v>173</v>
      </c>
      <c r="Y77" s="97" t="s">
        <v>174</v>
      </c>
      <c r="Z77" s="97"/>
      <c r="AA77" s="97" t="s">
        <v>171</v>
      </c>
      <c r="AB77" s="97" t="s">
        <v>172</v>
      </c>
      <c r="AC77" s="97" t="s">
        <v>173</v>
      </c>
      <c r="AD77" s="97" t="s">
        <v>174</v>
      </c>
      <c r="AE77" s="97"/>
      <c r="AF77" s="97" t="s">
        <v>171</v>
      </c>
      <c r="AG77" s="97" t="s">
        <v>172</v>
      </c>
      <c r="AH77" s="97" t="s">
        <v>173</v>
      </c>
      <c r="AI77" s="97" t="s">
        <v>174</v>
      </c>
    </row>
    <row r="78" spans="17:35" x14ac:dyDescent="0.35">
      <c r="Q78" s="97">
        <f>Q68</f>
        <v>1</v>
      </c>
      <c r="R78" s="99">
        <v>818000</v>
      </c>
      <c r="S78" s="99">
        <v>818000</v>
      </c>
      <c r="T78" s="99">
        <v>10000000</v>
      </c>
      <c r="U78" s="97"/>
      <c r="V78" s="97">
        <f>V68</f>
        <v>1</v>
      </c>
      <c r="W78" s="99">
        <v>818000</v>
      </c>
      <c r="X78" s="99">
        <v>818000</v>
      </c>
      <c r="Y78" s="99">
        <v>10000000</v>
      </c>
      <c r="Z78" s="97"/>
      <c r="AA78" s="97">
        <f>AA68</f>
        <v>1</v>
      </c>
      <c r="AB78" s="99">
        <v>818000</v>
      </c>
      <c r="AC78" s="99">
        <v>818000</v>
      </c>
      <c r="AD78" s="99">
        <v>10000000</v>
      </c>
      <c r="AE78" s="97"/>
      <c r="AF78" s="97">
        <f>AF68</f>
        <v>1</v>
      </c>
      <c r="AG78" s="99">
        <v>818000</v>
      </c>
      <c r="AH78" s="99">
        <v>818000</v>
      </c>
      <c r="AI78" s="99">
        <v>10000000</v>
      </c>
    </row>
    <row r="79" spans="17:35" x14ac:dyDescent="0.35">
      <c r="Q79" s="97">
        <f t="shared" ref="Q79:Q83" si="18">Q69</f>
        <v>2</v>
      </c>
      <c r="R79" s="99">
        <v>16347000</v>
      </c>
      <c r="S79" s="99">
        <v>16347000</v>
      </c>
      <c r="T79" s="99">
        <v>10000000</v>
      </c>
      <c r="U79" s="97"/>
      <c r="V79" s="97">
        <f t="shared" ref="V79:V83" si="19">V69</f>
        <v>2</v>
      </c>
      <c r="W79" s="99">
        <v>16347000</v>
      </c>
      <c r="X79" s="99">
        <v>16347000</v>
      </c>
      <c r="Y79" s="99">
        <v>10000000</v>
      </c>
      <c r="Z79" s="97"/>
      <c r="AA79" s="97">
        <f t="shared" ref="AA79:AA83" si="20">AA69</f>
        <v>2</v>
      </c>
      <c r="AB79" s="99">
        <v>16347000</v>
      </c>
      <c r="AC79" s="99">
        <v>16347000</v>
      </c>
      <c r="AD79" s="99">
        <v>10000000</v>
      </c>
      <c r="AE79" s="97"/>
      <c r="AF79" s="97">
        <f t="shared" ref="AF79:AF83" si="21">AF69</f>
        <v>2</v>
      </c>
      <c r="AG79" s="99">
        <v>16347000</v>
      </c>
      <c r="AH79" s="99">
        <v>16347000</v>
      </c>
      <c r="AI79" s="99">
        <v>10000000</v>
      </c>
    </row>
    <row r="80" spans="17:35" x14ac:dyDescent="0.35">
      <c r="Q80" s="97">
        <f t="shared" si="18"/>
        <v>3</v>
      </c>
      <c r="R80" s="99">
        <v>128545000</v>
      </c>
      <c r="S80" s="99">
        <v>128545000</v>
      </c>
      <c r="T80" s="99">
        <v>651955000</v>
      </c>
      <c r="U80" s="97"/>
      <c r="V80" s="97">
        <f t="shared" si="19"/>
        <v>3</v>
      </c>
      <c r="W80" s="99">
        <v>128545000</v>
      </c>
      <c r="X80" s="99">
        <v>128545000</v>
      </c>
      <c r="Y80" s="99">
        <v>651955000</v>
      </c>
      <c r="Z80" s="97"/>
      <c r="AA80" s="97">
        <f t="shared" si="20"/>
        <v>3</v>
      </c>
      <c r="AB80" s="99">
        <v>128545000</v>
      </c>
      <c r="AC80" s="99">
        <v>128545000</v>
      </c>
      <c r="AD80" s="99">
        <v>570472000</v>
      </c>
      <c r="AE80" s="97"/>
      <c r="AF80" s="97">
        <f t="shared" si="21"/>
        <v>3</v>
      </c>
      <c r="AG80" s="99">
        <v>332254000</v>
      </c>
      <c r="AH80" s="99">
        <v>739673000</v>
      </c>
      <c r="AI80" s="99">
        <v>937148000</v>
      </c>
    </row>
    <row r="81" spans="17:39" x14ac:dyDescent="0.35">
      <c r="Q81" s="97">
        <f t="shared" si="18"/>
        <v>4</v>
      </c>
      <c r="R81" s="99">
        <v>10000000</v>
      </c>
      <c r="S81" s="99">
        <v>10000000</v>
      </c>
      <c r="T81" s="99">
        <v>10000000</v>
      </c>
      <c r="U81" s="97"/>
      <c r="V81" s="97">
        <f t="shared" si="19"/>
        <v>4</v>
      </c>
      <c r="W81" s="99">
        <v>10000000</v>
      </c>
      <c r="X81" s="99">
        <v>10000000</v>
      </c>
      <c r="Y81" s="99">
        <v>10000000</v>
      </c>
      <c r="Z81" s="97"/>
      <c r="AA81" s="97">
        <f t="shared" si="20"/>
        <v>4</v>
      </c>
      <c r="AB81" s="99">
        <v>10000000</v>
      </c>
      <c r="AC81" s="99">
        <v>10000000</v>
      </c>
      <c r="AD81" s="99">
        <v>10000000</v>
      </c>
      <c r="AE81" s="97"/>
      <c r="AF81" s="97">
        <f t="shared" si="21"/>
        <v>4</v>
      </c>
      <c r="AG81" s="99">
        <v>10000000</v>
      </c>
      <c r="AH81" s="99">
        <v>10000000</v>
      </c>
      <c r="AI81" s="99">
        <v>10000000</v>
      </c>
    </row>
    <row r="82" spans="17:39" x14ac:dyDescent="0.35">
      <c r="Q82" s="97">
        <v>7</v>
      </c>
      <c r="R82" s="99">
        <v>51083000</v>
      </c>
      <c r="S82" s="99">
        <v>51083000</v>
      </c>
      <c r="T82" s="99">
        <v>10000000</v>
      </c>
      <c r="U82" s="97"/>
      <c r="V82" s="97">
        <f t="shared" si="19"/>
        <v>7</v>
      </c>
      <c r="W82" s="99">
        <v>51083000</v>
      </c>
      <c r="X82" s="99">
        <v>51083000</v>
      </c>
      <c r="Y82" s="99">
        <v>10000000</v>
      </c>
      <c r="Z82" s="97"/>
      <c r="AA82" s="97">
        <f t="shared" si="20"/>
        <v>7</v>
      </c>
      <c r="AB82" s="99">
        <v>51083000</v>
      </c>
      <c r="AC82" s="99">
        <v>51083000</v>
      </c>
      <c r="AD82" s="99">
        <v>10000000</v>
      </c>
      <c r="AE82" s="97"/>
      <c r="AF82" s="97">
        <f t="shared" si="21"/>
        <v>7</v>
      </c>
      <c r="AG82" s="99">
        <v>51083000</v>
      </c>
      <c r="AH82" s="99">
        <v>51083000</v>
      </c>
      <c r="AI82" s="99">
        <v>10000000</v>
      </c>
    </row>
    <row r="83" spans="17:39" x14ac:dyDescent="0.35">
      <c r="Q83" s="97">
        <f t="shared" si="18"/>
        <v>8</v>
      </c>
      <c r="R83" s="99">
        <v>793207000</v>
      </c>
      <c r="S83" s="99">
        <v>793207000</v>
      </c>
      <c r="T83" s="99">
        <v>308045000</v>
      </c>
      <c r="U83" s="97"/>
      <c r="V83" s="97">
        <f t="shared" si="19"/>
        <v>8</v>
      </c>
      <c r="W83" s="99">
        <v>793207000</v>
      </c>
      <c r="X83" s="99">
        <v>793207000</v>
      </c>
      <c r="Y83" s="99">
        <v>308045000</v>
      </c>
      <c r="Z83" s="97"/>
      <c r="AA83" s="97">
        <f t="shared" si="20"/>
        <v>8</v>
      </c>
      <c r="AB83" s="99">
        <v>793207000</v>
      </c>
      <c r="AC83" s="99">
        <v>793207000</v>
      </c>
      <c r="AD83" s="99">
        <v>389528000</v>
      </c>
      <c r="AE83" s="97"/>
      <c r="AF83" s="97">
        <f t="shared" si="21"/>
        <v>8</v>
      </c>
      <c r="AG83" s="99">
        <v>589498000</v>
      </c>
      <c r="AH83" s="99">
        <v>182079000</v>
      </c>
      <c r="AI83" s="99">
        <v>22852000</v>
      </c>
    </row>
    <row r="86" spans="17:39" x14ac:dyDescent="0.35">
      <c r="Q86" s="97" t="s">
        <v>175</v>
      </c>
      <c r="R86" s="97"/>
      <c r="S86" s="97"/>
      <c r="T86" s="97" t="s">
        <v>176</v>
      </c>
      <c r="U86" s="97"/>
      <c r="V86" s="97"/>
      <c r="W86" s="97" t="s">
        <v>177</v>
      </c>
      <c r="X86" s="97"/>
      <c r="Y86" s="97"/>
      <c r="Z86" s="97" t="s">
        <v>178</v>
      </c>
      <c r="AA86" s="97"/>
      <c r="AB86" s="97"/>
      <c r="AC86" s="97" t="s">
        <v>184</v>
      </c>
      <c r="AD86" s="97"/>
      <c r="AE86" s="97"/>
      <c r="AF86" s="97" t="s">
        <v>185</v>
      </c>
      <c r="AG86" s="97"/>
      <c r="AH86" s="97"/>
      <c r="AI86" s="97" t="s">
        <v>179</v>
      </c>
      <c r="AJ86" s="97"/>
      <c r="AK86" s="97"/>
      <c r="AL86" s="97" t="s">
        <v>180</v>
      </c>
      <c r="AM86" s="97"/>
    </row>
    <row r="88" spans="17:39" x14ac:dyDescent="0.35">
      <c r="Q88" s="37" t="str">
        <f>VLOOKUP(Q104,$M$104:$N$116,2,FALSE)</f>
        <v>_low_1_</v>
      </c>
      <c r="R88" s="37">
        <f>R104</f>
        <v>135</v>
      </c>
      <c r="T88" s="37" t="str">
        <f>VLOOKUP(T104,$M$104:$N$116,2,FALSE)</f>
        <v>_low_1_</v>
      </c>
      <c r="U88" s="37">
        <f>U104</f>
        <v>60</v>
      </c>
      <c r="W88" s="37" t="str">
        <f>VLOOKUP(W104,$M$104:$N$116,2,FALSE)</f>
        <v>_low_1_</v>
      </c>
      <c r="X88" s="37">
        <f>X104</f>
        <v>26</v>
      </c>
      <c r="Z88" s="37" t="str">
        <f>VLOOKUP(Z104,$M$104:$N$116,2,FALSE)</f>
        <v>_low_1_</v>
      </c>
      <c r="AA88" s="37">
        <f>AA104</f>
        <v>43</v>
      </c>
      <c r="AC88" s="37" t="str">
        <f>VLOOKUP(AC104,$M$104:$N$116,2,FALSE)</f>
        <v>_low_1_</v>
      </c>
      <c r="AD88" s="37">
        <f>AD104</f>
        <v>192</v>
      </c>
      <c r="AF88" s="37" t="str">
        <f>VLOOKUP(AF104,$M$104:$N$116,2,FALSE)</f>
        <v>_HIG_1_</v>
      </c>
      <c r="AG88" s="37">
        <f>AG104</f>
        <v>578</v>
      </c>
      <c r="AI88" s="37" t="str">
        <f>VLOOKUP(AI104,$M$104:$N$116,2,FALSE)</f>
        <v>_HIG_3_</v>
      </c>
      <c r="AJ88" s="37">
        <f>AJ104</f>
        <v>78</v>
      </c>
      <c r="AL88" s="37" t="str">
        <f>VLOOKUP(AL104,$M$104:$N$116,2,FALSE)</f>
        <v>_HIG_4_</v>
      </c>
      <c r="AM88" s="37">
        <f>AM104</f>
        <v>100</v>
      </c>
    </row>
    <row r="89" spans="17:39" x14ac:dyDescent="0.35">
      <c r="Q89" s="37" t="str">
        <f t="shared" ref="Q89:Q100" si="22">VLOOKUP(Q105,$M$104:$N$116,2,FALSE)</f>
        <v>_low_4_</v>
      </c>
      <c r="R89" s="37">
        <f t="shared" ref="R89:R101" si="23">R105</f>
        <v>89</v>
      </c>
      <c r="T89" s="37" t="str">
        <f t="shared" ref="T89:T100" si="24">VLOOKUP(T105,$M$104:$N$116,2,FALSE)</f>
        <v>_HIG_4_</v>
      </c>
      <c r="U89" s="37">
        <f t="shared" ref="U89:U101" si="25">U105</f>
        <v>88</v>
      </c>
      <c r="W89" s="37" t="str">
        <f t="shared" ref="W89:W101" si="26">VLOOKUP(W105,$M$104:$N$116,2,FALSE)</f>
        <v>_HIG_4_</v>
      </c>
      <c r="X89" s="37">
        <f t="shared" ref="X89:X101" si="27">X105</f>
        <v>102</v>
      </c>
      <c r="Z89" s="37" t="str">
        <f t="shared" ref="Z89:Z101" si="28">VLOOKUP(Z105,$M$104:$N$116,2,FALSE)</f>
        <v>_low_4_</v>
      </c>
      <c r="AA89" s="37">
        <f t="shared" ref="AA89:AA101" si="29">AA105</f>
        <v>55</v>
      </c>
      <c r="AC89" s="37" t="str">
        <f t="shared" ref="AC89:AC101" si="30">VLOOKUP(AC105,$M$104:$N$116,2,FALSE)</f>
        <v>_HIG_4_</v>
      </c>
      <c r="AD89" s="37">
        <f t="shared" ref="AD89:AD101" si="31">AD105</f>
        <v>114</v>
      </c>
      <c r="AF89" s="37" t="str">
        <f t="shared" ref="AF89:AF101" si="32">VLOOKUP(AF105,$M$104:$N$116,2,FALSE)</f>
        <v>_low_1_</v>
      </c>
      <c r="AG89" s="37">
        <f t="shared" ref="AG89:AG101" si="33">AG105</f>
        <v>442</v>
      </c>
      <c r="AI89" s="37" t="str">
        <f t="shared" ref="AI89:AI101" si="34">VLOOKUP(AI105,$M$104:$N$116,2,FALSE)</f>
        <v>_low_4_</v>
      </c>
      <c r="AJ89" s="37">
        <f t="shared" ref="AJ89:AJ101" si="35">AJ105</f>
        <v>50</v>
      </c>
      <c r="AL89" s="37" t="str">
        <f t="shared" ref="AL89:AL101" si="36">VLOOKUP(AL105,$M$104:$N$116,2,FALSE)</f>
        <v>_low_1_</v>
      </c>
      <c r="AM89" s="37">
        <f t="shared" ref="AM89:AM101" si="37">AM105</f>
        <v>46</v>
      </c>
    </row>
    <row r="90" spans="17:39" x14ac:dyDescent="0.35">
      <c r="Q90" s="37" t="str">
        <f t="shared" si="22"/>
        <v>_COI_1_</v>
      </c>
      <c r="R90" s="37">
        <f t="shared" si="23"/>
        <v>10</v>
      </c>
      <c r="T90" s="37" t="str">
        <f t="shared" si="24"/>
        <v>_COI_1_</v>
      </c>
      <c r="U90" s="37">
        <f t="shared" si="25"/>
        <v>11</v>
      </c>
      <c r="W90" s="37" t="str">
        <f t="shared" si="26"/>
        <v>_COI_1_</v>
      </c>
      <c r="X90" s="37">
        <f t="shared" si="27"/>
        <v>1</v>
      </c>
      <c r="Z90" s="37" t="str">
        <f t="shared" si="28"/>
        <v>_COI_1_</v>
      </c>
      <c r="AA90" s="37">
        <f t="shared" si="29"/>
        <v>25</v>
      </c>
      <c r="AC90" s="37" t="str">
        <f t="shared" si="30"/>
        <v>_COI_1_</v>
      </c>
      <c r="AD90" s="37">
        <f t="shared" si="31"/>
        <v>4</v>
      </c>
      <c r="AF90" s="37" t="str">
        <f t="shared" si="32"/>
        <v>_COI_1_</v>
      </c>
      <c r="AG90" s="37">
        <f t="shared" si="33"/>
        <v>1</v>
      </c>
      <c r="AI90" s="37" t="str">
        <f t="shared" si="34"/>
        <v>_COI_1_</v>
      </c>
      <c r="AJ90" s="37">
        <f t="shared" si="35"/>
        <v>8</v>
      </c>
      <c r="AL90" s="37" t="str">
        <f t="shared" si="36"/>
        <v>_COI_1_</v>
      </c>
      <c r="AM90" s="37">
        <f t="shared" si="37"/>
        <v>100</v>
      </c>
    </row>
    <row r="91" spans="17:39" x14ac:dyDescent="0.35">
      <c r="Q91" s="37" t="str">
        <f t="shared" si="22"/>
        <v>_HIG_4_</v>
      </c>
      <c r="R91" s="37">
        <f t="shared" si="23"/>
        <v>211</v>
      </c>
      <c r="T91" s="37" t="str">
        <f t="shared" si="24"/>
        <v>_low_2_</v>
      </c>
      <c r="U91" s="37">
        <f t="shared" si="25"/>
        <v>140</v>
      </c>
      <c r="W91" s="37" t="str">
        <f t="shared" si="26"/>
        <v>_low_4_</v>
      </c>
      <c r="X91" s="37">
        <f t="shared" si="27"/>
        <v>80</v>
      </c>
      <c r="Z91" s="37" t="str">
        <f t="shared" si="28"/>
        <v>_HIG_4_</v>
      </c>
      <c r="AA91" s="37">
        <f t="shared" si="29"/>
        <v>100</v>
      </c>
      <c r="AC91" s="37" t="str">
        <f t="shared" si="30"/>
        <v>_low_4_</v>
      </c>
      <c r="AD91" s="37">
        <f t="shared" si="31"/>
        <v>280</v>
      </c>
      <c r="AF91" s="37" t="str">
        <f t="shared" si="32"/>
        <v>_low_2_</v>
      </c>
      <c r="AG91" s="37">
        <f t="shared" si="33"/>
        <v>362</v>
      </c>
      <c r="AI91" s="37" t="str">
        <f t="shared" si="34"/>
        <v>_low_5_</v>
      </c>
      <c r="AJ91" s="37">
        <f t="shared" si="35"/>
        <v>124</v>
      </c>
      <c r="AL91" s="37" t="str">
        <f t="shared" si="36"/>
        <v>_low_4_</v>
      </c>
      <c r="AM91" s="37">
        <f t="shared" si="37"/>
        <v>110</v>
      </c>
    </row>
    <row r="92" spans="17:39" x14ac:dyDescent="0.35">
      <c r="Q92" s="37" t="str">
        <f t="shared" si="22"/>
        <v>_HIG_1_</v>
      </c>
      <c r="R92" s="37">
        <f t="shared" si="23"/>
        <v>126</v>
      </c>
      <c r="T92" s="37" t="str">
        <f t="shared" si="24"/>
        <v>_COI_1_</v>
      </c>
      <c r="U92" s="37">
        <f t="shared" si="25"/>
        <v>11</v>
      </c>
      <c r="W92" s="37" t="str">
        <f t="shared" si="26"/>
        <v>_HIG_1_</v>
      </c>
      <c r="X92" s="37">
        <f t="shared" si="27"/>
        <v>70</v>
      </c>
      <c r="Z92" s="37" t="str">
        <f t="shared" si="28"/>
        <v>_COI_1_</v>
      </c>
      <c r="AA92" s="37">
        <f t="shared" si="29"/>
        <v>20</v>
      </c>
      <c r="AC92" s="37" t="str">
        <f t="shared" si="30"/>
        <v>_HIG_1_</v>
      </c>
      <c r="AD92" s="37">
        <f t="shared" si="31"/>
        <v>4</v>
      </c>
      <c r="AF92" s="37" t="str">
        <f t="shared" si="32"/>
        <v>_COI_1_</v>
      </c>
      <c r="AG92" s="37">
        <f t="shared" si="33"/>
        <v>1</v>
      </c>
      <c r="AI92" s="37" t="str">
        <f t="shared" si="34"/>
        <v>_HIG_2_</v>
      </c>
      <c r="AJ92" s="37">
        <f t="shared" si="35"/>
        <v>112</v>
      </c>
      <c r="AL92" s="37" t="str">
        <f t="shared" si="36"/>
        <v>_COI_1_</v>
      </c>
      <c r="AM92" s="37">
        <f t="shared" si="37"/>
        <v>100</v>
      </c>
    </row>
    <row r="93" spans="17:39" x14ac:dyDescent="0.35">
      <c r="Q93" s="37" t="str">
        <f t="shared" si="22"/>
        <v>_low_5_</v>
      </c>
      <c r="R93" s="37">
        <f t="shared" si="23"/>
        <v>210</v>
      </c>
      <c r="T93" s="37" t="str">
        <f t="shared" si="24"/>
        <v>_HIG_1_</v>
      </c>
      <c r="U93" s="37">
        <f t="shared" si="25"/>
        <v>78</v>
      </c>
      <c r="W93" s="37" t="str">
        <f t="shared" si="26"/>
        <v>_low_1_</v>
      </c>
      <c r="X93" s="37">
        <f t="shared" si="27"/>
        <v>100</v>
      </c>
      <c r="Z93" s="37" t="str">
        <f t="shared" si="28"/>
        <v>_low_2_</v>
      </c>
      <c r="AA93" s="37">
        <f t="shared" si="29"/>
        <v>140</v>
      </c>
      <c r="AC93" s="37" t="str">
        <f t="shared" si="30"/>
        <v>_low_3_</v>
      </c>
      <c r="AD93" s="37">
        <f t="shared" si="31"/>
        <v>260</v>
      </c>
      <c r="AF93" s="37" t="str">
        <f t="shared" si="32"/>
        <v>_low_5_</v>
      </c>
      <c r="AG93" s="37">
        <f t="shared" si="33"/>
        <v>554</v>
      </c>
      <c r="AI93" s="37" t="str">
        <f t="shared" si="34"/>
        <v>_low_2_</v>
      </c>
      <c r="AJ93" s="37">
        <f t="shared" si="35"/>
        <v>96</v>
      </c>
      <c r="AL93" s="37" t="str">
        <f t="shared" si="36"/>
        <v>_low_3_</v>
      </c>
      <c r="AM93" s="37">
        <f t="shared" si="37"/>
        <v>122</v>
      </c>
    </row>
    <row r="94" spans="17:39" x14ac:dyDescent="0.35">
      <c r="Q94" s="37" t="str">
        <f t="shared" si="22"/>
        <v>_COI_1_</v>
      </c>
      <c r="R94" s="37">
        <f t="shared" si="23"/>
        <v>10</v>
      </c>
      <c r="T94" s="37" t="str">
        <f t="shared" si="24"/>
        <v>_low_3_</v>
      </c>
      <c r="U94" s="37">
        <f t="shared" si="25"/>
        <v>150</v>
      </c>
      <c r="W94" s="37" t="str">
        <f t="shared" si="26"/>
        <v>_COI_1_</v>
      </c>
      <c r="X94" s="37">
        <f t="shared" si="27"/>
        <v>1</v>
      </c>
      <c r="Z94" s="37" t="str">
        <f t="shared" si="28"/>
        <v>_low_3_</v>
      </c>
      <c r="AA94" s="37">
        <f t="shared" si="29"/>
        <v>122</v>
      </c>
      <c r="AC94" s="37" t="str">
        <f t="shared" si="30"/>
        <v>_low_5_</v>
      </c>
      <c r="AD94" s="37">
        <f t="shared" si="31"/>
        <v>184</v>
      </c>
      <c r="AF94" s="37" t="str">
        <f t="shared" si="32"/>
        <v>_HIG_2_</v>
      </c>
      <c r="AG94" s="37">
        <f t="shared" si="33"/>
        <v>420</v>
      </c>
      <c r="AI94" s="37" t="str">
        <f t="shared" si="34"/>
        <v>_COI_1_</v>
      </c>
      <c r="AJ94" s="37">
        <f t="shared" si="35"/>
        <v>8</v>
      </c>
      <c r="AL94" s="37" t="str">
        <f t="shared" si="36"/>
        <v>_HIG_1_</v>
      </c>
      <c r="AM94" s="37">
        <f t="shared" si="37"/>
        <v>33</v>
      </c>
    </row>
    <row r="95" spans="17:39" x14ac:dyDescent="0.35">
      <c r="Q95" s="37" t="str">
        <f t="shared" si="22"/>
        <v>_low_3_</v>
      </c>
      <c r="R95" s="37">
        <f t="shared" si="23"/>
        <v>282</v>
      </c>
      <c r="T95" s="37" t="str">
        <f t="shared" si="24"/>
        <v>_COI_1_</v>
      </c>
      <c r="U95" s="37">
        <f t="shared" si="25"/>
        <v>11</v>
      </c>
      <c r="W95" s="37" t="str">
        <f t="shared" si="26"/>
        <v>_low_3_</v>
      </c>
      <c r="X95" s="37">
        <f t="shared" si="27"/>
        <v>160</v>
      </c>
      <c r="Z95" s="37" t="str">
        <f t="shared" si="28"/>
        <v>_low_5_</v>
      </c>
      <c r="AA95" s="37">
        <f t="shared" si="29"/>
        <v>78</v>
      </c>
      <c r="AC95" s="37" t="str">
        <f t="shared" si="30"/>
        <v>_HIG_2_</v>
      </c>
      <c r="AD95" s="37">
        <f t="shared" si="31"/>
        <v>4</v>
      </c>
      <c r="AF95" s="37" t="str">
        <f t="shared" si="32"/>
        <v>_COI_1_</v>
      </c>
      <c r="AG95" s="37">
        <f t="shared" si="33"/>
        <v>1</v>
      </c>
      <c r="AI95" s="37" t="str">
        <f t="shared" si="34"/>
        <v>_low_1_</v>
      </c>
      <c r="AJ95" s="37">
        <f t="shared" si="35"/>
        <v>126</v>
      </c>
      <c r="AL95" s="37" t="str">
        <f t="shared" si="36"/>
        <v>_low_1_</v>
      </c>
      <c r="AM95" s="37">
        <f t="shared" si="37"/>
        <v>40</v>
      </c>
    </row>
    <row r="96" spans="17:39" x14ac:dyDescent="0.35">
      <c r="Q96" s="37" t="str">
        <f t="shared" si="22"/>
        <v>_HIG_2_</v>
      </c>
      <c r="R96" s="37">
        <f t="shared" si="23"/>
        <v>178</v>
      </c>
      <c r="T96" s="37" t="str">
        <f t="shared" si="24"/>
        <v>_low_5_</v>
      </c>
      <c r="U96" s="37">
        <f t="shared" si="25"/>
        <v>130</v>
      </c>
      <c r="W96" s="37" t="str">
        <f t="shared" si="26"/>
        <v>_HIG_3_</v>
      </c>
      <c r="X96" s="37">
        <f t="shared" si="27"/>
        <v>78</v>
      </c>
      <c r="Z96" s="37" t="str">
        <f t="shared" si="28"/>
        <v>_HIG_2_</v>
      </c>
      <c r="AA96" s="37">
        <f t="shared" si="29"/>
        <v>104</v>
      </c>
      <c r="AC96" s="37" t="str">
        <f t="shared" si="30"/>
        <v>_low_2_</v>
      </c>
      <c r="AD96" s="37">
        <f t="shared" si="31"/>
        <v>300</v>
      </c>
      <c r="AF96" s="37" t="str">
        <f t="shared" si="32"/>
        <v>_low_3_</v>
      </c>
      <c r="AG96" s="37">
        <f t="shared" si="33"/>
        <v>592</v>
      </c>
      <c r="AI96" s="37" t="str">
        <f t="shared" si="34"/>
        <v>_low_4_</v>
      </c>
      <c r="AJ96" s="37">
        <f t="shared" si="35"/>
        <v>45</v>
      </c>
      <c r="AL96" s="37" t="str">
        <f t="shared" si="36"/>
        <v>_HIG_2_</v>
      </c>
      <c r="AM96" s="37">
        <f t="shared" si="37"/>
        <v>104</v>
      </c>
    </row>
    <row r="97" spans="13:39" x14ac:dyDescent="0.35">
      <c r="Q97" s="37" t="str">
        <f t="shared" si="22"/>
        <v>_low_1_</v>
      </c>
      <c r="R97" s="37">
        <f t="shared" si="23"/>
        <v>135</v>
      </c>
      <c r="T97" s="37" t="str">
        <f t="shared" si="24"/>
        <v>_HIG_2_</v>
      </c>
      <c r="U97" s="37">
        <f t="shared" si="25"/>
        <v>92</v>
      </c>
      <c r="W97" s="37" t="str">
        <f t="shared" si="26"/>
        <v>_low_4_</v>
      </c>
      <c r="X97" s="37">
        <f t="shared" si="27"/>
        <v>16</v>
      </c>
      <c r="Z97" s="37" t="str">
        <f t="shared" si="28"/>
        <v>_low_1_</v>
      </c>
      <c r="AA97" s="37">
        <f t="shared" si="29"/>
        <v>43</v>
      </c>
      <c r="AC97" s="37" t="str">
        <f t="shared" si="30"/>
        <v>_HIG_3_</v>
      </c>
      <c r="AD97" s="37">
        <f t="shared" si="31"/>
        <v>114</v>
      </c>
      <c r="AF97" s="37" t="str">
        <f t="shared" si="32"/>
        <v>_low_1_</v>
      </c>
      <c r="AG97" s="37">
        <f t="shared" si="33"/>
        <v>402</v>
      </c>
      <c r="AI97" s="37" t="str">
        <f t="shared" si="34"/>
        <v>_HIG_4_</v>
      </c>
      <c r="AJ97" s="37">
        <f t="shared" si="35"/>
        <v>102</v>
      </c>
      <c r="AL97" s="37" t="str">
        <f t="shared" si="36"/>
        <v>_HIG_1_</v>
      </c>
      <c r="AM97" s="37">
        <f t="shared" si="37"/>
        <v>32</v>
      </c>
    </row>
    <row r="98" spans="13:39" x14ac:dyDescent="0.35">
      <c r="Q98" s="37" t="str">
        <f t="shared" si="22"/>
        <v>_HIG_3_</v>
      </c>
      <c r="R98" s="37">
        <f t="shared" si="23"/>
        <v>211</v>
      </c>
      <c r="T98" s="37" t="str">
        <f t="shared" si="24"/>
        <v>_low_1_</v>
      </c>
      <c r="U98" s="37">
        <f t="shared" si="25"/>
        <v>54</v>
      </c>
      <c r="W98" s="37" t="str">
        <f t="shared" si="26"/>
        <v>_COI_1_</v>
      </c>
      <c r="X98" s="37">
        <f t="shared" si="27"/>
        <v>1</v>
      </c>
      <c r="Z98" s="37" t="str">
        <f t="shared" si="28"/>
        <v>_HIG_1_</v>
      </c>
      <c r="AA98" s="37">
        <f t="shared" si="29"/>
        <v>65</v>
      </c>
      <c r="AC98" s="37" t="str">
        <f t="shared" si="30"/>
        <v>_HIG_1_</v>
      </c>
      <c r="AD98" s="37">
        <f t="shared" si="31"/>
        <v>176</v>
      </c>
      <c r="AF98" s="37" t="str">
        <f t="shared" si="32"/>
        <v>_HIG_3_</v>
      </c>
      <c r="AG98" s="37">
        <f t="shared" si="33"/>
        <v>130</v>
      </c>
      <c r="AI98" s="37" t="str">
        <f t="shared" si="34"/>
        <v>_COI_1_</v>
      </c>
      <c r="AJ98" s="37">
        <f t="shared" si="35"/>
        <v>8</v>
      </c>
      <c r="AL98" s="37" t="str">
        <f t="shared" si="36"/>
        <v>_low_5_</v>
      </c>
      <c r="AM98" s="37">
        <f t="shared" si="37"/>
        <v>78</v>
      </c>
    </row>
    <row r="99" spans="13:39" x14ac:dyDescent="0.35">
      <c r="Q99" s="37" t="str">
        <f t="shared" si="22"/>
        <v>_low_4_</v>
      </c>
      <c r="R99" s="37">
        <f t="shared" si="23"/>
        <v>90</v>
      </c>
      <c r="T99" s="37" t="str">
        <f t="shared" si="24"/>
        <v>_HIG_3_</v>
      </c>
      <c r="U99" s="37">
        <f t="shared" si="25"/>
        <v>88</v>
      </c>
      <c r="W99" s="37" t="str">
        <f t="shared" si="26"/>
        <v>_low_5_</v>
      </c>
      <c r="X99" s="37">
        <f t="shared" si="27"/>
        <v>124</v>
      </c>
      <c r="Z99" s="37" t="str">
        <f t="shared" si="28"/>
        <v>_low_4_</v>
      </c>
      <c r="AA99" s="37">
        <f t="shared" si="29"/>
        <v>55</v>
      </c>
      <c r="AC99" s="37" t="str">
        <f t="shared" si="30"/>
        <v>_low_4_</v>
      </c>
      <c r="AD99" s="37">
        <f t="shared" si="31"/>
        <v>96</v>
      </c>
      <c r="AF99" s="37" t="str">
        <f t="shared" si="32"/>
        <v>_low_4_</v>
      </c>
      <c r="AG99" s="37">
        <f t="shared" si="33"/>
        <v>110</v>
      </c>
      <c r="AI99" s="37" t="str">
        <f t="shared" si="34"/>
        <v>_low_3_</v>
      </c>
      <c r="AJ99" s="37">
        <f t="shared" si="35"/>
        <v>160</v>
      </c>
      <c r="AL99" s="37" t="str">
        <f t="shared" si="36"/>
        <v>_HIG_3_</v>
      </c>
      <c r="AM99" s="37">
        <f t="shared" si="37"/>
        <v>102</v>
      </c>
    </row>
    <row r="100" spans="13:39" x14ac:dyDescent="0.35">
      <c r="Q100" s="37" t="str">
        <f t="shared" si="22"/>
        <v>_COI_1_</v>
      </c>
      <c r="R100" s="37">
        <f t="shared" si="23"/>
        <v>16</v>
      </c>
      <c r="T100" s="37" t="str">
        <f t="shared" si="24"/>
        <v>_low_4_</v>
      </c>
      <c r="U100" s="37">
        <f t="shared" si="25"/>
        <v>96</v>
      </c>
      <c r="W100" s="37" t="str">
        <f t="shared" si="26"/>
        <v>_HIG_2_</v>
      </c>
      <c r="X100" s="37">
        <f t="shared" si="27"/>
        <v>112</v>
      </c>
      <c r="Z100" s="37" t="str">
        <f t="shared" si="28"/>
        <v>_COI_1_</v>
      </c>
      <c r="AA100" s="37">
        <f t="shared" si="29"/>
        <v>20</v>
      </c>
      <c r="AC100" s="37" t="str">
        <f t="shared" si="30"/>
        <v>_COI_1_</v>
      </c>
      <c r="AD100" s="37">
        <f t="shared" si="31"/>
        <v>4</v>
      </c>
      <c r="AF100" s="37" t="str">
        <f t="shared" si="32"/>
        <v>_HIG_4_</v>
      </c>
      <c r="AG100" s="37">
        <f t="shared" si="33"/>
        <v>2</v>
      </c>
      <c r="AI100" s="37" t="str">
        <f t="shared" si="34"/>
        <v>_low_4_</v>
      </c>
      <c r="AJ100" s="37">
        <f t="shared" si="35"/>
        <v>1</v>
      </c>
      <c r="AL100" s="37" t="str">
        <f t="shared" si="36"/>
        <v>_COI_1_</v>
      </c>
      <c r="AM100" s="37">
        <f t="shared" si="37"/>
        <v>100</v>
      </c>
    </row>
    <row r="101" spans="13:39" x14ac:dyDescent="0.35">
      <c r="Q101" s="37" t="str">
        <f>VLOOKUP(Q117,$M$104:$N$116,2,FALSE)</f>
        <v>_low_2_</v>
      </c>
      <c r="R101" s="37">
        <f t="shared" si="23"/>
        <v>297</v>
      </c>
      <c r="T101" s="37" t="str">
        <f>VLOOKUP(T117,$M$104:$N$116,2,FALSE)</f>
        <v>_HIG_1_</v>
      </c>
      <c r="U101" s="37">
        <f t="shared" si="25"/>
        <v>18</v>
      </c>
      <c r="W101" s="37" t="str">
        <f t="shared" si="26"/>
        <v>_low_2_</v>
      </c>
      <c r="X101" s="37">
        <f t="shared" si="27"/>
        <v>96</v>
      </c>
      <c r="Z101" s="37" t="str">
        <f t="shared" si="28"/>
        <v>_HIG_3_</v>
      </c>
      <c r="AA101" s="37">
        <f t="shared" si="29"/>
        <v>102</v>
      </c>
      <c r="AC101" s="37" t="str">
        <f t="shared" si="30"/>
        <v>_HIG_3_</v>
      </c>
      <c r="AD101" s="37">
        <f t="shared" si="31"/>
        <v>96</v>
      </c>
      <c r="AF101" s="37" t="str">
        <f t="shared" si="32"/>
        <v>_low_4_</v>
      </c>
      <c r="AG101" s="37">
        <f t="shared" si="33"/>
        <v>204</v>
      </c>
      <c r="AI101" s="37" t="str">
        <f t="shared" si="34"/>
        <v>_HIG_1_</v>
      </c>
      <c r="AJ101" s="37">
        <f t="shared" si="35"/>
        <v>70</v>
      </c>
      <c r="AL101" s="37" t="str">
        <f t="shared" si="36"/>
        <v>_low_2_</v>
      </c>
      <c r="AM101" s="37">
        <f t="shared" si="37"/>
        <v>140</v>
      </c>
    </row>
    <row r="103" spans="13:39" x14ac:dyDescent="0.35">
      <c r="M103" s="37" t="s">
        <v>111</v>
      </c>
      <c r="Q103" s="106" t="s">
        <v>186</v>
      </c>
      <c r="R103" s="106" t="s">
        <v>53</v>
      </c>
      <c r="S103" s="97"/>
      <c r="T103" s="108" t="s">
        <v>186</v>
      </c>
      <c r="U103" s="108" t="s">
        <v>53</v>
      </c>
      <c r="V103" s="97"/>
      <c r="W103" s="110" t="s">
        <v>186</v>
      </c>
      <c r="X103" s="110" t="s">
        <v>53</v>
      </c>
      <c r="Y103" s="97"/>
      <c r="Z103" s="112" t="s">
        <v>186</v>
      </c>
      <c r="AA103" s="112" t="s">
        <v>53</v>
      </c>
      <c r="AB103" s="97"/>
      <c r="AC103" s="158" t="s">
        <v>186</v>
      </c>
      <c r="AD103" s="158" t="s">
        <v>53</v>
      </c>
      <c r="AE103" s="97"/>
      <c r="AF103" s="156" t="s">
        <v>186</v>
      </c>
      <c r="AG103" s="156" t="s">
        <v>53</v>
      </c>
      <c r="AH103" s="97"/>
      <c r="AI103" s="160" t="s">
        <v>186</v>
      </c>
      <c r="AJ103" s="160" t="s">
        <v>53</v>
      </c>
      <c r="AK103" s="97"/>
      <c r="AL103" s="103" t="s">
        <v>186</v>
      </c>
      <c r="AM103" s="103" t="s">
        <v>53</v>
      </c>
    </row>
    <row r="104" spans="13:39" x14ac:dyDescent="0.35">
      <c r="M104" s="37" t="s">
        <v>75</v>
      </c>
      <c r="N104" s="37" t="s">
        <v>10</v>
      </c>
      <c r="Q104" s="107" t="s">
        <v>71</v>
      </c>
      <c r="R104" s="107">
        <v>135</v>
      </c>
      <c r="S104" s="99"/>
      <c r="T104" s="109" t="s">
        <v>71</v>
      </c>
      <c r="U104" s="109">
        <v>60</v>
      </c>
      <c r="V104" s="99"/>
      <c r="W104" s="111" t="s">
        <v>71</v>
      </c>
      <c r="X104" s="111">
        <v>26</v>
      </c>
      <c r="Y104" s="99"/>
      <c r="Z104" s="113" t="s">
        <v>71</v>
      </c>
      <c r="AA104" s="113">
        <v>43</v>
      </c>
      <c r="AB104" s="99"/>
      <c r="AC104" s="159" t="s">
        <v>71</v>
      </c>
      <c r="AD104" s="159">
        <v>192</v>
      </c>
      <c r="AE104" s="99"/>
      <c r="AF104" s="157" t="s">
        <v>75</v>
      </c>
      <c r="AG104" s="157">
        <v>578</v>
      </c>
      <c r="AH104" s="99"/>
      <c r="AI104" s="161" t="s">
        <v>78</v>
      </c>
      <c r="AJ104" s="161">
        <v>78</v>
      </c>
      <c r="AK104" s="99"/>
      <c r="AL104" s="105" t="s">
        <v>69</v>
      </c>
      <c r="AM104" s="105">
        <v>100</v>
      </c>
    </row>
    <row r="105" spans="13:39" x14ac:dyDescent="0.35">
      <c r="M105" s="37" t="s">
        <v>73</v>
      </c>
      <c r="N105" s="37" t="s">
        <v>11</v>
      </c>
      <c r="Q105" s="107" t="s">
        <v>68</v>
      </c>
      <c r="R105" s="107">
        <v>89</v>
      </c>
      <c r="S105" s="99"/>
      <c r="T105" s="109" t="s">
        <v>69</v>
      </c>
      <c r="U105" s="109">
        <v>88</v>
      </c>
      <c r="V105" s="99"/>
      <c r="W105" s="111" t="s">
        <v>69</v>
      </c>
      <c r="X105" s="111">
        <v>102</v>
      </c>
      <c r="Y105" s="99"/>
      <c r="Z105" s="113" t="s">
        <v>68</v>
      </c>
      <c r="AA105" s="113">
        <v>55</v>
      </c>
      <c r="AB105" s="99"/>
      <c r="AC105" s="159" t="s">
        <v>69</v>
      </c>
      <c r="AD105" s="159">
        <v>114</v>
      </c>
      <c r="AE105" s="99"/>
      <c r="AF105" s="157" t="s">
        <v>71</v>
      </c>
      <c r="AG105" s="157">
        <v>442</v>
      </c>
      <c r="AH105" s="99"/>
      <c r="AI105" s="161" t="s">
        <v>68</v>
      </c>
      <c r="AJ105" s="161">
        <v>50</v>
      </c>
      <c r="AK105" s="99"/>
      <c r="AL105" s="105" t="s">
        <v>71</v>
      </c>
      <c r="AM105" s="105">
        <v>46</v>
      </c>
    </row>
    <row r="106" spans="13:39" x14ac:dyDescent="0.35">
      <c r="M106" s="37" t="s">
        <v>78</v>
      </c>
      <c r="N106" s="37" t="s">
        <v>27</v>
      </c>
      <c r="Q106" s="107" t="s">
        <v>74</v>
      </c>
      <c r="R106" s="107">
        <v>10</v>
      </c>
      <c r="S106" s="99"/>
      <c r="T106" s="109" t="s">
        <v>74</v>
      </c>
      <c r="U106" s="109">
        <v>11</v>
      </c>
      <c r="V106" s="99"/>
      <c r="W106" s="111" t="s">
        <v>74</v>
      </c>
      <c r="X106" s="111">
        <v>1</v>
      </c>
      <c r="Y106" s="99"/>
      <c r="Z106" s="113" t="s">
        <v>74</v>
      </c>
      <c r="AA106" s="113">
        <v>25</v>
      </c>
      <c r="AB106" s="99"/>
      <c r="AC106" s="159" t="s">
        <v>74</v>
      </c>
      <c r="AD106" s="159">
        <v>4</v>
      </c>
      <c r="AE106" s="99"/>
      <c r="AF106" s="157" t="s">
        <v>74</v>
      </c>
      <c r="AG106" s="157">
        <v>1</v>
      </c>
      <c r="AH106" s="99"/>
      <c r="AI106" s="161" t="s">
        <v>74</v>
      </c>
      <c r="AJ106" s="161">
        <v>8</v>
      </c>
      <c r="AK106" s="99"/>
      <c r="AL106" s="105" t="s">
        <v>74</v>
      </c>
      <c r="AM106" s="105">
        <v>100</v>
      </c>
    </row>
    <row r="107" spans="13:39" x14ac:dyDescent="0.35">
      <c r="M107" s="37" t="s">
        <v>69</v>
      </c>
      <c r="N107" s="37" t="s">
        <v>112</v>
      </c>
      <c r="Q107" s="107" t="s">
        <v>69</v>
      </c>
      <c r="R107" s="107">
        <v>211</v>
      </c>
      <c r="S107" s="99"/>
      <c r="T107" s="109" t="s">
        <v>72</v>
      </c>
      <c r="U107" s="109">
        <v>140</v>
      </c>
      <c r="V107" s="99"/>
      <c r="W107" s="111" t="s">
        <v>68</v>
      </c>
      <c r="X107" s="111">
        <v>80</v>
      </c>
      <c r="Y107" s="99"/>
      <c r="Z107" s="113" t="s">
        <v>69</v>
      </c>
      <c r="AA107" s="113">
        <v>100</v>
      </c>
      <c r="AB107" s="99"/>
      <c r="AC107" s="159" t="s">
        <v>68</v>
      </c>
      <c r="AD107" s="159">
        <v>280</v>
      </c>
      <c r="AE107" s="99"/>
      <c r="AF107" s="157" t="s">
        <v>72</v>
      </c>
      <c r="AG107" s="157">
        <v>362</v>
      </c>
      <c r="AH107" s="99"/>
      <c r="AI107" s="161" t="s">
        <v>67</v>
      </c>
      <c r="AJ107" s="161">
        <v>124</v>
      </c>
      <c r="AK107" s="99"/>
      <c r="AL107" s="105" t="s">
        <v>68</v>
      </c>
      <c r="AM107" s="105">
        <v>110</v>
      </c>
    </row>
    <row r="108" spans="13:39" x14ac:dyDescent="0.35">
      <c r="M108" s="37" t="s">
        <v>71</v>
      </c>
      <c r="N108" s="37" t="s">
        <v>12</v>
      </c>
      <c r="Q108" s="107" t="s">
        <v>75</v>
      </c>
      <c r="R108" s="107">
        <v>126</v>
      </c>
      <c r="S108" s="99"/>
      <c r="T108" s="109" t="s">
        <v>74</v>
      </c>
      <c r="U108" s="109">
        <v>11</v>
      </c>
      <c r="V108" s="99"/>
      <c r="W108" s="111" t="s">
        <v>75</v>
      </c>
      <c r="X108" s="111">
        <v>70</v>
      </c>
      <c r="Y108" s="99"/>
      <c r="Z108" s="113" t="s">
        <v>74</v>
      </c>
      <c r="AA108" s="113">
        <v>20</v>
      </c>
      <c r="AB108" s="99"/>
      <c r="AC108" s="159" t="s">
        <v>75</v>
      </c>
      <c r="AD108" s="159">
        <v>4</v>
      </c>
      <c r="AE108" s="99"/>
      <c r="AF108" s="157" t="s">
        <v>74</v>
      </c>
      <c r="AG108" s="157">
        <v>1</v>
      </c>
      <c r="AH108" s="99"/>
      <c r="AI108" s="161" t="s">
        <v>73</v>
      </c>
      <c r="AJ108" s="161">
        <v>112</v>
      </c>
      <c r="AK108" s="99"/>
      <c r="AL108" s="105" t="s">
        <v>74</v>
      </c>
      <c r="AM108" s="105">
        <v>100</v>
      </c>
    </row>
    <row r="109" spans="13:39" x14ac:dyDescent="0.35">
      <c r="M109" s="37" t="s">
        <v>72</v>
      </c>
      <c r="N109" s="37" t="s">
        <v>13</v>
      </c>
      <c r="Q109" s="107" t="s">
        <v>67</v>
      </c>
      <c r="R109" s="107">
        <v>210</v>
      </c>
      <c r="S109" s="99"/>
      <c r="T109" s="109" t="s">
        <v>75</v>
      </c>
      <c r="U109" s="109">
        <v>78</v>
      </c>
      <c r="V109" s="99"/>
      <c r="W109" s="111" t="s">
        <v>71</v>
      </c>
      <c r="X109" s="111">
        <v>100</v>
      </c>
      <c r="Y109" s="99"/>
      <c r="Z109" s="113" t="s">
        <v>72</v>
      </c>
      <c r="AA109" s="113">
        <v>140</v>
      </c>
      <c r="AB109" s="99"/>
      <c r="AC109" s="159" t="s">
        <v>70</v>
      </c>
      <c r="AD109" s="159">
        <v>260</v>
      </c>
      <c r="AE109" s="99"/>
      <c r="AF109" s="157" t="s">
        <v>67</v>
      </c>
      <c r="AG109" s="157">
        <v>554</v>
      </c>
      <c r="AH109" s="99"/>
      <c r="AI109" s="161" t="s">
        <v>72</v>
      </c>
      <c r="AJ109" s="161">
        <v>96</v>
      </c>
      <c r="AK109" s="99"/>
      <c r="AL109" s="105" t="s">
        <v>70</v>
      </c>
      <c r="AM109" s="105">
        <v>122</v>
      </c>
    </row>
    <row r="110" spans="13:39" x14ac:dyDescent="0.35">
      <c r="M110" s="37" t="s">
        <v>70</v>
      </c>
      <c r="N110" s="37" t="s">
        <v>14</v>
      </c>
      <c r="Q110" s="107" t="s">
        <v>74</v>
      </c>
      <c r="R110" s="107">
        <v>10</v>
      </c>
      <c r="S110" s="99"/>
      <c r="T110" s="109" t="s">
        <v>70</v>
      </c>
      <c r="U110" s="109">
        <v>150</v>
      </c>
      <c r="V110" s="99"/>
      <c r="W110" s="111" t="s">
        <v>74</v>
      </c>
      <c r="X110" s="111">
        <v>1</v>
      </c>
      <c r="Y110" s="99"/>
      <c r="Z110" s="113" t="s">
        <v>70</v>
      </c>
      <c r="AA110" s="113">
        <v>122</v>
      </c>
      <c r="AB110" s="99"/>
      <c r="AC110" s="159" t="s">
        <v>67</v>
      </c>
      <c r="AD110" s="159">
        <v>184</v>
      </c>
      <c r="AE110" s="99"/>
      <c r="AF110" s="157" t="s">
        <v>73</v>
      </c>
      <c r="AG110" s="157">
        <v>420</v>
      </c>
      <c r="AH110" s="99"/>
      <c r="AI110" s="161" t="s">
        <v>74</v>
      </c>
      <c r="AJ110" s="161">
        <v>8</v>
      </c>
      <c r="AK110" s="99"/>
      <c r="AL110" s="105" t="s">
        <v>75</v>
      </c>
      <c r="AM110" s="105">
        <v>33</v>
      </c>
    </row>
    <row r="111" spans="13:39" x14ac:dyDescent="0.35">
      <c r="M111" s="37" t="s">
        <v>68</v>
      </c>
      <c r="N111" s="37" t="s">
        <v>15</v>
      </c>
      <c r="Q111" s="107" t="s">
        <v>70</v>
      </c>
      <c r="R111" s="107">
        <v>282</v>
      </c>
      <c r="S111" s="99"/>
      <c r="T111" s="109" t="s">
        <v>74</v>
      </c>
      <c r="U111" s="109">
        <v>11</v>
      </c>
      <c r="V111" s="99"/>
      <c r="W111" s="111" t="s">
        <v>70</v>
      </c>
      <c r="X111" s="111">
        <v>160</v>
      </c>
      <c r="Y111" s="99"/>
      <c r="Z111" s="113" t="s">
        <v>67</v>
      </c>
      <c r="AA111" s="113">
        <v>78</v>
      </c>
      <c r="AB111" s="99"/>
      <c r="AC111" s="159" t="s">
        <v>73</v>
      </c>
      <c r="AD111" s="159">
        <v>4</v>
      </c>
      <c r="AE111" s="99"/>
      <c r="AF111" s="157" t="s">
        <v>74</v>
      </c>
      <c r="AG111" s="157">
        <v>1</v>
      </c>
      <c r="AH111" s="99"/>
      <c r="AI111" s="161" t="s">
        <v>71</v>
      </c>
      <c r="AJ111" s="161">
        <v>126</v>
      </c>
      <c r="AK111" s="99"/>
      <c r="AL111" s="105" t="s">
        <v>71</v>
      </c>
      <c r="AM111" s="105">
        <v>40</v>
      </c>
    </row>
    <row r="112" spans="13:39" x14ac:dyDescent="0.35">
      <c r="M112" s="37" t="s">
        <v>67</v>
      </c>
      <c r="N112" s="37" t="s">
        <v>16</v>
      </c>
      <c r="Q112" s="107" t="s">
        <v>73</v>
      </c>
      <c r="R112" s="107">
        <v>178</v>
      </c>
      <c r="S112" s="99"/>
      <c r="T112" s="109" t="s">
        <v>67</v>
      </c>
      <c r="U112" s="109">
        <v>130</v>
      </c>
      <c r="V112" s="99"/>
      <c r="W112" s="111" t="s">
        <v>78</v>
      </c>
      <c r="X112" s="111">
        <v>78</v>
      </c>
      <c r="Y112" s="99"/>
      <c r="Z112" s="113" t="s">
        <v>73</v>
      </c>
      <c r="AA112" s="113">
        <v>104</v>
      </c>
      <c r="AB112" s="99"/>
      <c r="AC112" s="159" t="s">
        <v>72</v>
      </c>
      <c r="AD112" s="159">
        <v>300</v>
      </c>
      <c r="AE112" s="99"/>
      <c r="AF112" s="157" t="s">
        <v>70</v>
      </c>
      <c r="AG112" s="157">
        <v>592</v>
      </c>
      <c r="AH112" s="99"/>
      <c r="AI112" s="161" t="s">
        <v>68</v>
      </c>
      <c r="AJ112" s="161">
        <v>45</v>
      </c>
      <c r="AK112" s="99"/>
      <c r="AL112" s="105" t="s">
        <v>73</v>
      </c>
      <c r="AM112" s="105">
        <v>104</v>
      </c>
    </row>
    <row r="113" spans="13:39" x14ac:dyDescent="0.35">
      <c r="M113" s="37" t="s">
        <v>76</v>
      </c>
      <c r="N113" s="37" t="s">
        <v>25</v>
      </c>
      <c r="Q113" s="107" t="s">
        <v>71</v>
      </c>
      <c r="R113" s="107">
        <v>135</v>
      </c>
      <c r="S113" s="99"/>
      <c r="T113" s="109" t="s">
        <v>73</v>
      </c>
      <c r="U113" s="109">
        <v>92</v>
      </c>
      <c r="V113" s="99"/>
      <c r="W113" s="111" t="s">
        <v>68</v>
      </c>
      <c r="X113" s="111">
        <v>16</v>
      </c>
      <c r="Y113" s="99"/>
      <c r="Z113" s="113" t="s">
        <v>71</v>
      </c>
      <c r="AA113" s="113">
        <v>43</v>
      </c>
      <c r="AB113" s="99"/>
      <c r="AC113" s="159" t="s">
        <v>78</v>
      </c>
      <c r="AD113" s="159">
        <v>114</v>
      </c>
      <c r="AE113" s="99"/>
      <c r="AF113" s="157" t="s">
        <v>71</v>
      </c>
      <c r="AG113" s="157">
        <v>402</v>
      </c>
      <c r="AH113" s="99"/>
      <c r="AI113" s="161" t="s">
        <v>69</v>
      </c>
      <c r="AJ113" s="161">
        <v>102</v>
      </c>
      <c r="AK113" s="99"/>
      <c r="AL113" s="105" t="s">
        <v>75</v>
      </c>
      <c r="AM113" s="105">
        <v>32</v>
      </c>
    </row>
    <row r="114" spans="13:39" x14ac:dyDescent="0.35">
      <c r="M114" s="37" t="s">
        <v>113</v>
      </c>
      <c r="N114" s="37" t="s">
        <v>28</v>
      </c>
      <c r="Q114" s="107" t="s">
        <v>78</v>
      </c>
      <c r="R114" s="107">
        <v>211</v>
      </c>
      <c r="S114" s="99"/>
      <c r="T114" s="109" t="s">
        <v>71</v>
      </c>
      <c r="U114" s="109">
        <v>54</v>
      </c>
      <c r="V114" s="99"/>
      <c r="W114" s="111" t="s">
        <v>74</v>
      </c>
      <c r="X114" s="111">
        <v>1</v>
      </c>
      <c r="Y114" s="99"/>
      <c r="Z114" s="113" t="s">
        <v>75</v>
      </c>
      <c r="AA114" s="113">
        <v>65</v>
      </c>
      <c r="AB114" s="99"/>
      <c r="AC114" s="159" t="s">
        <v>75</v>
      </c>
      <c r="AD114" s="159">
        <v>176</v>
      </c>
      <c r="AE114" s="99"/>
      <c r="AF114" s="157" t="s">
        <v>78</v>
      </c>
      <c r="AG114" s="157">
        <v>130</v>
      </c>
      <c r="AH114" s="99"/>
      <c r="AI114" s="161" t="s">
        <v>74</v>
      </c>
      <c r="AJ114" s="161">
        <v>8</v>
      </c>
      <c r="AK114" s="99"/>
      <c r="AL114" s="105" t="s">
        <v>67</v>
      </c>
      <c r="AM114" s="105">
        <v>78</v>
      </c>
    </row>
    <row r="115" spans="13:39" x14ac:dyDescent="0.35">
      <c r="M115" s="37" t="s">
        <v>74</v>
      </c>
      <c r="N115" s="37" t="s">
        <v>35</v>
      </c>
      <c r="Q115" s="107" t="s">
        <v>68</v>
      </c>
      <c r="R115" s="107">
        <v>90</v>
      </c>
      <c r="S115" s="99"/>
      <c r="T115" s="109" t="s">
        <v>78</v>
      </c>
      <c r="U115" s="109">
        <v>88</v>
      </c>
      <c r="V115" s="99"/>
      <c r="W115" s="111" t="s">
        <v>67</v>
      </c>
      <c r="X115" s="111">
        <v>124</v>
      </c>
      <c r="Y115" s="99"/>
      <c r="Z115" s="113" t="s">
        <v>68</v>
      </c>
      <c r="AA115" s="113">
        <v>55</v>
      </c>
      <c r="AB115" s="99"/>
      <c r="AC115" s="159" t="s">
        <v>68</v>
      </c>
      <c r="AD115" s="159">
        <v>96</v>
      </c>
      <c r="AE115" s="99"/>
      <c r="AF115" s="157" t="s">
        <v>68</v>
      </c>
      <c r="AG115" s="157">
        <v>110</v>
      </c>
      <c r="AH115" s="99"/>
      <c r="AI115" s="161" t="s">
        <v>70</v>
      </c>
      <c r="AJ115" s="161">
        <v>160</v>
      </c>
      <c r="AK115" s="99"/>
      <c r="AL115" s="105" t="s">
        <v>78</v>
      </c>
      <c r="AM115" s="105">
        <v>102</v>
      </c>
    </row>
    <row r="116" spans="13:39" x14ac:dyDescent="0.35">
      <c r="M116" s="37" t="s">
        <v>77</v>
      </c>
      <c r="N116" s="37" t="s">
        <v>50</v>
      </c>
      <c r="Q116" s="107" t="s">
        <v>74</v>
      </c>
      <c r="R116" s="107">
        <v>16</v>
      </c>
      <c r="S116" s="99"/>
      <c r="T116" s="109" t="s">
        <v>68</v>
      </c>
      <c r="U116" s="109">
        <v>96</v>
      </c>
      <c r="V116" s="99"/>
      <c r="W116" s="111" t="s">
        <v>73</v>
      </c>
      <c r="X116" s="111">
        <v>112</v>
      </c>
      <c r="Y116" s="99"/>
      <c r="Z116" s="113" t="s">
        <v>74</v>
      </c>
      <c r="AA116" s="113">
        <v>20</v>
      </c>
      <c r="AB116" s="99"/>
      <c r="AC116" s="159" t="s">
        <v>74</v>
      </c>
      <c r="AD116" s="159">
        <v>4</v>
      </c>
      <c r="AE116" s="99"/>
      <c r="AF116" s="157" t="s">
        <v>69</v>
      </c>
      <c r="AG116" s="157">
        <v>2</v>
      </c>
      <c r="AH116" s="99"/>
      <c r="AI116" s="161" t="s">
        <v>68</v>
      </c>
      <c r="AJ116" s="161">
        <v>1</v>
      </c>
      <c r="AK116" s="99"/>
      <c r="AL116" s="105" t="s">
        <v>74</v>
      </c>
      <c r="AM116" s="105">
        <v>100</v>
      </c>
    </row>
    <row r="117" spans="13:39" x14ac:dyDescent="0.35">
      <c r="Q117" s="107" t="s">
        <v>72</v>
      </c>
      <c r="R117" s="107">
        <v>297</v>
      </c>
      <c r="S117" s="99"/>
      <c r="T117" s="109" t="s">
        <v>75</v>
      </c>
      <c r="U117" s="109">
        <v>18</v>
      </c>
      <c r="V117" s="99"/>
      <c r="W117" s="111" t="s">
        <v>72</v>
      </c>
      <c r="X117" s="111">
        <v>96</v>
      </c>
      <c r="Y117" s="99"/>
      <c r="Z117" s="113" t="s">
        <v>78</v>
      </c>
      <c r="AA117" s="113">
        <v>102</v>
      </c>
      <c r="AB117" s="99"/>
      <c r="AC117" s="159" t="s">
        <v>78</v>
      </c>
      <c r="AD117" s="159">
        <v>96</v>
      </c>
      <c r="AE117" s="99"/>
      <c r="AF117" s="157" t="s">
        <v>68</v>
      </c>
      <c r="AG117" s="157">
        <v>204</v>
      </c>
      <c r="AH117" s="99"/>
      <c r="AI117" s="161" t="s">
        <v>75</v>
      </c>
      <c r="AJ117" s="161">
        <v>70</v>
      </c>
      <c r="AK117" s="99"/>
      <c r="AL117" s="105" t="s">
        <v>72</v>
      </c>
      <c r="AM117" s="105">
        <v>140</v>
      </c>
    </row>
  </sheetData>
  <mergeCells count="2">
    <mergeCell ref="B1:C1"/>
    <mergeCell ref="Q10:S10"/>
  </mergeCell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2634C-43D3-4124-8269-01F951938E5E}">
  <dimension ref="B2:E25"/>
  <sheetViews>
    <sheetView workbookViewId="0">
      <selection activeCell="J30" sqref="J30"/>
    </sheetView>
  </sheetViews>
  <sheetFormatPr defaultRowHeight="14.5" x14ac:dyDescent="0.35"/>
  <cols>
    <col min="2" max="2" width="13.453125" customWidth="1"/>
    <col min="3" max="3" width="12.7265625" customWidth="1"/>
  </cols>
  <sheetData>
    <row r="2" spans="2:5" ht="15" thickBot="1" x14ac:dyDescent="0.4"/>
    <row r="3" spans="2:5" ht="15" thickBot="1" x14ac:dyDescent="0.4">
      <c r="B3" s="35" t="s">
        <v>18</v>
      </c>
      <c r="C3" s="35" t="s">
        <v>51</v>
      </c>
      <c r="D3" s="35" t="s">
        <v>52</v>
      </c>
      <c r="E3" s="35" t="s">
        <v>53</v>
      </c>
    </row>
    <row r="4" spans="2:5" x14ac:dyDescent="0.35">
      <c r="B4" t="s">
        <v>56</v>
      </c>
      <c r="C4" t="s">
        <v>56</v>
      </c>
      <c r="D4" s="88">
        <v>1</v>
      </c>
      <c r="E4" s="88">
        <v>20</v>
      </c>
    </row>
    <row r="5" spans="2:5" x14ac:dyDescent="0.35">
      <c r="B5" t="s">
        <v>57</v>
      </c>
      <c r="C5" t="s">
        <v>57</v>
      </c>
      <c r="D5" s="89">
        <v>2</v>
      </c>
      <c r="E5" s="89">
        <v>7</v>
      </c>
    </row>
    <row r="6" spans="2:5" x14ac:dyDescent="0.35">
      <c r="B6" t="s">
        <v>58</v>
      </c>
      <c r="C6" t="s">
        <v>58</v>
      </c>
      <c r="D6" s="89">
        <v>3</v>
      </c>
      <c r="E6" s="89">
        <v>50</v>
      </c>
    </row>
    <row r="7" spans="2:5" x14ac:dyDescent="0.35">
      <c r="B7" t="s">
        <v>59</v>
      </c>
      <c r="C7" t="s">
        <v>59</v>
      </c>
      <c r="D7" s="89">
        <v>4</v>
      </c>
      <c r="E7" s="89">
        <v>5</v>
      </c>
    </row>
    <row r="8" spans="2:5" x14ac:dyDescent="0.35">
      <c r="B8" t="s">
        <v>60</v>
      </c>
      <c r="C8" t="s">
        <v>60</v>
      </c>
      <c r="D8" s="89">
        <v>5</v>
      </c>
      <c r="E8" s="89">
        <v>5</v>
      </c>
    </row>
    <row r="9" spans="2:5" x14ac:dyDescent="0.35">
      <c r="B9" t="s">
        <v>61</v>
      </c>
      <c r="C9" t="s">
        <v>61</v>
      </c>
      <c r="D9" s="89">
        <v>6</v>
      </c>
      <c r="E9" s="89">
        <v>5</v>
      </c>
    </row>
    <row r="10" spans="2:5" x14ac:dyDescent="0.35">
      <c r="B10" t="s">
        <v>62</v>
      </c>
      <c r="C10" t="s">
        <v>62</v>
      </c>
      <c r="D10" s="89">
        <v>7</v>
      </c>
      <c r="E10" s="89">
        <v>10</v>
      </c>
    </row>
    <row r="11" spans="2:5" x14ac:dyDescent="0.35">
      <c r="B11" t="s">
        <v>63</v>
      </c>
      <c r="C11" t="s">
        <v>63</v>
      </c>
      <c r="D11" s="89">
        <v>8</v>
      </c>
      <c r="E11" s="89">
        <v>7</v>
      </c>
    </row>
    <row r="12" spans="2:5" x14ac:dyDescent="0.35">
      <c r="B12" s="89"/>
      <c r="C12" s="89"/>
      <c r="D12" s="89"/>
      <c r="E12" s="89"/>
    </row>
    <row r="13" spans="2:5" x14ac:dyDescent="0.35">
      <c r="B13" s="89"/>
      <c r="C13" s="89"/>
      <c r="D13" s="89"/>
      <c r="E13" s="89"/>
    </row>
    <row r="14" spans="2:5" x14ac:dyDescent="0.35">
      <c r="B14" s="89"/>
      <c r="C14" s="89"/>
      <c r="D14" s="89"/>
      <c r="E14" s="89"/>
    </row>
    <row r="15" spans="2:5" x14ac:dyDescent="0.35">
      <c r="B15" s="89"/>
      <c r="C15" s="89"/>
      <c r="D15" s="89"/>
      <c r="E15" s="89"/>
    </row>
    <row r="16" spans="2:5" x14ac:dyDescent="0.35">
      <c r="B16" s="89"/>
      <c r="C16" s="89"/>
      <c r="D16" s="89"/>
      <c r="E16" s="89"/>
    </row>
    <row r="17" spans="2:5" x14ac:dyDescent="0.35">
      <c r="B17" s="89"/>
      <c r="C17" s="89"/>
      <c r="D17" s="89"/>
      <c r="E17" s="89"/>
    </row>
    <row r="18" spans="2:5" x14ac:dyDescent="0.35">
      <c r="B18" s="89"/>
      <c r="C18" s="89"/>
      <c r="D18" s="89"/>
      <c r="E18" s="89"/>
    </row>
    <row r="19" spans="2:5" x14ac:dyDescent="0.35">
      <c r="B19" s="89"/>
      <c r="C19" s="89"/>
      <c r="D19" s="89"/>
      <c r="E19" s="89"/>
    </row>
    <row r="20" spans="2:5" x14ac:dyDescent="0.35">
      <c r="B20" s="89"/>
      <c r="C20" s="89"/>
      <c r="D20" s="89"/>
      <c r="E20" s="89"/>
    </row>
    <row r="21" spans="2:5" x14ac:dyDescent="0.35">
      <c r="B21" s="89"/>
      <c r="C21" s="89"/>
      <c r="D21" s="89"/>
      <c r="E21" s="89"/>
    </row>
    <row r="22" spans="2:5" x14ac:dyDescent="0.35">
      <c r="B22" s="89"/>
      <c r="C22" s="89"/>
      <c r="D22" s="89"/>
      <c r="E22" s="89"/>
    </row>
    <row r="23" spans="2:5" x14ac:dyDescent="0.35">
      <c r="B23" s="89"/>
      <c r="C23" s="89"/>
      <c r="D23" s="89"/>
      <c r="E23" s="89"/>
    </row>
    <row r="24" spans="2:5" x14ac:dyDescent="0.35">
      <c r="B24" s="89"/>
      <c r="C24" s="89"/>
      <c r="D24" s="89"/>
      <c r="E24" s="89"/>
    </row>
    <row r="25" spans="2:5" ht="15" thickBot="1" x14ac:dyDescent="0.4">
      <c r="B25" s="90"/>
      <c r="C25" s="90"/>
      <c r="D25" s="90"/>
      <c r="E25" s="9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ArrayOfDocumentManager.DocumentInfo xmlns:i="http://www.w3.org/2001/XMLSchema-instance" xmlns="http://schemas.datacontract.org/2004/07/IGT.Tools.GameDataEditor.PaytableExporter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8671FFAB1750C4BA4AB4AE92FE65D93" ma:contentTypeVersion="4" ma:contentTypeDescription="Create a new document." ma:contentTypeScope="" ma:versionID="ab9eeb359e3b00ca1c55912f47ff370b">
  <xsd:schema xmlns:xsd="http://www.w3.org/2001/XMLSchema" xmlns:xs="http://www.w3.org/2001/XMLSchema" xmlns:p="http://schemas.microsoft.com/office/2006/metadata/properties" xmlns:ns2="8571dc3e-6776-4292-a097-56ced0cad67d" xmlns:ns3="b1c673ee-715c-48f7-9bb8-207eededd970" targetNamespace="http://schemas.microsoft.com/office/2006/metadata/properties" ma:root="true" ma:fieldsID="e752eba9a2076c5d6c86ccf5f6e78b3f" ns2:_="" ns3:_="">
    <xsd:import namespace="8571dc3e-6776-4292-a097-56ced0cad67d"/>
    <xsd:import namespace="b1c673ee-715c-48f7-9bb8-207eededd97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71dc3e-6776-4292-a097-56ced0cad67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c673ee-715c-48f7-9bb8-207eededd97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34E8E66-869F-416E-A71D-6B6E3DEFC2B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AF589FF-FAF6-427D-B066-BF0121C99AA3}">
  <ds:schemaRefs>
    <ds:schemaRef ds:uri="http://schemas.datacontract.org/2004/07/IGT.Tools.GameDataEditor.PaytableExporter"/>
  </ds:schemaRefs>
</ds:datastoreItem>
</file>

<file path=customXml/itemProps3.xml><?xml version="1.0" encoding="utf-8"?>
<ds:datastoreItem xmlns:ds="http://schemas.openxmlformats.org/officeDocument/2006/customXml" ds:itemID="{118C888B-9551-4640-84EC-3466A0B5EDC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9E48129-2137-4F4D-9EEA-C5CEA4444EF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91B1FA03-ED83-4B66-B655-69AF679090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71dc3e-6776-4292-a097-56ced0cad67d"/>
    <ds:schemaRef ds:uri="b1c673ee-715c-48f7-9bb8-207eededd9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21</vt:i4>
      </vt:variant>
    </vt:vector>
  </HeadingPairs>
  <TitlesOfParts>
    <vt:vector size="31" baseType="lpstr">
      <vt:lpstr>FG_FEATure</vt:lpstr>
      <vt:lpstr>Symbols</vt:lpstr>
      <vt:lpstr>Paytable</vt:lpstr>
      <vt:lpstr>ScepterInput</vt:lpstr>
      <vt:lpstr>Reelstrip_BG</vt:lpstr>
      <vt:lpstr>Reelstrip_FG</vt:lpstr>
      <vt:lpstr>BG_DRAW</vt:lpstr>
      <vt:lpstr>FG_FEAT</vt:lpstr>
      <vt:lpstr>HaS</vt:lpstr>
      <vt:lpstr>Wheel</vt:lpstr>
      <vt:lpstr>Reelstrip_FG!Psumpack_BG_Reel1_SBase01</vt:lpstr>
      <vt:lpstr>Psumpack_BG_Reel1_SBase01</vt:lpstr>
      <vt:lpstr>Reelstrip_FG!Psumpack_BG_Reel2_SBase01</vt:lpstr>
      <vt:lpstr>Psumpack_BG_Reel2_SBase01</vt:lpstr>
      <vt:lpstr>Reelstrip_FG!Psumpack_BG_Reel3_SBase01</vt:lpstr>
      <vt:lpstr>Psumpack_BG_Reel3_SBase01</vt:lpstr>
      <vt:lpstr>Reelstrip_FG!Psumpack_BG_Reel4_SBase01</vt:lpstr>
      <vt:lpstr>Psumpack_BG_Reel4_SBase01</vt:lpstr>
      <vt:lpstr>Reelstrip_FG!Psumpack_BG_Reel5_SBase01</vt:lpstr>
      <vt:lpstr>Psumpack_BG_Reel5_SBase01</vt:lpstr>
      <vt:lpstr>Reelstrip_FG!Reelpack_BG_Reel1_Section01</vt:lpstr>
      <vt:lpstr>Reelpack_BG_Reel1_Section01</vt:lpstr>
      <vt:lpstr>Reelstrip_FG!Reelpack_BG_Reel2_Section01</vt:lpstr>
      <vt:lpstr>Reelpack_BG_Reel2_Section01</vt:lpstr>
      <vt:lpstr>Reelstrip_FG!Reelpack_BG_Reel3_Section01</vt:lpstr>
      <vt:lpstr>Reelpack_BG_Reel3_Section01</vt:lpstr>
      <vt:lpstr>Reelstrip_FG!Reelpack_BG_Reel4_Section01</vt:lpstr>
      <vt:lpstr>Reelpack_BG_Reel4_Section01</vt:lpstr>
      <vt:lpstr>Reelstrip_FG!Reelpack_BG_Reel5_Section01</vt:lpstr>
      <vt:lpstr>Reelpack_BG_Reel5_Section01</vt:lpstr>
      <vt:lpstr>Symbols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Jovanovic, Jelena</dc:creator>
  <cp:keywords/>
  <dc:description/>
  <cp:lastModifiedBy>Ciganović, Mina</cp:lastModifiedBy>
  <cp:revision/>
  <dcterms:created xsi:type="dcterms:W3CDTF">2015-06-05T18:17:20Z</dcterms:created>
  <dcterms:modified xsi:type="dcterms:W3CDTF">2026-04-17T08:35:32Z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0x01010058671FFAB1750C4BA4AB4AE92FE65D93</vt:lpwstr>
  </property>
  <property fmtid="{D5CDD505-2E9C-101B-9397-08002B2CF9AE}" pid="3" name="DocumentDirectory">
    <vt:lpwstr>{6AF589FF-FAF6-427D-B066-BF0121C99AA3}</vt:lpwstr>
  </property>
</Properties>
</file>