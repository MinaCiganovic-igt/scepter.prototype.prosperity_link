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bs61955\Scepter\scepter.templates.prototype_vibe\prototype_vibe\"/>
    </mc:Choice>
  </mc:AlternateContent>
  <xr:revisionPtr revIDLastSave="0" documentId="13_ncr:1_{CF4AB8AB-D2E3-4ED3-8332-A0608D51D18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Symbols" sheetId="16" r:id="rId1"/>
    <sheet name="Lines" sheetId="50" r:id="rId2"/>
    <sheet name="Report_Bet=85 (40, 2, 5)" sheetId="877" r:id="rId3"/>
    <sheet name="Paytable" sheetId="17" r:id="rId4"/>
    <sheet name="ScepterInput" sheetId="753" r:id="rId5"/>
    <sheet name="Reelstrip_BG" sheetId="867" r:id="rId6"/>
    <sheet name="HaS" sheetId="872" r:id="rId7"/>
    <sheet name="Wheel" sheetId="874" r:id="rId8"/>
  </sheets>
  <definedNames>
    <definedName name="BG_DG_Sec_Psum_RTP25">#REF!</definedName>
    <definedName name="BG_DG_Sec_Psum_RTP35">#REF!</definedName>
    <definedName name="BG_DG_Sec_Psum_RTP92">#REF!</definedName>
    <definedName name="BG_DG_Sec_Psum_RTP93">#REF!</definedName>
    <definedName name="BG_DG_Sec_Psum_RTP94">#REF!</definedName>
    <definedName name="BG_DG_Sec_Reward_RTP25">#REF!</definedName>
    <definedName name="BG_DG_Sec_Reward_RTP35">#REF!</definedName>
    <definedName name="BG_DG_Sec_Reward_RTP92">#REF!</definedName>
    <definedName name="BG_DG_Sec_Reward_RTP93">#REF!</definedName>
    <definedName name="BG_DG_Sec_Reward_RTP94">#REF!</definedName>
    <definedName name="CTC">#REF!</definedName>
    <definedName name="DataSet">#REF!</definedName>
    <definedName name="GameInfo_AL">#REF!</definedName>
    <definedName name="Lines">Lines!#REF!</definedName>
    <definedName name="Psumpack_BG_Reel1_SBase01">Reelstrip_BG!$I$5:$I$6</definedName>
    <definedName name="Psumpack_BG_Reel1_SBase02">Reelstrip_BG!#REF!</definedName>
    <definedName name="Psumpack_BG_Reel1_SBase03">Reelstrip_BG!#REF!</definedName>
    <definedName name="Psumpack_BG_Reel1_SBase04">Reelstrip_BG!#REF!</definedName>
    <definedName name="Psumpack_BG_Reel1_SBase05">Reelstrip_BG!#REF!</definedName>
    <definedName name="Psumpack_BG_Reel1_SBase06">Reelstrip_BG!#REF!</definedName>
    <definedName name="Psumpack_BG_Reel2_SBase01">Reelstrip_BG!$J$5:$J$6</definedName>
    <definedName name="Psumpack_BG_Reel2_SBase02">Reelstrip_BG!#REF!</definedName>
    <definedName name="Psumpack_BG_Reel2_SBase03">Reelstrip_BG!#REF!</definedName>
    <definedName name="Psumpack_BG_Reel2_SBase04">Reelstrip_BG!#REF!</definedName>
    <definedName name="Psumpack_BG_Reel2_SBase05">Reelstrip_BG!#REF!</definedName>
    <definedName name="Psumpack_BG_Reel2_SBase06">Reelstrip_BG!#REF!</definedName>
    <definedName name="Psumpack_BG_Reel3_SBase01">Reelstrip_BG!$K$5:$K$6</definedName>
    <definedName name="Psumpack_BG_Reel3_SBase02">Reelstrip_BG!#REF!</definedName>
    <definedName name="Psumpack_BG_Reel3_SBase03">Reelstrip_BG!#REF!</definedName>
    <definedName name="Psumpack_BG_Reel3_SBase04">Reelstrip_BG!#REF!</definedName>
    <definedName name="Psumpack_BG_Reel3_SBase05">Reelstrip_BG!#REF!</definedName>
    <definedName name="Psumpack_BG_Reel3_SBase06">Reelstrip_BG!#REF!</definedName>
    <definedName name="Psumpack_BG_Reel4_SBase01">Reelstrip_BG!$L$5:$L$6</definedName>
    <definedName name="Psumpack_BG_Reel4_SBase02">Reelstrip_BG!#REF!</definedName>
    <definedName name="Psumpack_BG_Reel4_SBase03">Reelstrip_BG!#REF!</definedName>
    <definedName name="Psumpack_BG_Reel4_SBase04">Reelstrip_BG!#REF!</definedName>
    <definedName name="Psumpack_BG_Reel4_SBase05">Reelstrip_BG!#REF!</definedName>
    <definedName name="Psumpack_BG_Reel4_SBase06">Reelstrip_BG!#REF!</definedName>
    <definedName name="Psumpack_BG_Reel5_SBase01">Reelstrip_BG!$M$5:$M$6</definedName>
    <definedName name="Psumpack_BG_Reel5_SBase02">Reelstrip_BG!#REF!</definedName>
    <definedName name="Psumpack_BG_Reel5_SBase03">Reelstrip_BG!#REF!</definedName>
    <definedName name="Psumpack_BG_Reel5_SBase04">Reelstrip_BG!#REF!</definedName>
    <definedName name="Psumpack_BG_Reel5_SBase05">Reelstrip_BG!#REF!</definedName>
    <definedName name="Psumpack_BG_Reel5_SBase06">Reelstrip_BG!#REF!</definedName>
    <definedName name="Reelpack_BG_Reel1_Section01">Reelstrip_BG!$B$4</definedName>
    <definedName name="Reelpack_BG_Reel1_Section02">Reelstrip_BG!#REF!</definedName>
    <definedName name="Reelpack_BG_Reel2_Section01">Reelstrip_BG!$C$4</definedName>
    <definedName name="Reelpack_BG_Reel2_Section02">Reelstrip_BG!#REF!</definedName>
    <definedName name="Reelpack_BG_Reel3_Section01">Reelstrip_BG!$D$4</definedName>
    <definedName name="Reelpack_BG_Reel3_Section02">Reelstrip_BG!#REF!</definedName>
    <definedName name="Reelpack_BG_Reel4_Section01">Reelstrip_BG!$E$4</definedName>
    <definedName name="Reelpack_BG_Reel4_Section02">Reelstrip_BG!#REF!</definedName>
    <definedName name="Reelpack_BG_Reel5_Section01">Reelstrip_BG!$F$4</definedName>
    <definedName name="Reelpack_BG_Reel5_Section02">Reelstrip_BG!#REF!</definedName>
    <definedName name="Symbols">ScepterInput!$I$5:$I$54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5" i="867" l="1"/>
  <c r="F57" i="867" s="1"/>
  <c r="E55" i="867"/>
  <c r="E57" i="867" s="1"/>
  <c r="D55" i="867"/>
  <c r="D57" i="867" s="1"/>
  <c r="C55" i="867"/>
  <c r="C57" i="867" s="1"/>
  <c r="B55" i="867"/>
  <c r="B57" i="867" s="1"/>
  <c r="O16" i="872"/>
  <c r="N16" i="872"/>
  <c r="M16" i="872"/>
  <c r="L16" i="872"/>
  <c r="K16" i="872"/>
  <c r="J16" i="872"/>
  <c r="I16" i="872"/>
  <c r="H16" i="872"/>
  <c r="G16" i="872"/>
  <c r="O15" i="872"/>
  <c r="N15" i="872"/>
  <c r="M15" i="872"/>
  <c r="L15" i="872"/>
  <c r="K15" i="872"/>
  <c r="J15" i="872"/>
  <c r="I15" i="872"/>
  <c r="H15" i="872"/>
  <c r="G15" i="872"/>
  <c r="O14" i="872"/>
  <c r="N14" i="872"/>
  <c r="M14" i="872"/>
  <c r="L14" i="872"/>
  <c r="K14" i="872"/>
  <c r="J14" i="872"/>
  <c r="I14" i="872"/>
  <c r="H14" i="872"/>
  <c r="G14" i="872"/>
  <c r="O13" i="872"/>
  <c r="N13" i="872"/>
  <c r="M13" i="872"/>
  <c r="L13" i="872"/>
  <c r="K13" i="872"/>
  <c r="J13" i="872"/>
  <c r="I13" i="872"/>
  <c r="H13" i="872"/>
  <c r="G13" i="872"/>
  <c r="O12" i="872"/>
  <c r="O18" i="872" s="1"/>
  <c r="N12" i="872"/>
  <c r="N18" i="872" s="1"/>
  <c r="M12" i="872"/>
  <c r="M18" i="872" s="1"/>
  <c r="L12" i="872"/>
  <c r="K12" i="872"/>
  <c r="J12" i="872"/>
  <c r="I12" i="872"/>
  <c r="G12" i="872"/>
  <c r="G18" i="872" s="1"/>
  <c r="O11" i="872"/>
  <c r="N11" i="872"/>
  <c r="M11" i="872"/>
  <c r="L11" i="872"/>
  <c r="K11" i="872"/>
  <c r="J11" i="872"/>
  <c r="I11" i="872"/>
  <c r="H11" i="872"/>
  <c r="G11" i="872"/>
  <c r="H12" i="872"/>
  <c r="H18" i="872" s="1"/>
  <c r="B61" i="867" l="1"/>
  <c r="I18" i="872"/>
  <c r="J18" i="872"/>
  <c r="L18" i="872"/>
  <c r="K18" i="872"/>
  <c r="D8" i="872"/>
  <c r="D7" i="872"/>
  <c r="D6" i="872"/>
  <c r="D5" i="872"/>
  <c r="D4" i="872"/>
  <c r="D3" i="872"/>
  <c r="C10" i="872" s="1"/>
  <c r="A1" i="867" l="1"/>
  <c r="I55" i="867" l="1"/>
  <c r="J55" i="867"/>
  <c r="K55" i="867"/>
  <c r="L55" i="867"/>
  <c r="M55" i="867"/>
  <c r="C18" i="16" l="1"/>
  <c r="I209" i="50" l="1"/>
  <c r="L213" i="50" s="1"/>
  <c r="N207" i="50"/>
  <c r="M207" i="50"/>
  <c r="L207" i="50"/>
  <c r="K207" i="50"/>
  <c r="J207" i="50"/>
  <c r="N206" i="50"/>
  <c r="M206" i="50"/>
  <c r="L206" i="50"/>
  <c r="K206" i="50"/>
  <c r="J206" i="50"/>
  <c r="N205" i="50"/>
  <c r="M205" i="50"/>
  <c r="L205" i="50"/>
  <c r="K205" i="50"/>
  <c r="J205" i="50"/>
  <c r="N204" i="50"/>
  <c r="M204" i="50"/>
  <c r="L204" i="50"/>
  <c r="K204" i="50"/>
  <c r="J204" i="50"/>
  <c r="O203" i="50"/>
  <c r="J212" i="50" l="1"/>
  <c r="K212" i="50"/>
  <c r="M213" i="50"/>
  <c r="N213" i="50"/>
  <c r="O209" i="50"/>
  <c r="L210" i="50"/>
  <c r="M210" i="50"/>
  <c r="N210" i="50"/>
  <c r="L212" i="50"/>
  <c r="I215" i="50"/>
  <c r="J211" i="50"/>
  <c r="M212" i="50"/>
  <c r="K211" i="50"/>
  <c r="N212" i="50"/>
  <c r="L211" i="50"/>
  <c r="J213" i="50"/>
  <c r="J210" i="50"/>
  <c r="M211" i="50"/>
  <c r="K213" i="50"/>
  <c r="K210" i="50"/>
  <c r="N211" i="50"/>
  <c r="N219" i="50" l="1"/>
  <c r="K218" i="50"/>
  <c r="M216" i="50"/>
  <c r="M219" i="50"/>
  <c r="J218" i="50"/>
  <c r="L216" i="50"/>
  <c r="L219" i="50"/>
  <c r="N217" i="50"/>
  <c r="K216" i="50"/>
  <c r="K219" i="50"/>
  <c r="M217" i="50"/>
  <c r="J216" i="50"/>
  <c r="J219" i="50"/>
  <c r="L217" i="50"/>
  <c r="O215" i="50"/>
  <c r="N218" i="50"/>
  <c r="K217" i="50"/>
  <c r="N216" i="50"/>
  <c r="I221" i="50"/>
  <c r="M218" i="50"/>
  <c r="L218" i="50"/>
  <c r="J217" i="50"/>
  <c r="M224" i="50" l="1"/>
  <c r="J223" i="50"/>
  <c r="I227" i="50"/>
  <c r="L224" i="50"/>
  <c r="N222" i="50"/>
  <c r="N225" i="50"/>
  <c r="K224" i="50"/>
  <c r="M222" i="50"/>
  <c r="M225" i="50"/>
  <c r="J224" i="50"/>
  <c r="L222" i="50"/>
  <c r="L225" i="50"/>
  <c r="N223" i="50"/>
  <c r="K222" i="50"/>
  <c r="K225" i="50"/>
  <c r="M223" i="50"/>
  <c r="J222" i="50"/>
  <c r="N224" i="50"/>
  <c r="J225" i="50"/>
  <c r="L223" i="50"/>
  <c r="K223" i="50"/>
  <c r="O221" i="50"/>
  <c r="J231" i="50" l="1"/>
  <c r="L229" i="50"/>
  <c r="O227" i="50"/>
  <c r="N230" i="50"/>
  <c r="K229" i="50"/>
  <c r="M230" i="50"/>
  <c r="J229" i="50"/>
  <c r="I233" i="50"/>
  <c r="L230" i="50"/>
  <c r="N228" i="50"/>
  <c r="N231" i="50"/>
  <c r="K230" i="50"/>
  <c r="M228" i="50"/>
  <c r="M231" i="50"/>
  <c r="J230" i="50"/>
  <c r="L228" i="50"/>
  <c r="L231" i="50"/>
  <c r="K231" i="50"/>
  <c r="N229" i="50"/>
  <c r="M229" i="50"/>
  <c r="K228" i="50"/>
  <c r="J228" i="50"/>
  <c r="L237" i="50" l="1"/>
  <c r="N235" i="50"/>
  <c r="K234" i="50"/>
  <c r="K237" i="50"/>
  <c r="M235" i="50"/>
  <c r="J234" i="50"/>
  <c r="J237" i="50"/>
  <c r="L235" i="50"/>
  <c r="O233" i="50"/>
  <c r="N236" i="50"/>
  <c r="K235" i="50"/>
  <c r="M236" i="50"/>
  <c r="J235" i="50"/>
  <c r="I239" i="50"/>
  <c r="L236" i="50"/>
  <c r="N234" i="50"/>
  <c r="L234" i="50"/>
  <c r="N237" i="50"/>
  <c r="M237" i="50"/>
  <c r="M234" i="50"/>
  <c r="K236" i="50"/>
  <c r="J236" i="50"/>
  <c r="N243" i="50" l="1"/>
  <c r="K242" i="50"/>
  <c r="M240" i="50"/>
  <c r="M243" i="50"/>
  <c r="J242" i="50"/>
  <c r="L240" i="50"/>
  <c r="L243" i="50"/>
  <c r="N241" i="50"/>
  <c r="K240" i="50"/>
  <c r="K243" i="50"/>
  <c r="M241" i="50"/>
  <c r="J240" i="50"/>
  <c r="J243" i="50"/>
  <c r="L241" i="50"/>
  <c r="O239" i="50"/>
  <c r="N242" i="50"/>
  <c r="K241" i="50"/>
  <c r="L242" i="50"/>
  <c r="J241" i="50"/>
  <c r="M242" i="50"/>
  <c r="N240" i="50"/>
  <c r="I245" i="50"/>
  <c r="M248" i="50" l="1"/>
  <c r="J247" i="50"/>
  <c r="I251" i="50"/>
  <c r="L248" i="50"/>
  <c r="N246" i="50"/>
  <c r="N249" i="50"/>
  <c r="K248" i="50"/>
  <c r="M246" i="50"/>
  <c r="M249" i="50"/>
  <c r="J248" i="50"/>
  <c r="L246" i="50"/>
  <c r="L249" i="50"/>
  <c r="N247" i="50"/>
  <c r="K246" i="50"/>
  <c r="K249" i="50"/>
  <c r="M247" i="50"/>
  <c r="J246" i="50"/>
  <c r="J249" i="50"/>
  <c r="N248" i="50"/>
  <c r="L247" i="50"/>
  <c r="K247" i="50"/>
  <c r="O245" i="50"/>
  <c r="J255" i="50" l="1"/>
  <c r="L253" i="50"/>
  <c r="O251" i="50"/>
  <c r="N254" i="50"/>
  <c r="K253" i="50"/>
  <c r="M254" i="50"/>
  <c r="J253" i="50"/>
  <c r="I257" i="50"/>
  <c r="L254" i="50"/>
  <c r="N252" i="50"/>
  <c r="N255" i="50"/>
  <c r="K254" i="50"/>
  <c r="M252" i="50"/>
  <c r="M255" i="50"/>
  <c r="J254" i="50"/>
  <c r="L252" i="50"/>
  <c r="J252" i="50"/>
  <c r="L255" i="50"/>
  <c r="K255" i="50"/>
  <c r="N253" i="50"/>
  <c r="M253" i="50"/>
  <c r="K252" i="50"/>
  <c r="L261" i="50" l="1"/>
  <c r="N259" i="50"/>
  <c r="K258" i="50"/>
  <c r="K261" i="50"/>
  <c r="M259" i="50"/>
  <c r="J258" i="50"/>
  <c r="J261" i="50"/>
  <c r="L259" i="50"/>
  <c r="O257" i="50"/>
  <c r="N260" i="50"/>
  <c r="K259" i="50"/>
  <c r="M260" i="50"/>
  <c r="J259" i="50"/>
  <c r="I263" i="50"/>
  <c r="L260" i="50"/>
  <c r="N258" i="50"/>
  <c r="J260" i="50"/>
  <c r="K260" i="50"/>
  <c r="M258" i="50"/>
  <c r="L258" i="50"/>
  <c r="N261" i="50"/>
  <c r="M261" i="50"/>
  <c r="N267" i="50" l="1"/>
  <c r="K266" i="50"/>
  <c r="M264" i="50"/>
  <c r="M267" i="50"/>
  <c r="J266" i="50"/>
  <c r="L264" i="50"/>
  <c r="L267" i="50"/>
  <c r="N265" i="50"/>
  <c r="K264" i="50"/>
  <c r="K267" i="50"/>
  <c r="M265" i="50"/>
  <c r="J264" i="50"/>
  <c r="J267" i="50"/>
  <c r="L265" i="50"/>
  <c r="O263" i="50"/>
  <c r="N266" i="50"/>
  <c r="K265" i="50"/>
  <c r="I269" i="50"/>
  <c r="M266" i="50"/>
  <c r="L266" i="50"/>
  <c r="J265" i="50"/>
  <c r="N264" i="50"/>
  <c r="M272" i="50" l="1"/>
  <c r="J271" i="50"/>
  <c r="I275" i="50"/>
  <c r="L272" i="50"/>
  <c r="N270" i="50"/>
  <c r="N273" i="50"/>
  <c r="K272" i="50"/>
  <c r="M270" i="50"/>
  <c r="M273" i="50"/>
  <c r="J272" i="50"/>
  <c r="L270" i="50"/>
  <c r="L273" i="50"/>
  <c r="N271" i="50"/>
  <c r="K270" i="50"/>
  <c r="K273" i="50"/>
  <c r="M271" i="50"/>
  <c r="J270" i="50"/>
  <c r="J273" i="50"/>
  <c r="N272" i="50"/>
  <c r="L271" i="50"/>
  <c r="K271" i="50"/>
  <c r="O269" i="50"/>
  <c r="J279" i="50" l="1"/>
  <c r="L277" i="50"/>
  <c r="O275" i="50"/>
  <c r="N278" i="50"/>
  <c r="K277" i="50"/>
  <c r="M278" i="50"/>
  <c r="J277" i="50"/>
  <c r="I281" i="50"/>
  <c r="L278" i="50"/>
  <c r="N276" i="50"/>
  <c r="N279" i="50"/>
  <c r="K278" i="50"/>
  <c r="M276" i="50"/>
  <c r="M279" i="50"/>
  <c r="J278" i="50"/>
  <c r="L276" i="50"/>
  <c r="M277" i="50"/>
  <c r="K276" i="50"/>
  <c r="N277" i="50"/>
  <c r="J276" i="50"/>
  <c r="L279" i="50"/>
  <c r="K279" i="50"/>
  <c r="L285" i="50" l="1"/>
  <c r="N283" i="50"/>
  <c r="K282" i="50"/>
  <c r="K285" i="50"/>
  <c r="M283" i="50"/>
  <c r="J282" i="50"/>
  <c r="J285" i="50"/>
  <c r="L283" i="50"/>
  <c r="O281" i="50"/>
  <c r="N284" i="50"/>
  <c r="K283" i="50"/>
  <c r="M284" i="50"/>
  <c r="J283" i="50"/>
  <c r="I287" i="50"/>
  <c r="L284" i="50"/>
  <c r="N282" i="50"/>
  <c r="M285" i="50"/>
  <c r="K284" i="50"/>
  <c r="J284" i="50"/>
  <c r="M282" i="50"/>
  <c r="L282" i="50"/>
  <c r="N285" i="50"/>
  <c r="N291" i="50" l="1"/>
  <c r="K290" i="50"/>
  <c r="M288" i="50"/>
  <c r="M291" i="50"/>
  <c r="J290" i="50"/>
  <c r="L288" i="50"/>
  <c r="L291" i="50"/>
  <c r="N289" i="50"/>
  <c r="K288" i="50"/>
  <c r="K291" i="50"/>
  <c r="M289" i="50"/>
  <c r="J288" i="50"/>
  <c r="J291" i="50"/>
  <c r="L289" i="50"/>
  <c r="O287" i="50"/>
  <c r="N290" i="50"/>
  <c r="K289" i="50"/>
  <c r="I293" i="50"/>
  <c r="M290" i="50"/>
  <c r="L290" i="50"/>
  <c r="J289" i="50"/>
  <c r="N288" i="50"/>
  <c r="M296" i="50" l="1"/>
  <c r="J295" i="50"/>
  <c r="I299" i="50"/>
  <c r="L296" i="50"/>
  <c r="N294" i="50"/>
  <c r="N297" i="50"/>
  <c r="K296" i="50"/>
  <c r="M294" i="50"/>
  <c r="M297" i="50"/>
  <c r="J296" i="50"/>
  <c r="L294" i="50"/>
  <c r="L297" i="50"/>
  <c r="N295" i="50"/>
  <c r="K294" i="50"/>
  <c r="K297" i="50"/>
  <c r="M295" i="50"/>
  <c r="J294" i="50"/>
  <c r="K295" i="50"/>
  <c r="O293" i="50"/>
  <c r="J297" i="50"/>
  <c r="N296" i="50"/>
  <c r="L295" i="50"/>
  <c r="J303" i="50" l="1"/>
  <c r="L301" i="50"/>
  <c r="O299" i="50"/>
  <c r="N302" i="50"/>
  <c r="K301" i="50"/>
  <c r="M302" i="50"/>
  <c r="J301" i="50"/>
  <c r="I305" i="50"/>
  <c r="L302" i="50"/>
  <c r="N300" i="50"/>
  <c r="N303" i="50"/>
  <c r="K302" i="50"/>
  <c r="M300" i="50"/>
  <c r="M303" i="50"/>
  <c r="J302" i="50"/>
  <c r="L300" i="50"/>
  <c r="K303" i="50"/>
  <c r="L303" i="50"/>
  <c r="N301" i="50"/>
  <c r="M301" i="50"/>
  <c r="K300" i="50"/>
  <c r="J300" i="50"/>
  <c r="L309" i="50" l="1"/>
  <c r="N307" i="50"/>
  <c r="K306" i="50"/>
  <c r="K309" i="50"/>
  <c r="M307" i="50"/>
  <c r="J306" i="50"/>
  <c r="J309" i="50"/>
  <c r="L307" i="50"/>
  <c r="O305" i="50"/>
  <c r="N308" i="50"/>
  <c r="K307" i="50"/>
  <c r="M308" i="50"/>
  <c r="J307" i="50"/>
  <c r="I311" i="50"/>
  <c r="L308" i="50"/>
  <c r="N306" i="50"/>
  <c r="N309" i="50"/>
  <c r="M309" i="50"/>
  <c r="K308" i="50"/>
  <c r="J308" i="50"/>
  <c r="L306" i="50"/>
  <c r="M306" i="50"/>
  <c r="N315" i="50" l="1"/>
  <c r="K314" i="50"/>
  <c r="M312" i="50"/>
  <c r="M315" i="50"/>
  <c r="J314" i="50"/>
  <c r="L312" i="50"/>
  <c r="L315" i="50"/>
  <c r="N313" i="50"/>
  <c r="K312" i="50"/>
  <c r="K315" i="50"/>
  <c r="M313" i="50"/>
  <c r="J312" i="50"/>
  <c r="J315" i="50"/>
  <c r="L313" i="50"/>
  <c r="O311" i="50"/>
  <c r="N314" i="50"/>
  <c r="K313" i="50"/>
  <c r="N312" i="50"/>
  <c r="I317" i="50"/>
  <c r="M314" i="50"/>
  <c r="L314" i="50"/>
  <c r="J313" i="50"/>
  <c r="M320" i="50" l="1"/>
  <c r="J319" i="50"/>
  <c r="I323" i="50"/>
  <c r="L320" i="50"/>
  <c r="N318" i="50"/>
  <c r="N321" i="50"/>
  <c r="K320" i="50"/>
  <c r="M318" i="50"/>
  <c r="M321" i="50"/>
  <c r="J320" i="50"/>
  <c r="L318" i="50"/>
  <c r="L321" i="50"/>
  <c r="N319" i="50"/>
  <c r="K318" i="50"/>
  <c r="K321" i="50"/>
  <c r="M319" i="50"/>
  <c r="J318" i="50"/>
  <c r="N320" i="50"/>
  <c r="L319" i="50"/>
  <c r="J321" i="50"/>
  <c r="K319" i="50"/>
  <c r="O317" i="50"/>
  <c r="J327" i="50" l="1"/>
  <c r="L325" i="50"/>
  <c r="O323" i="50"/>
  <c r="N326" i="50"/>
  <c r="K325" i="50"/>
  <c r="M326" i="50"/>
  <c r="J325" i="50"/>
  <c r="I329" i="50"/>
  <c r="L326" i="50"/>
  <c r="N324" i="50"/>
  <c r="N327" i="50"/>
  <c r="K326" i="50"/>
  <c r="M324" i="50"/>
  <c r="M327" i="50"/>
  <c r="J326" i="50"/>
  <c r="L324" i="50"/>
  <c r="L327" i="50"/>
  <c r="K327" i="50"/>
  <c r="N325" i="50"/>
  <c r="M325" i="50"/>
  <c r="K324" i="50"/>
  <c r="J324" i="50"/>
  <c r="L333" i="50" l="1"/>
  <c r="N331" i="50"/>
  <c r="K330" i="50"/>
  <c r="K333" i="50"/>
  <c r="M331" i="50"/>
  <c r="J330" i="50"/>
  <c r="J333" i="50"/>
  <c r="L331" i="50"/>
  <c r="O329" i="50"/>
  <c r="N332" i="50"/>
  <c r="K331" i="50"/>
  <c r="M332" i="50"/>
  <c r="J331" i="50"/>
  <c r="I335" i="50"/>
  <c r="L332" i="50"/>
  <c r="N330" i="50"/>
  <c r="L330" i="50"/>
  <c r="N333" i="50"/>
  <c r="M333" i="50"/>
  <c r="M330" i="50"/>
  <c r="K332" i="50"/>
  <c r="J332" i="50"/>
  <c r="N339" i="50" l="1"/>
  <c r="K338" i="50"/>
  <c r="M336" i="50"/>
  <c r="M339" i="50"/>
  <c r="J338" i="50"/>
  <c r="L336" i="50"/>
  <c r="L339" i="50"/>
  <c r="N337" i="50"/>
  <c r="K336" i="50"/>
  <c r="K339" i="50"/>
  <c r="M337" i="50"/>
  <c r="J336" i="50"/>
  <c r="J339" i="50"/>
  <c r="L337" i="50"/>
  <c r="O335" i="50"/>
  <c r="N338" i="50"/>
  <c r="K337" i="50"/>
  <c r="L338" i="50"/>
  <c r="J337" i="50"/>
  <c r="N336" i="50"/>
  <c r="I341" i="50"/>
  <c r="M338" i="50"/>
  <c r="M344" i="50" l="1"/>
  <c r="J343" i="50"/>
  <c r="I347" i="50"/>
  <c r="L344" i="50"/>
  <c r="N342" i="50"/>
  <c r="N345" i="50"/>
  <c r="K344" i="50"/>
  <c r="M342" i="50"/>
  <c r="M345" i="50"/>
  <c r="J344" i="50"/>
  <c r="L342" i="50"/>
  <c r="L345" i="50"/>
  <c r="N343" i="50"/>
  <c r="K342" i="50"/>
  <c r="K345" i="50"/>
  <c r="M343" i="50"/>
  <c r="J342" i="50"/>
  <c r="J345" i="50"/>
  <c r="N344" i="50"/>
  <c r="L343" i="50"/>
  <c r="K343" i="50"/>
  <c r="O341" i="50"/>
  <c r="J351" i="50" l="1"/>
  <c r="L349" i="50"/>
  <c r="O347" i="50"/>
  <c r="N350" i="50"/>
  <c r="K349" i="50"/>
  <c r="M350" i="50"/>
  <c r="J349" i="50"/>
  <c r="I353" i="50"/>
  <c r="L350" i="50"/>
  <c r="N348" i="50"/>
  <c r="N351" i="50"/>
  <c r="K350" i="50"/>
  <c r="M348" i="50"/>
  <c r="M351" i="50"/>
  <c r="J350" i="50"/>
  <c r="L348" i="50"/>
  <c r="J348" i="50"/>
  <c r="L351" i="50"/>
  <c r="K351" i="50"/>
  <c r="N349" i="50"/>
  <c r="M349" i="50"/>
  <c r="K348" i="50"/>
  <c r="L357" i="50" l="1"/>
  <c r="N355" i="50"/>
  <c r="K354" i="50"/>
  <c r="K357" i="50"/>
  <c r="M355" i="50"/>
  <c r="J354" i="50"/>
  <c r="J357" i="50"/>
  <c r="L355" i="50"/>
  <c r="O353" i="50"/>
  <c r="N356" i="50"/>
  <c r="K355" i="50"/>
  <c r="M356" i="50"/>
  <c r="J355" i="50"/>
  <c r="I359" i="50"/>
  <c r="L356" i="50"/>
  <c r="N354" i="50"/>
  <c r="J356" i="50"/>
  <c r="M354" i="50"/>
  <c r="L354" i="50"/>
  <c r="N357" i="50"/>
  <c r="M357" i="50"/>
  <c r="K356" i="50"/>
  <c r="N363" i="50" l="1"/>
  <c r="K362" i="50"/>
  <c r="M360" i="50"/>
  <c r="M363" i="50"/>
  <c r="J362" i="50"/>
  <c r="L360" i="50"/>
  <c r="L363" i="50"/>
  <c r="N361" i="50"/>
  <c r="K360" i="50"/>
  <c r="K363" i="50"/>
  <c r="M361" i="50"/>
  <c r="J360" i="50"/>
  <c r="J363" i="50"/>
  <c r="L361" i="50"/>
  <c r="O359" i="50"/>
  <c r="N362" i="50"/>
  <c r="K361" i="50"/>
  <c r="I365" i="50"/>
  <c r="M362" i="50"/>
  <c r="L362" i="50"/>
  <c r="J361" i="50"/>
  <c r="N360" i="50"/>
  <c r="M368" i="50" l="1"/>
  <c r="J367" i="50"/>
  <c r="I371" i="50"/>
  <c r="L368" i="50"/>
  <c r="N366" i="50"/>
  <c r="N369" i="50"/>
  <c r="K368" i="50"/>
  <c r="M366" i="50"/>
  <c r="M369" i="50"/>
  <c r="J368" i="50"/>
  <c r="L366" i="50"/>
  <c r="L369" i="50"/>
  <c r="N367" i="50"/>
  <c r="K366" i="50"/>
  <c r="K369" i="50"/>
  <c r="M367" i="50"/>
  <c r="J366" i="50"/>
  <c r="O365" i="50"/>
  <c r="J369" i="50"/>
  <c r="N368" i="50"/>
  <c r="L367" i="50"/>
  <c r="K367" i="50"/>
  <c r="J375" i="50" l="1"/>
  <c r="L373" i="50"/>
  <c r="O371" i="50"/>
  <c r="N374" i="50"/>
  <c r="K373" i="50"/>
  <c r="M374" i="50"/>
  <c r="J373" i="50"/>
  <c r="I377" i="50"/>
  <c r="L374" i="50"/>
  <c r="N372" i="50"/>
  <c r="N375" i="50"/>
  <c r="K374" i="50"/>
  <c r="M372" i="50"/>
  <c r="M375" i="50"/>
  <c r="J374" i="50"/>
  <c r="L372" i="50"/>
  <c r="M373" i="50"/>
  <c r="K372" i="50"/>
  <c r="N373" i="50"/>
  <c r="J372" i="50"/>
  <c r="L375" i="50"/>
  <c r="K375" i="50"/>
  <c r="L381" i="50" l="1"/>
  <c r="N379" i="50"/>
  <c r="K378" i="50"/>
  <c r="K381" i="50"/>
  <c r="M379" i="50"/>
  <c r="J378" i="50"/>
  <c r="J381" i="50"/>
  <c r="L379" i="50"/>
  <c r="O377" i="50"/>
  <c r="N380" i="50"/>
  <c r="K379" i="50"/>
  <c r="M380" i="50"/>
  <c r="J379" i="50"/>
  <c r="I383" i="50"/>
  <c r="L380" i="50"/>
  <c r="N378" i="50"/>
  <c r="M381" i="50"/>
  <c r="K380" i="50"/>
  <c r="J380" i="50"/>
  <c r="M378" i="50"/>
  <c r="L378" i="50"/>
  <c r="N381" i="50"/>
  <c r="N387" i="50" l="1"/>
  <c r="K386" i="50"/>
  <c r="M384" i="50"/>
  <c r="M387" i="50"/>
  <c r="J386" i="50"/>
  <c r="L384" i="50"/>
  <c r="L387" i="50"/>
  <c r="N385" i="50"/>
  <c r="K384" i="50"/>
  <c r="K387" i="50"/>
  <c r="M385" i="50"/>
  <c r="J384" i="50"/>
  <c r="J387" i="50"/>
  <c r="L385" i="50"/>
  <c r="O383" i="50"/>
  <c r="N386" i="50"/>
  <c r="K385" i="50"/>
  <c r="I389" i="50"/>
  <c r="M386" i="50"/>
  <c r="L386" i="50"/>
  <c r="J385" i="50"/>
  <c r="N384" i="50"/>
  <c r="M392" i="50" l="1"/>
  <c r="J391" i="50"/>
  <c r="I395" i="50"/>
  <c r="L392" i="50"/>
  <c r="N390" i="50"/>
  <c r="N393" i="50"/>
  <c r="K392" i="50"/>
  <c r="M390" i="50"/>
  <c r="M393" i="50"/>
  <c r="J392" i="50"/>
  <c r="L390" i="50"/>
  <c r="L393" i="50"/>
  <c r="N391" i="50"/>
  <c r="K390" i="50"/>
  <c r="K393" i="50"/>
  <c r="M391" i="50"/>
  <c r="J390" i="50"/>
  <c r="K391" i="50"/>
  <c r="O389" i="50"/>
  <c r="J393" i="50"/>
  <c r="N392" i="50"/>
  <c r="L391" i="50"/>
  <c r="J399" i="50" l="1"/>
  <c r="L397" i="50"/>
  <c r="O395" i="50"/>
  <c r="N398" i="50"/>
  <c r="K397" i="50"/>
  <c r="M398" i="50"/>
  <c r="J397" i="50"/>
  <c r="I401" i="50"/>
  <c r="L398" i="50"/>
  <c r="N396" i="50"/>
  <c r="N399" i="50"/>
  <c r="K398" i="50"/>
  <c r="M396" i="50"/>
  <c r="M399" i="50"/>
  <c r="J398" i="50"/>
  <c r="L396" i="50"/>
  <c r="K399" i="50"/>
  <c r="N397" i="50"/>
  <c r="M397" i="50"/>
  <c r="K396" i="50"/>
  <c r="J396" i="50"/>
  <c r="L399" i="50"/>
  <c r="L405" i="50" l="1"/>
  <c r="N403" i="50"/>
  <c r="K402" i="50"/>
  <c r="K405" i="50"/>
  <c r="M403" i="50"/>
  <c r="J402" i="50"/>
  <c r="J405" i="50"/>
  <c r="L403" i="50"/>
  <c r="O401" i="50"/>
  <c r="N404" i="50"/>
  <c r="K403" i="50"/>
  <c r="M404" i="50"/>
  <c r="J403" i="50"/>
  <c r="I407" i="50"/>
  <c r="L404" i="50"/>
  <c r="N402" i="50"/>
  <c r="N405" i="50"/>
  <c r="M405" i="50"/>
  <c r="K404" i="50"/>
  <c r="J404" i="50"/>
  <c r="M402" i="50"/>
  <c r="L402" i="50"/>
  <c r="N411" i="50" l="1"/>
  <c r="K410" i="50"/>
  <c r="M408" i="50"/>
  <c r="M411" i="50"/>
  <c r="J410" i="50"/>
  <c r="L408" i="50"/>
  <c r="L411" i="50"/>
  <c r="N409" i="50"/>
  <c r="K408" i="50"/>
  <c r="K411" i="50"/>
  <c r="M409" i="50"/>
  <c r="J408" i="50"/>
  <c r="J411" i="50"/>
  <c r="L409" i="50"/>
  <c r="O407" i="50"/>
  <c r="N410" i="50"/>
  <c r="K409" i="50"/>
  <c r="N408" i="50"/>
  <c r="I413" i="50"/>
  <c r="M410" i="50"/>
  <c r="L410" i="50"/>
  <c r="J409" i="50"/>
  <c r="M416" i="50" l="1"/>
  <c r="J415" i="50"/>
  <c r="I419" i="50"/>
  <c r="L416" i="50"/>
  <c r="N414" i="50"/>
  <c r="N417" i="50"/>
  <c r="K416" i="50"/>
  <c r="M414" i="50"/>
  <c r="M417" i="50"/>
  <c r="J416" i="50"/>
  <c r="L414" i="50"/>
  <c r="L417" i="50"/>
  <c r="N415" i="50"/>
  <c r="K414" i="50"/>
  <c r="K417" i="50"/>
  <c r="M415" i="50"/>
  <c r="J414" i="50"/>
  <c r="N416" i="50"/>
  <c r="L415" i="50"/>
  <c r="K415" i="50"/>
  <c r="O413" i="50"/>
  <c r="J417" i="50"/>
  <c r="J423" i="50" l="1"/>
  <c r="L421" i="50"/>
  <c r="O419" i="50"/>
  <c r="N422" i="50"/>
  <c r="K421" i="50"/>
  <c r="M422" i="50"/>
  <c r="J421" i="50"/>
  <c r="I425" i="50"/>
  <c r="L422" i="50"/>
  <c r="N420" i="50"/>
  <c r="N423" i="50"/>
  <c r="K422" i="50"/>
  <c r="M420" i="50"/>
  <c r="M423" i="50"/>
  <c r="J422" i="50"/>
  <c r="L420" i="50"/>
  <c r="L423" i="50"/>
  <c r="K423" i="50"/>
  <c r="N421" i="50"/>
  <c r="M421" i="50"/>
  <c r="K420" i="50"/>
  <c r="J420" i="50"/>
  <c r="L429" i="50" l="1"/>
  <c r="N427" i="50"/>
  <c r="K426" i="50"/>
  <c r="K429" i="50"/>
  <c r="M427" i="50"/>
  <c r="J426" i="50"/>
  <c r="J429" i="50"/>
  <c r="L427" i="50"/>
  <c r="O425" i="50"/>
  <c r="N428" i="50"/>
  <c r="K427" i="50"/>
  <c r="M428" i="50"/>
  <c r="J427" i="50"/>
  <c r="I431" i="50"/>
  <c r="L428" i="50"/>
  <c r="N426" i="50"/>
  <c r="L426" i="50"/>
  <c r="N429" i="50"/>
  <c r="M429" i="50"/>
  <c r="K428" i="50"/>
  <c r="J428" i="50"/>
  <c r="M426" i="50"/>
  <c r="N435" i="50" l="1"/>
  <c r="K434" i="50"/>
  <c r="M432" i="50"/>
  <c r="M435" i="50"/>
  <c r="J434" i="50"/>
  <c r="L432" i="50"/>
  <c r="L435" i="50"/>
  <c r="N433" i="50"/>
  <c r="K432" i="50"/>
  <c r="K435" i="50"/>
  <c r="M433" i="50"/>
  <c r="J432" i="50"/>
  <c r="J435" i="50"/>
  <c r="L433" i="50"/>
  <c r="O431" i="50"/>
  <c r="N434" i="50"/>
  <c r="K433" i="50"/>
  <c r="L434" i="50"/>
  <c r="J433" i="50"/>
  <c r="N432" i="50"/>
  <c r="I437" i="50"/>
  <c r="M434" i="50"/>
  <c r="M440" i="50" l="1"/>
  <c r="J439" i="50"/>
  <c r="I443" i="50"/>
  <c r="L440" i="50"/>
  <c r="N438" i="50"/>
  <c r="N441" i="50"/>
  <c r="K440" i="50"/>
  <c r="M438" i="50"/>
  <c r="M441" i="50"/>
  <c r="J440" i="50"/>
  <c r="L438" i="50"/>
  <c r="L441" i="50"/>
  <c r="N439" i="50"/>
  <c r="K438" i="50"/>
  <c r="K441" i="50"/>
  <c r="M439" i="50"/>
  <c r="J438" i="50"/>
  <c r="J441" i="50"/>
  <c r="N440" i="50"/>
  <c r="L439" i="50"/>
  <c r="K439" i="50"/>
  <c r="O437" i="50"/>
  <c r="J447" i="50" l="1"/>
  <c r="L445" i="50"/>
  <c r="O443" i="50"/>
  <c r="N446" i="50"/>
  <c r="K445" i="50"/>
  <c r="M446" i="50"/>
  <c r="J445" i="50"/>
  <c r="I449" i="50"/>
  <c r="L446" i="50"/>
  <c r="N444" i="50"/>
  <c r="N447" i="50"/>
  <c r="K446" i="50"/>
  <c r="M444" i="50"/>
  <c r="M447" i="50"/>
  <c r="J446" i="50"/>
  <c r="L444" i="50"/>
  <c r="J444" i="50"/>
  <c r="L447" i="50"/>
  <c r="K447" i="50"/>
  <c r="N445" i="50"/>
  <c r="M445" i="50"/>
  <c r="K444" i="50"/>
  <c r="L453" i="50" l="1"/>
  <c r="N451" i="50"/>
  <c r="K450" i="50"/>
  <c r="K453" i="50"/>
  <c r="M451" i="50"/>
  <c r="J450" i="50"/>
  <c r="J453" i="50"/>
  <c r="L451" i="50"/>
  <c r="O449" i="50"/>
  <c r="N452" i="50"/>
  <c r="K451" i="50"/>
  <c r="M452" i="50"/>
  <c r="J451" i="50"/>
  <c r="I455" i="50"/>
  <c r="L452" i="50"/>
  <c r="N450" i="50"/>
  <c r="J452" i="50"/>
  <c r="M450" i="50"/>
  <c r="L450" i="50"/>
  <c r="N453" i="50"/>
  <c r="M453" i="50"/>
  <c r="K452" i="50"/>
  <c r="N459" i="50" l="1"/>
  <c r="K458" i="50"/>
  <c r="M456" i="50"/>
  <c r="M459" i="50"/>
  <c r="J458" i="50"/>
  <c r="L456" i="50"/>
  <c r="L459" i="50"/>
  <c r="N457" i="50"/>
  <c r="K456" i="50"/>
  <c r="K459" i="50"/>
  <c r="M457" i="50"/>
  <c r="J456" i="50"/>
  <c r="J459" i="50"/>
  <c r="L457" i="50"/>
  <c r="O455" i="50"/>
  <c r="N458" i="50"/>
  <c r="K457" i="50"/>
  <c r="I461" i="50"/>
  <c r="M458" i="50"/>
  <c r="L458" i="50"/>
  <c r="J457" i="50"/>
  <c r="N456" i="50"/>
  <c r="M464" i="50" l="1"/>
  <c r="J463" i="50"/>
  <c r="I467" i="50"/>
  <c r="L464" i="50"/>
  <c r="N462" i="50"/>
  <c r="N465" i="50"/>
  <c r="K464" i="50"/>
  <c r="M462" i="50"/>
  <c r="M465" i="50"/>
  <c r="J464" i="50"/>
  <c r="L462" i="50"/>
  <c r="L465" i="50"/>
  <c r="N463" i="50"/>
  <c r="K462" i="50"/>
  <c r="K465" i="50"/>
  <c r="M463" i="50"/>
  <c r="J462" i="50"/>
  <c r="J465" i="50"/>
  <c r="N464" i="50"/>
  <c r="L463" i="50"/>
  <c r="K463" i="50"/>
  <c r="O461" i="50"/>
  <c r="J471" i="50" l="1"/>
  <c r="L469" i="50"/>
  <c r="O467" i="50"/>
  <c r="N470" i="50"/>
  <c r="K469" i="50"/>
  <c r="M470" i="50"/>
  <c r="J469" i="50"/>
  <c r="I473" i="50"/>
  <c r="L470" i="50"/>
  <c r="N468" i="50"/>
  <c r="N471" i="50"/>
  <c r="K470" i="50"/>
  <c r="M468" i="50"/>
  <c r="M471" i="50"/>
  <c r="J470" i="50"/>
  <c r="L468" i="50"/>
  <c r="M469" i="50"/>
  <c r="K468" i="50"/>
  <c r="J468" i="50"/>
  <c r="L471" i="50"/>
  <c r="K471" i="50"/>
  <c r="N469" i="50"/>
  <c r="K477" i="50" l="1"/>
  <c r="J477" i="50"/>
  <c r="I479" i="50"/>
  <c r="N477" i="50"/>
  <c r="N475" i="50"/>
  <c r="K474" i="50"/>
  <c r="M477" i="50"/>
  <c r="M475" i="50"/>
  <c r="J474" i="50"/>
  <c r="L477" i="50"/>
  <c r="L475" i="50"/>
  <c r="O473" i="50"/>
  <c r="N476" i="50"/>
  <c r="K475" i="50"/>
  <c r="M476" i="50"/>
  <c r="J475" i="50"/>
  <c r="L476" i="50"/>
  <c r="N474" i="50"/>
  <c r="K476" i="50"/>
  <c r="J476" i="50"/>
  <c r="M474" i="50"/>
  <c r="L474" i="50"/>
  <c r="M483" i="50" l="1"/>
  <c r="J482" i="50"/>
  <c r="L480" i="50"/>
  <c r="L483" i="50"/>
  <c r="N481" i="50"/>
  <c r="K480" i="50"/>
  <c r="K483" i="50"/>
  <c r="M481" i="50"/>
  <c r="J480" i="50"/>
  <c r="J483" i="50"/>
  <c r="L481" i="50"/>
  <c r="O479" i="50"/>
  <c r="N482" i="50"/>
  <c r="K481" i="50"/>
  <c r="I485" i="50"/>
  <c r="N483" i="50"/>
  <c r="M482" i="50"/>
  <c r="L482" i="50"/>
  <c r="K482" i="50"/>
  <c r="J481" i="50"/>
  <c r="M480" i="50"/>
  <c r="N480" i="50"/>
  <c r="I491" i="50" l="1"/>
  <c r="L488" i="50"/>
  <c r="N486" i="50"/>
  <c r="N489" i="50"/>
  <c r="K488" i="50"/>
  <c r="M486" i="50"/>
  <c r="M489" i="50"/>
  <c r="J488" i="50"/>
  <c r="L486" i="50"/>
  <c r="L489" i="50"/>
  <c r="N487" i="50"/>
  <c r="K486" i="50"/>
  <c r="K489" i="50"/>
  <c r="M487" i="50"/>
  <c r="J486" i="50"/>
  <c r="J489" i="50"/>
  <c r="N488" i="50"/>
  <c r="M488" i="50"/>
  <c r="L487" i="50"/>
  <c r="K487" i="50"/>
  <c r="J487" i="50"/>
  <c r="O485" i="50"/>
  <c r="N494" i="50" l="1"/>
  <c r="K493" i="50"/>
  <c r="M494" i="50"/>
  <c r="J493" i="50"/>
  <c r="I497" i="50"/>
  <c r="L494" i="50"/>
  <c r="N492" i="50"/>
  <c r="N495" i="50"/>
  <c r="K494" i="50"/>
  <c r="M492" i="50"/>
  <c r="M495" i="50"/>
  <c r="J494" i="50"/>
  <c r="L492" i="50"/>
  <c r="L495" i="50"/>
  <c r="O491" i="50"/>
  <c r="K495" i="50"/>
  <c r="J495" i="50"/>
  <c r="N493" i="50"/>
  <c r="M493" i="50"/>
  <c r="L493" i="50"/>
  <c r="K492" i="50"/>
  <c r="J492" i="50"/>
  <c r="K501" i="50" l="1"/>
  <c r="M499" i="50"/>
  <c r="J498" i="50"/>
  <c r="J501" i="50"/>
  <c r="L499" i="50"/>
  <c r="O497" i="50"/>
  <c r="N500" i="50"/>
  <c r="K499" i="50"/>
  <c r="M500" i="50"/>
  <c r="J499" i="50"/>
  <c r="I503" i="50"/>
  <c r="L500" i="50"/>
  <c r="N498" i="50"/>
  <c r="M501" i="50"/>
  <c r="L501" i="50"/>
  <c r="K500" i="50"/>
  <c r="J500" i="50"/>
  <c r="N499" i="50"/>
  <c r="M498" i="50"/>
  <c r="N501" i="50"/>
  <c r="L498" i="50"/>
  <c r="K498" i="50"/>
  <c r="M507" i="50" l="1"/>
  <c r="J506" i="50"/>
  <c r="L504" i="50"/>
  <c r="L507" i="50"/>
  <c r="N505" i="50"/>
  <c r="K504" i="50"/>
  <c r="K507" i="50"/>
  <c r="M505" i="50"/>
  <c r="J504" i="50"/>
  <c r="J507" i="50"/>
  <c r="L505" i="50"/>
  <c r="O503" i="50"/>
  <c r="N506" i="50"/>
  <c r="K505" i="50"/>
  <c r="N507" i="50"/>
  <c r="M506" i="50"/>
  <c r="L506" i="50"/>
  <c r="K506" i="50"/>
  <c r="J505" i="50"/>
  <c r="N504" i="50"/>
  <c r="I509" i="50"/>
  <c r="M504" i="50"/>
  <c r="I515" i="50" l="1"/>
  <c r="L512" i="50"/>
  <c r="N510" i="50"/>
  <c r="N513" i="50"/>
  <c r="K512" i="50"/>
  <c r="M510" i="50"/>
  <c r="M513" i="50"/>
  <c r="J512" i="50"/>
  <c r="L510" i="50"/>
  <c r="L513" i="50"/>
  <c r="N511" i="50"/>
  <c r="K510" i="50"/>
  <c r="K513" i="50"/>
  <c r="M511" i="50"/>
  <c r="J510" i="50"/>
  <c r="J513" i="50"/>
  <c r="N512" i="50"/>
  <c r="M512" i="50"/>
  <c r="L511" i="50"/>
  <c r="K511" i="50"/>
  <c r="J511" i="50"/>
  <c r="O509" i="50"/>
  <c r="N518" i="50" l="1"/>
  <c r="K517" i="50"/>
  <c r="M518" i="50"/>
  <c r="J517" i="50"/>
  <c r="I521" i="50"/>
  <c r="L518" i="50"/>
  <c r="N516" i="50"/>
  <c r="N519" i="50"/>
  <c r="K518" i="50"/>
  <c r="M516" i="50"/>
  <c r="M519" i="50"/>
  <c r="J518" i="50"/>
  <c r="L516" i="50"/>
  <c r="K519" i="50"/>
  <c r="J519" i="50"/>
  <c r="N517" i="50"/>
  <c r="M517" i="50"/>
  <c r="L517" i="50"/>
  <c r="K516" i="50"/>
  <c r="L519" i="50"/>
  <c r="J516" i="50"/>
  <c r="O515" i="50"/>
  <c r="K525" i="50" l="1"/>
  <c r="M523" i="50"/>
  <c r="J522" i="50"/>
  <c r="J525" i="50"/>
  <c r="L523" i="50"/>
  <c r="O521" i="50"/>
  <c r="N524" i="50"/>
  <c r="K523" i="50"/>
  <c r="M524" i="50"/>
  <c r="J523" i="50"/>
  <c r="I527" i="50"/>
  <c r="L524" i="50"/>
  <c r="N522" i="50"/>
  <c r="L525" i="50"/>
  <c r="K524" i="50"/>
  <c r="J524" i="50"/>
  <c r="N523" i="50"/>
  <c r="M522" i="50"/>
  <c r="L522" i="50"/>
  <c r="N525" i="50"/>
  <c r="M525" i="50"/>
  <c r="K522" i="50"/>
  <c r="M531" i="50" l="1"/>
  <c r="J530" i="50"/>
  <c r="L528" i="50"/>
  <c r="L531" i="50"/>
  <c r="N529" i="50"/>
  <c r="K528" i="50"/>
  <c r="K531" i="50"/>
  <c r="M529" i="50"/>
  <c r="J528" i="50"/>
  <c r="J531" i="50"/>
  <c r="L529" i="50"/>
  <c r="O527" i="50"/>
  <c r="N530" i="50"/>
  <c r="K529" i="50"/>
  <c r="M530" i="50"/>
  <c r="L530" i="50"/>
  <c r="K530" i="50"/>
  <c r="J529" i="50"/>
  <c r="N528" i="50"/>
  <c r="M528" i="50"/>
  <c r="I533" i="50"/>
  <c r="N531" i="50"/>
  <c r="I539" i="50" l="1"/>
  <c r="L536" i="50"/>
  <c r="N534" i="50"/>
  <c r="N537" i="50"/>
  <c r="K536" i="50"/>
  <c r="M534" i="50"/>
  <c r="M537" i="50"/>
  <c r="J536" i="50"/>
  <c r="L534" i="50"/>
  <c r="L537" i="50"/>
  <c r="N535" i="50"/>
  <c r="K534" i="50"/>
  <c r="K537" i="50"/>
  <c r="M535" i="50"/>
  <c r="J534" i="50"/>
  <c r="N536" i="50"/>
  <c r="M536" i="50"/>
  <c r="L535" i="50"/>
  <c r="K535" i="50"/>
  <c r="J535" i="50"/>
  <c r="O533" i="50"/>
  <c r="J537" i="50"/>
  <c r="N542" i="50" l="1"/>
  <c r="K541" i="50"/>
  <c r="M542" i="50"/>
  <c r="J541" i="50"/>
  <c r="I545" i="50"/>
  <c r="L542" i="50"/>
  <c r="N540" i="50"/>
  <c r="N543" i="50"/>
  <c r="K542" i="50"/>
  <c r="M540" i="50"/>
  <c r="M543" i="50"/>
  <c r="J542" i="50"/>
  <c r="L540" i="50"/>
  <c r="J543" i="50"/>
  <c r="N541" i="50"/>
  <c r="M541" i="50"/>
  <c r="L541" i="50"/>
  <c r="K540" i="50"/>
  <c r="J540" i="50"/>
  <c r="L543" i="50"/>
  <c r="O539" i="50"/>
  <c r="K543" i="50"/>
  <c r="K549" i="50" l="1"/>
  <c r="M547" i="50"/>
  <c r="J546" i="50"/>
  <c r="J549" i="50"/>
  <c r="L547" i="50"/>
  <c r="O545" i="50"/>
  <c r="N548" i="50"/>
  <c r="K547" i="50"/>
  <c r="M548" i="50"/>
  <c r="J547" i="50"/>
  <c r="I551" i="50"/>
  <c r="L548" i="50"/>
  <c r="N546" i="50"/>
  <c r="K548" i="50"/>
  <c r="J548" i="50"/>
  <c r="N547" i="50"/>
  <c r="M546" i="50"/>
  <c r="L546" i="50"/>
  <c r="N549" i="50"/>
  <c r="K546" i="50"/>
  <c r="M549" i="50"/>
  <c r="L549" i="50"/>
  <c r="M555" i="50" l="1"/>
  <c r="J554" i="50"/>
  <c r="L552" i="50"/>
  <c r="L555" i="50"/>
  <c r="N553" i="50"/>
  <c r="K552" i="50"/>
  <c r="K555" i="50"/>
  <c r="M553" i="50"/>
  <c r="J552" i="50"/>
  <c r="J555" i="50"/>
  <c r="L553" i="50"/>
  <c r="O551" i="50"/>
  <c r="N554" i="50"/>
  <c r="K553" i="50"/>
  <c r="L554" i="50"/>
  <c r="K554" i="50"/>
  <c r="J553" i="50"/>
  <c r="N552" i="50"/>
  <c r="M552" i="50"/>
  <c r="I557" i="50"/>
  <c r="N555" i="50"/>
  <c r="M554" i="50"/>
  <c r="I563" i="50" l="1"/>
  <c r="L560" i="50"/>
  <c r="N558" i="50"/>
  <c r="N561" i="50"/>
  <c r="K560" i="50"/>
  <c r="M558" i="50"/>
  <c r="M561" i="50"/>
  <c r="J560" i="50"/>
  <c r="L558" i="50"/>
  <c r="L561" i="50"/>
  <c r="N559" i="50"/>
  <c r="K558" i="50"/>
  <c r="K561" i="50"/>
  <c r="M559" i="50"/>
  <c r="J558" i="50"/>
  <c r="M560" i="50"/>
  <c r="L559" i="50"/>
  <c r="K559" i="50"/>
  <c r="J559" i="50"/>
  <c r="O557" i="50"/>
  <c r="J561" i="50"/>
  <c r="N560" i="50"/>
  <c r="J567" i="50" l="1"/>
  <c r="N566" i="50"/>
  <c r="K565" i="50"/>
  <c r="M566" i="50"/>
  <c r="J565" i="50"/>
  <c r="I569" i="50"/>
  <c r="L566" i="50"/>
  <c r="N564" i="50"/>
  <c r="N567" i="50"/>
  <c r="K566" i="50"/>
  <c r="M564" i="50"/>
  <c r="M567" i="50"/>
  <c r="J566" i="50"/>
  <c r="L564" i="50"/>
  <c r="N565" i="50"/>
  <c r="M565" i="50"/>
  <c r="L565" i="50"/>
  <c r="K564" i="50"/>
  <c r="J564" i="50"/>
  <c r="O563" i="50"/>
  <c r="L567" i="50"/>
  <c r="K567" i="50"/>
  <c r="L573" i="50" l="1"/>
  <c r="N571" i="50"/>
  <c r="K570" i="50"/>
  <c r="K573" i="50"/>
  <c r="M571" i="50"/>
  <c r="J570" i="50"/>
  <c r="J573" i="50"/>
  <c r="L571" i="50"/>
  <c r="O569" i="50"/>
  <c r="N572" i="50"/>
  <c r="K571" i="50"/>
  <c r="M572" i="50"/>
  <c r="J571" i="50"/>
  <c r="I575" i="50"/>
  <c r="L572" i="50"/>
  <c r="N570" i="50"/>
  <c r="N573" i="50"/>
  <c r="M573" i="50"/>
  <c r="K572" i="50"/>
  <c r="J572" i="50"/>
  <c r="M570" i="50"/>
  <c r="L570" i="50"/>
  <c r="N579" i="50" l="1"/>
  <c r="K578" i="50"/>
  <c r="M576" i="50"/>
  <c r="M579" i="50"/>
  <c r="J578" i="50"/>
  <c r="L576" i="50"/>
  <c r="L579" i="50"/>
  <c r="N577" i="50"/>
  <c r="K576" i="50"/>
  <c r="K579" i="50"/>
  <c r="M577" i="50"/>
  <c r="J576" i="50"/>
  <c r="J579" i="50"/>
  <c r="L577" i="50"/>
  <c r="O575" i="50"/>
  <c r="N578" i="50"/>
  <c r="K577" i="50"/>
  <c r="I581" i="50"/>
  <c r="M578" i="50"/>
  <c r="L578" i="50"/>
  <c r="J577" i="50"/>
  <c r="N576" i="50"/>
  <c r="M584" i="50" l="1"/>
  <c r="J583" i="50"/>
  <c r="I587" i="50"/>
  <c r="L584" i="50"/>
  <c r="N582" i="50"/>
  <c r="N585" i="50"/>
  <c r="K584" i="50"/>
  <c r="M582" i="50"/>
  <c r="M585" i="50"/>
  <c r="J584" i="50"/>
  <c r="L582" i="50"/>
  <c r="L585" i="50"/>
  <c r="N583" i="50"/>
  <c r="K582" i="50"/>
  <c r="K585" i="50"/>
  <c r="M583" i="50"/>
  <c r="J582" i="50"/>
  <c r="L583" i="50"/>
  <c r="K583" i="50"/>
  <c r="O581" i="50"/>
  <c r="J585" i="50"/>
  <c r="N584" i="50"/>
  <c r="J591" i="50" l="1"/>
  <c r="L589" i="50"/>
  <c r="O587" i="50"/>
  <c r="N590" i="50"/>
  <c r="K589" i="50"/>
  <c r="M590" i="50"/>
  <c r="J589" i="50"/>
  <c r="I593" i="50"/>
  <c r="L590" i="50"/>
  <c r="N588" i="50"/>
  <c r="N591" i="50"/>
  <c r="K590" i="50"/>
  <c r="M588" i="50"/>
  <c r="M591" i="50"/>
  <c r="J590" i="50"/>
  <c r="L588" i="50"/>
  <c r="L591" i="50"/>
  <c r="K591" i="50"/>
  <c r="N589" i="50"/>
  <c r="M589" i="50"/>
  <c r="K588" i="50"/>
  <c r="J588" i="50"/>
  <c r="L597" i="50" l="1"/>
  <c r="N595" i="50"/>
  <c r="K594" i="50"/>
  <c r="K597" i="50"/>
  <c r="M595" i="50"/>
  <c r="J594" i="50"/>
  <c r="J597" i="50"/>
  <c r="L595" i="50"/>
  <c r="O593" i="50"/>
  <c r="N596" i="50"/>
  <c r="K595" i="50"/>
  <c r="M596" i="50"/>
  <c r="J595" i="50"/>
  <c r="I599" i="50"/>
  <c r="L596" i="50"/>
  <c r="N594" i="50"/>
  <c r="N597" i="50"/>
  <c r="M597" i="50"/>
  <c r="K596" i="50"/>
  <c r="J596" i="50"/>
  <c r="M594" i="50"/>
  <c r="L594" i="50"/>
  <c r="N603" i="50" l="1"/>
  <c r="K602" i="50"/>
  <c r="M600" i="50"/>
  <c r="M603" i="50"/>
  <c r="J602" i="50"/>
  <c r="L600" i="50"/>
  <c r="L603" i="50"/>
  <c r="N601" i="50"/>
  <c r="K600" i="50"/>
  <c r="K603" i="50"/>
  <c r="M601" i="50"/>
  <c r="J600" i="50"/>
  <c r="J603" i="50"/>
  <c r="L601" i="50"/>
  <c r="O599" i="50"/>
  <c r="N602" i="50"/>
  <c r="K601" i="50"/>
  <c r="J601" i="50"/>
  <c r="N600" i="50"/>
  <c r="I605" i="50"/>
  <c r="M602" i="50"/>
  <c r="L602" i="50"/>
  <c r="M608" i="50" l="1"/>
  <c r="J607" i="50"/>
  <c r="I611" i="50"/>
  <c r="L608" i="50"/>
  <c r="N606" i="50"/>
  <c r="N609" i="50"/>
  <c r="K608" i="50"/>
  <c r="M606" i="50"/>
  <c r="M609" i="50"/>
  <c r="J608" i="50"/>
  <c r="L606" i="50"/>
  <c r="L609" i="50"/>
  <c r="N607" i="50"/>
  <c r="K606" i="50"/>
  <c r="K609" i="50"/>
  <c r="M607" i="50"/>
  <c r="J606" i="50"/>
  <c r="J609" i="50"/>
  <c r="N608" i="50"/>
  <c r="L607" i="50"/>
  <c r="K607" i="50"/>
  <c r="O605" i="50"/>
  <c r="J615" i="50" l="1"/>
  <c r="L613" i="50"/>
  <c r="O611" i="50"/>
  <c r="N614" i="50"/>
  <c r="K613" i="50"/>
  <c r="M614" i="50"/>
  <c r="J613" i="50"/>
  <c r="I617" i="50"/>
  <c r="L614" i="50"/>
  <c r="N612" i="50"/>
  <c r="N615" i="50"/>
  <c r="K614" i="50"/>
  <c r="M612" i="50"/>
  <c r="M615" i="50"/>
  <c r="J614" i="50"/>
  <c r="L612" i="50"/>
  <c r="L615" i="50"/>
  <c r="K615" i="50"/>
  <c r="N613" i="50"/>
  <c r="M613" i="50"/>
  <c r="K612" i="50"/>
  <c r="J612" i="50"/>
  <c r="J621" i="50" l="1"/>
  <c r="L619" i="50"/>
  <c r="N620" i="50"/>
  <c r="K619" i="50"/>
  <c r="M620" i="50"/>
  <c r="J619" i="50"/>
  <c r="I623" i="50"/>
  <c r="L620" i="50"/>
  <c r="N618" i="50"/>
  <c r="N621" i="50"/>
  <c r="K620" i="50"/>
  <c r="M618" i="50"/>
  <c r="L621" i="50"/>
  <c r="N619" i="50"/>
  <c r="K618" i="50"/>
  <c r="L618" i="50"/>
  <c r="J618" i="50"/>
  <c r="O617" i="50"/>
  <c r="M621" i="50"/>
  <c r="K621" i="50"/>
  <c r="J620" i="50"/>
  <c r="M619" i="50"/>
  <c r="L627" i="50" l="1"/>
  <c r="N625" i="50"/>
  <c r="K624" i="50"/>
  <c r="K627" i="50"/>
  <c r="M625" i="50"/>
  <c r="J624" i="50"/>
  <c r="J627" i="50"/>
  <c r="L625" i="50"/>
  <c r="O623" i="50"/>
  <c r="N626" i="50"/>
  <c r="K625" i="50"/>
  <c r="M626" i="50"/>
  <c r="J625" i="50"/>
  <c r="N627" i="50"/>
  <c r="K626" i="50"/>
  <c r="M624" i="50"/>
  <c r="L626" i="50"/>
  <c r="J626" i="50"/>
  <c r="N624" i="50"/>
  <c r="L624" i="50"/>
  <c r="I629" i="50"/>
  <c r="M627" i="50"/>
  <c r="N633" i="50" l="1"/>
  <c r="K632" i="50"/>
  <c r="M630" i="50"/>
  <c r="M633" i="50"/>
  <c r="J632" i="50"/>
  <c r="L630" i="50"/>
  <c r="L633" i="50"/>
  <c r="N631" i="50"/>
  <c r="K630" i="50"/>
  <c r="K633" i="50"/>
  <c r="M631" i="50"/>
  <c r="J630" i="50"/>
  <c r="J633" i="50"/>
  <c r="L631" i="50"/>
  <c r="O629" i="50"/>
  <c r="M632" i="50"/>
  <c r="J631" i="50"/>
  <c r="I635" i="50"/>
  <c r="N632" i="50"/>
  <c r="L632" i="50"/>
  <c r="K631" i="50"/>
  <c r="N630" i="50"/>
  <c r="M638" i="50" l="1"/>
  <c r="J637" i="50"/>
  <c r="I641" i="50"/>
  <c r="L638" i="50"/>
  <c r="N636" i="50"/>
  <c r="N639" i="50"/>
  <c r="K638" i="50"/>
  <c r="M636" i="50"/>
  <c r="M639" i="50"/>
  <c r="J638" i="50"/>
  <c r="L636" i="50"/>
  <c r="L639" i="50"/>
  <c r="N637" i="50"/>
  <c r="K636" i="50"/>
  <c r="J639" i="50"/>
  <c r="L637" i="50"/>
  <c r="O635" i="50"/>
  <c r="J636" i="50"/>
  <c r="K639" i="50"/>
  <c r="N638" i="50"/>
  <c r="M637" i="50"/>
  <c r="K637" i="50"/>
  <c r="J645" i="50" l="1"/>
  <c r="L643" i="50"/>
  <c r="O641" i="50"/>
  <c r="N644" i="50"/>
  <c r="K643" i="50"/>
  <c r="M644" i="50"/>
  <c r="J643" i="50"/>
  <c r="I647" i="50"/>
  <c r="L644" i="50"/>
  <c r="N642" i="50"/>
  <c r="N645" i="50"/>
  <c r="K644" i="50"/>
  <c r="M642" i="50"/>
  <c r="L645" i="50"/>
  <c r="N643" i="50"/>
  <c r="K642" i="50"/>
  <c r="J644" i="50"/>
  <c r="M643" i="50"/>
  <c r="L642" i="50"/>
  <c r="J642" i="50"/>
  <c r="M645" i="50"/>
  <c r="K645" i="50"/>
  <c r="L651" i="50" l="1"/>
  <c r="N649" i="50"/>
  <c r="K648" i="50"/>
  <c r="K651" i="50"/>
  <c r="M649" i="50"/>
  <c r="J648" i="50"/>
  <c r="J651" i="50"/>
  <c r="L649" i="50"/>
  <c r="O647" i="50"/>
  <c r="N650" i="50"/>
  <c r="K649" i="50"/>
  <c r="M650" i="50"/>
  <c r="J649" i="50"/>
  <c r="N651" i="50"/>
  <c r="K650" i="50"/>
  <c r="M648" i="50"/>
  <c r="I653" i="50"/>
  <c r="M651" i="50"/>
  <c r="L650" i="50"/>
  <c r="J650" i="50"/>
  <c r="N648" i="50"/>
  <c r="L648" i="50"/>
  <c r="N657" i="50" l="1"/>
  <c r="K656" i="50"/>
  <c r="M654" i="50"/>
  <c r="M657" i="50"/>
  <c r="J656" i="50"/>
  <c r="L654" i="50"/>
  <c r="L657" i="50"/>
  <c r="N655" i="50"/>
  <c r="K654" i="50"/>
  <c r="K657" i="50"/>
  <c r="M655" i="50"/>
  <c r="J654" i="50"/>
  <c r="J657" i="50"/>
  <c r="L655" i="50"/>
  <c r="O653" i="50"/>
  <c r="M656" i="50"/>
  <c r="J655" i="50"/>
  <c r="I659" i="50"/>
  <c r="N656" i="50"/>
  <c r="L656" i="50"/>
  <c r="K655" i="50"/>
  <c r="N654" i="50"/>
  <c r="M662" i="50" l="1"/>
  <c r="J661" i="50"/>
  <c r="I665" i="50"/>
  <c r="L662" i="50"/>
  <c r="N660" i="50"/>
  <c r="N663" i="50"/>
  <c r="K662" i="50"/>
  <c r="M660" i="50"/>
  <c r="M663" i="50"/>
  <c r="J662" i="50"/>
  <c r="L660" i="50"/>
  <c r="L663" i="50"/>
  <c r="N661" i="50"/>
  <c r="K660" i="50"/>
  <c r="J663" i="50"/>
  <c r="L661" i="50"/>
  <c r="O659" i="50"/>
  <c r="M661" i="50"/>
  <c r="K661" i="50"/>
  <c r="J660" i="50"/>
  <c r="K663" i="50"/>
  <c r="N662" i="50"/>
  <c r="J669" i="50" l="1"/>
  <c r="L667" i="50"/>
  <c r="O665" i="50"/>
  <c r="N668" i="50"/>
  <c r="K667" i="50"/>
  <c r="M668" i="50"/>
  <c r="J667" i="50"/>
  <c r="I671" i="50"/>
  <c r="L668" i="50"/>
  <c r="N666" i="50"/>
  <c r="N669" i="50"/>
  <c r="K668" i="50"/>
  <c r="M666" i="50"/>
  <c r="L669" i="50"/>
  <c r="N667" i="50"/>
  <c r="K666" i="50"/>
  <c r="M669" i="50"/>
  <c r="K669" i="50"/>
  <c r="J668" i="50"/>
  <c r="M667" i="50"/>
  <c r="L666" i="50"/>
  <c r="J666" i="50"/>
  <c r="L675" i="50" l="1"/>
  <c r="N673" i="50"/>
  <c r="K672" i="50"/>
  <c r="K675" i="50"/>
  <c r="M673" i="50"/>
  <c r="J672" i="50"/>
  <c r="J675" i="50"/>
  <c r="L673" i="50"/>
  <c r="O671" i="50"/>
  <c r="N674" i="50"/>
  <c r="K673" i="50"/>
  <c r="M674" i="50"/>
  <c r="J673" i="50"/>
  <c r="N675" i="50"/>
  <c r="K674" i="50"/>
  <c r="M672" i="50"/>
  <c r="I677" i="50"/>
  <c r="M675" i="50"/>
  <c r="L674" i="50"/>
  <c r="J674" i="50"/>
  <c r="N672" i="50"/>
  <c r="L672" i="50"/>
  <c r="N681" i="50" l="1"/>
  <c r="K680" i="50"/>
  <c r="M678" i="50"/>
  <c r="M681" i="50"/>
  <c r="J680" i="50"/>
  <c r="L678" i="50"/>
  <c r="L681" i="50"/>
  <c r="N679" i="50"/>
  <c r="K678" i="50"/>
  <c r="K681" i="50"/>
  <c r="M679" i="50"/>
  <c r="J678" i="50"/>
  <c r="J681" i="50"/>
  <c r="L679" i="50"/>
  <c r="O677" i="50"/>
  <c r="M680" i="50"/>
  <c r="J679" i="50"/>
  <c r="K679" i="50"/>
  <c r="N678" i="50"/>
  <c r="I683" i="50"/>
  <c r="N680" i="50"/>
  <c r="L680" i="50"/>
  <c r="M686" i="50" l="1"/>
  <c r="J685" i="50"/>
  <c r="I689" i="50"/>
  <c r="L686" i="50"/>
  <c r="N684" i="50"/>
  <c r="N687" i="50"/>
  <c r="K686" i="50"/>
  <c r="M684" i="50"/>
  <c r="M687" i="50"/>
  <c r="J686" i="50"/>
  <c r="L684" i="50"/>
  <c r="L687" i="50"/>
  <c r="N685" i="50"/>
  <c r="K684" i="50"/>
  <c r="J687" i="50"/>
  <c r="L685" i="50"/>
  <c r="O683" i="50"/>
  <c r="K687" i="50"/>
  <c r="N686" i="50"/>
  <c r="M685" i="50"/>
  <c r="K685" i="50"/>
  <c r="J684" i="50"/>
  <c r="J693" i="50" l="1"/>
  <c r="L691" i="50"/>
  <c r="O689" i="50"/>
  <c r="N692" i="50"/>
  <c r="K691" i="50"/>
  <c r="M692" i="50"/>
  <c r="J691" i="50"/>
  <c r="I695" i="50"/>
  <c r="L692" i="50"/>
  <c r="N690" i="50"/>
  <c r="N693" i="50"/>
  <c r="K692" i="50"/>
  <c r="M690" i="50"/>
  <c r="L693" i="50"/>
  <c r="N691" i="50"/>
  <c r="K690" i="50"/>
  <c r="M693" i="50"/>
  <c r="K693" i="50"/>
  <c r="J692" i="50"/>
  <c r="M691" i="50"/>
  <c r="L690" i="50"/>
  <c r="J690" i="50"/>
  <c r="L699" i="50" l="1"/>
  <c r="N697" i="50"/>
  <c r="K696" i="50"/>
  <c r="K699" i="50"/>
  <c r="M697" i="50"/>
  <c r="J696" i="50"/>
  <c r="J699" i="50"/>
  <c r="L697" i="50"/>
  <c r="O695" i="50"/>
  <c r="N698" i="50"/>
  <c r="K697" i="50"/>
  <c r="M698" i="50"/>
  <c r="J697" i="50"/>
  <c r="N699" i="50"/>
  <c r="K698" i="50"/>
  <c r="M696" i="50"/>
  <c r="N696" i="50"/>
  <c r="L696" i="50"/>
  <c r="I701" i="50"/>
  <c r="M699" i="50"/>
  <c r="L698" i="50"/>
  <c r="J698" i="50"/>
  <c r="N705" i="50" l="1"/>
  <c r="K704" i="50"/>
  <c r="M702" i="50"/>
  <c r="M705" i="50"/>
  <c r="J704" i="50"/>
  <c r="L702" i="50"/>
  <c r="L705" i="50"/>
  <c r="N703" i="50"/>
  <c r="K702" i="50"/>
  <c r="K705" i="50"/>
  <c r="M703" i="50"/>
  <c r="J702" i="50"/>
  <c r="J705" i="50"/>
  <c r="L703" i="50"/>
  <c r="O701" i="50"/>
  <c r="M704" i="50"/>
  <c r="J703" i="50"/>
  <c r="N704" i="50"/>
  <c r="L704" i="50"/>
  <c r="K703" i="50"/>
  <c r="N702" i="50"/>
  <c r="I707" i="50"/>
  <c r="M710" i="50" l="1"/>
  <c r="J709" i="50"/>
  <c r="I713" i="50"/>
  <c r="L710" i="50"/>
  <c r="N708" i="50"/>
  <c r="N711" i="50"/>
  <c r="K710" i="50"/>
  <c r="M708" i="50"/>
  <c r="M711" i="50"/>
  <c r="J710" i="50"/>
  <c r="L708" i="50"/>
  <c r="L711" i="50"/>
  <c r="N709" i="50"/>
  <c r="K708" i="50"/>
  <c r="J711" i="50"/>
  <c r="L709" i="50"/>
  <c r="O707" i="50"/>
  <c r="K711" i="50"/>
  <c r="N710" i="50"/>
  <c r="M709" i="50"/>
  <c r="K709" i="50"/>
  <c r="J708" i="50"/>
  <c r="J717" i="50" l="1"/>
  <c r="L715" i="50"/>
  <c r="O713" i="50"/>
  <c r="N716" i="50"/>
  <c r="K715" i="50"/>
  <c r="M716" i="50"/>
  <c r="J715" i="50"/>
  <c r="I719" i="50"/>
  <c r="L716" i="50"/>
  <c r="N714" i="50"/>
  <c r="N717" i="50"/>
  <c r="K716" i="50"/>
  <c r="M714" i="50"/>
  <c r="L717" i="50"/>
  <c r="N715" i="50"/>
  <c r="K714" i="50"/>
  <c r="L714" i="50"/>
  <c r="J714" i="50"/>
  <c r="M717" i="50"/>
  <c r="K717" i="50"/>
  <c r="J716" i="50"/>
  <c r="M715" i="50"/>
  <c r="L723" i="50" l="1"/>
  <c r="N721" i="50"/>
  <c r="K720" i="50"/>
  <c r="K723" i="50"/>
  <c r="M721" i="50"/>
  <c r="J720" i="50"/>
  <c r="J723" i="50"/>
  <c r="L721" i="50"/>
  <c r="O719" i="50"/>
  <c r="N722" i="50"/>
  <c r="K721" i="50"/>
  <c r="M722" i="50"/>
  <c r="J721" i="50"/>
  <c r="N723" i="50"/>
  <c r="K722" i="50"/>
  <c r="M720" i="50"/>
  <c r="L722" i="50"/>
  <c r="J722" i="50"/>
  <c r="N720" i="50"/>
  <c r="L720" i="50"/>
  <c r="I725" i="50"/>
  <c r="M723" i="50"/>
  <c r="N729" i="50" l="1"/>
  <c r="K728" i="50"/>
  <c r="M726" i="50"/>
  <c r="M729" i="50"/>
  <c r="J728" i="50"/>
  <c r="L726" i="50"/>
  <c r="L729" i="50"/>
  <c r="N727" i="50"/>
  <c r="K726" i="50"/>
  <c r="K729" i="50"/>
  <c r="M727" i="50"/>
  <c r="J726" i="50"/>
  <c r="J729" i="50"/>
  <c r="L727" i="50"/>
  <c r="O725" i="50"/>
  <c r="M728" i="50"/>
  <c r="J727" i="50"/>
  <c r="I731" i="50"/>
  <c r="N728" i="50"/>
  <c r="L728" i="50"/>
  <c r="K727" i="50"/>
  <c r="N726" i="50"/>
  <c r="M734" i="50" l="1"/>
  <c r="J733" i="50"/>
  <c r="I737" i="50"/>
  <c r="L734" i="50"/>
  <c r="N732" i="50"/>
  <c r="N735" i="50"/>
  <c r="K734" i="50"/>
  <c r="M732" i="50"/>
  <c r="M735" i="50"/>
  <c r="J734" i="50"/>
  <c r="L732" i="50"/>
  <c r="L735" i="50"/>
  <c r="N733" i="50"/>
  <c r="K732" i="50"/>
  <c r="J735" i="50"/>
  <c r="L733" i="50"/>
  <c r="O731" i="50"/>
  <c r="J732" i="50"/>
  <c r="K735" i="50"/>
  <c r="N734" i="50"/>
  <c r="M733" i="50"/>
  <c r="K733" i="50"/>
  <c r="J741" i="50" l="1"/>
  <c r="L739" i="50"/>
  <c r="O737" i="50"/>
  <c r="N740" i="50"/>
  <c r="K739" i="50"/>
  <c r="M740" i="50"/>
  <c r="J739" i="50"/>
  <c r="I743" i="50"/>
  <c r="L740" i="50"/>
  <c r="N738" i="50"/>
  <c r="N741" i="50"/>
  <c r="K740" i="50"/>
  <c r="M738" i="50"/>
  <c r="L741" i="50"/>
  <c r="N739" i="50"/>
  <c r="K738" i="50"/>
  <c r="J740" i="50"/>
  <c r="M739" i="50"/>
  <c r="L738" i="50"/>
  <c r="J738" i="50"/>
  <c r="M741" i="50"/>
  <c r="K741" i="50"/>
  <c r="L747" i="50" l="1"/>
  <c r="N745" i="50"/>
  <c r="K744" i="50"/>
  <c r="K747" i="50"/>
  <c r="M745" i="50"/>
  <c r="J744" i="50"/>
  <c r="J747" i="50"/>
  <c r="L745" i="50"/>
  <c r="O743" i="50"/>
  <c r="N746" i="50"/>
  <c r="K745" i="50"/>
  <c r="M746" i="50"/>
  <c r="J745" i="50"/>
  <c r="N747" i="50"/>
  <c r="K746" i="50"/>
  <c r="M744" i="50"/>
  <c r="I749" i="50"/>
  <c r="M747" i="50"/>
  <c r="L746" i="50"/>
  <c r="J746" i="50"/>
  <c r="N744" i="50"/>
  <c r="L744" i="50"/>
  <c r="N753" i="50" l="1"/>
  <c r="K752" i="50"/>
  <c r="M750" i="50"/>
  <c r="M753" i="50"/>
  <c r="J752" i="50"/>
  <c r="L750" i="50"/>
  <c r="L753" i="50"/>
  <c r="N751" i="50"/>
  <c r="K750" i="50"/>
  <c r="K753" i="50"/>
  <c r="M751" i="50"/>
  <c r="J750" i="50"/>
  <c r="J753" i="50"/>
  <c r="L751" i="50"/>
  <c r="O749" i="50"/>
  <c r="M752" i="50"/>
  <c r="J751" i="50"/>
  <c r="I755" i="50"/>
  <c r="N752" i="50"/>
  <c r="L752" i="50"/>
  <c r="K751" i="50"/>
  <c r="N750" i="50"/>
  <c r="M758" i="50" l="1"/>
  <c r="J757" i="50"/>
  <c r="I761" i="50"/>
  <c r="L758" i="50"/>
  <c r="N756" i="50"/>
  <c r="N759" i="50"/>
  <c r="K758" i="50"/>
  <c r="M756" i="50"/>
  <c r="M759" i="50"/>
  <c r="J758" i="50"/>
  <c r="L756" i="50"/>
  <c r="L759" i="50"/>
  <c r="N757" i="50"/>
  <c r="K756" i="50"/>
  <c r="J759" i="50"/>
  <c r="L757" i="50"/>
  <c r="O755" i="50"/>
  <c r="M757" i="50"/>
  <c r="K757" i="50"/>
  <c r="J756" i="50"/>
  <c r="K759" i="50"/>
  <c r="N758" i="50"/>
  <c r="J765" i="50" l="1"/>
  <c r="L763" i="50"/>
  <c r="O761" i="50"/>
  <c r="N764" i="50"/>
  <c r="K763" i="50"/>
  <c r="M764" i="50"/>
  <c r="J763" i="50"/>
  <c r="I767" i="50"/>
  <c r="L764" i="50"/>
  <c r="N762" i="50"/>
  <c r="N765" i="50"/>
  <c r="K764" i="50"/>
  <c r="M762" i="50"/>
  <c r="L765" i="50"/>
  <c r="N763" i="50"/>
  <c r="K762" i="50"/>
  <c r="M765" i="50"/>
  <c r="K765" i="50"/>
  <c r="J764" i="50"/>
  <c r="M763" i="50"/>
  <c r="L762" i="50"/>
  <c r="J762" i="50"/>
  <c r="L771" i="50" l="1"/>
  <c r="N769" i="50"/>
  <c r="K768" i="50"/>
  <c r="K771" i="50"/>
  <c r="M769" i="50"/>
  <c r="J768" i="50"/>
  <c r="J771" i="50"/>
  <c r="L769" i="50"/>
  <c r="O767" i="50"/>
  <c r="N770" i="50"/>
  <c r="K769" i="50"/>
  <c r="M770" i="50"/>
  <c r="J769" i="50"/>
  <c r="N771" i="50"/>
  <c r="K770" i="50"/>
  <c r="M768" i="50"/>
  <c r="I773" i="50"/>
  <c r="M771" i="50"/>
  <c r="L770" i="50"/>
  <c r="J770" i="50"/>
  <c r="N768" i="50"/>
  <c r="L768" i="50"/>
  <c r="N777" i="50" l="1"/>
  <c r="K776" i="50"/>
  <c r="M774" i="50"/>
  <c r="M777" i="50"/>
  <c r="J776" i="50"/>
  <c r="L774" i="50"/>
  <c r="L777" i="50"/>
  <c r="N775" i="50"/>
  <c r="K774" i="50"/>
  <c r="K777" i="50"/>
  <c r="M775" i="50"/>
  <c r="J774" i="50"/>
  <c r="J777" i="50"/>
  <c r="L775" i="50"/>
  <c r="O773" i="50"/>
  <c r="M776" i="50"/>
  <c r="J775" i="50"/>
  <c r="K775" i="50"/>
  <c r="N774" i="50"/>
  <c r="I779" i="50"/>
  <c r="N776" i="50"/>
  <c r="L776" i="50"/>
  <c r="M782" i="50" l="1"/>
  <c r="J781" i="50"/>
  <c r="I785" i="50"/>
  <c r="L782" i="50"/>
  <c r="N780" i="50"/>
  <c r="N783" i="50"/>
  <c r="K782" i="50"/>
  <c r="M780" i="50"/>
  <c r="M783" i="50"/>
  <c r="J782" i="50"/>
  <c r="L780" i="50"/>
  <c r="L783" i="50"/>
  <c r="N781" i="50"/>
  <c r="K780" i="50"/>
  <c r="J783" i="50"/>
  <c r="L781" i="50"/>
  <c r="O779" i="50"/>
  <c r="K783" i="50"/>
  <c r="N782" i="50"/>
  <c r="M781" i="50"/>
  <c r="K781" i="50"/>
  <c r="J780" i="50"/>
  <c r="J789" i="50" l="1"/>
  <c r="L787" i="50"/>
  <c r="O785" i="50"/>
  <c r="N788" i="50"/>
  <c r="K787" i="50"/>
  <c r="M788" i="50"/>
  <c r="J787" i="50"/>
  <c r="I791" i="50"/>
  <c r="L788" i="50"/>
  <c r="N786" i="50"/>
  <c r="N789" i="50"/>
  <c r="K788" i="50"/>
  <c r="M786" i="50"/>
  <c r="L789" i="50"/>
  <c r="N787" i="50"/>
  <c r="K786" i="50"/>
  <c r="M789" i="50"/>
  <c r="K789" i="50"/>
  <c r="J788" i="50"/>
  <c r="M787" i="50"/>
  <c r="L786" i="50"/>
  <c r="J786" i="50"/>
  <c r="L795" i="50" l="1"/>
  <c r="N793" i="50"/>
  <c r="K792" i="50"/>
  <c r="K795" i="50"/>
  <c r="M793" i="50"/>
  <c r="J792" i="50"/>
  <c r="J795" i="50"/>
  <c r="L793" i="50"/>
  <c r="O791" i="50"/>
  <c r="N794" i="50"/>
  <c r="K793" i="50"/>
  <c r="M794" i="50"/>
  <c r="J793" i="50"/>
  <c r="N795" i="50"/>
  <c r="K794" i="50"/>
  <c r="M792" i="50"/>
  <c r="N792" i="50"/>
  <c r="L792" i="50"/>
  <c r="I797" i="50"/>
  <c r="M795" i="50"/>
  <c r="L794" i="50"/>
  <c r="J794" i="50"/>
  <c r="N801" i="50" l="1"/>
  <c r="K800" i="50"/>
  <c r="M798" i="50"/>
  <c r="M801" i="50"/>
  <c r="J800" i="50"/>
  <c r="L798" i="50"/>
  <c r="L801" i="50"/>
  <c r="N799" i="50"/>
  <c r="K798" i="50"/>
  <c r="K801" i="50"/>
  <c r="M799" i="50"/>
  <c r="J798" i="50"/>
  <c r="J801" i="50"/>
  <c r="L799" i="50"/>
  <c r="O797" i="50"/>
  <c r="M800" i="50"/>
  <c r="J799" i="50"/>
  <c r="N800" i="50"/>
  <c r="L800" i="50"/>
  <c r="K799" i="50"/>
  <c r="N798" i="50"/>
  <c r="O2" i="50" l="1"/>
  <c r="C10" i="16"/>
  <c r="C17" i="16" l="1"/>
  <c r="C16" i="16"/>
  <c r="C15" i="16"/>
  <c r="C14" i="16"/>
  <c r="C13" i="16"/>
  <c r="C12" i="16"/>
  <c r="C11" i="16"/>
  <c r="C9" i="16"/>
  <c r="C8" i="16"/>
  <c r="C7" i="16"/>
  <c r="C6" i="16"/>
  <c r="J3" i="50" l="1"/>
  <c r="K3" i="50"/>
  <c r="L3" i="50"/>
  <c r="M3" i="50"/>
  <c r="N3" i="50"/>
  <c r="J4" i="50"/>
  <c r="K4" i="50"/>
  <c r="L4" i="50"/>
  <c r="M4" i="50"/>
  <c r="N4" i="50"/>
  <c r="J5" i="50"/>
  <c r="K5" i="50"/>
  <c r="L5" i="50"/>
  <c r="M5" i="50"/>
  <c r="N5" i="50"/>
  <c r="I7" i="50" l="1"/>
  <c r="O7" i="50" s="1"/>
  <c r="K9" i="50" l="1"/>
  <c r="N10" i="50"/>
  <c r="L9" i="50"/>
  <c r="I12" i="50"/>
  <c r="K14" i="50" s="1"/>
  <c r="J8" i="50"/>
  <c r="M9" i="50"/>
  <c r="K8" i="50"/>
  <c r="N9" i="50"/>
  <c r="L8" i="50"/>
  <c r="J10" i="50"/>
  <c r="M8" i="50"/>
  <c r="K10" i="50"/>
  <c r="N8" i="50"/>
  <c r="L10" i="50"/>
  <c r="J9" i="50"/>
  <c r="M10" i="50"/>
  <c r="M15" i="50" l="1"/>
  <c r="J14" i="50"/>
  <c r="L13" i="50"/>
  <c r="N14" i="50"/>
  <c r="K13" i="50"/>
  <c r="J13" i="50"/>
  <c r="N15" i="50"/>
  <c r="O12" i="50"/>
  <c r="I17" i="50"/>
  <c r="M14" i="50"/>
  <c r="L15" i="50"/>
  <c r="L14" i="50"/>
  <c r="K15" i="50"/>
  <c r="N13" i="50"/>
  <c r="M13" i="50"/>
  <c r="J15" i="50"/>
  <c r="N20" i="50" l="1"/>
  <c r="O17" i="50"/>
  <c r="I22" i="50"/>
  <c r="L19" i="50"/>
  <c r="K20" i="50"/>
  <c r="J20" i="50"/>
  <c r="L20" i="50"/>
  <c r="J18" i="50"/>
  <c r="J19" i="50"/>
  <c r="M19" i="50"/>
  <c r="M20" i="50"/>
  <c r="K18" i="50"/>
  <c r="L18" i="50"/>
  <c r="N19" i="50"/>
  <c r="M18" i="50"/>
  <c r="N18" i="50"/>
  <c r="K19" i="50"/>
  <c r="N25" i="50" l="1"/>
  <c r="O22" i="50"/>
  <c r="I27" i="50"/>
  <c r="K25" i="50"/>
  <c r="K23" i="50"/>
  <c r="M25" i="50"/>
  <c r="J25" i="50"/>
  <c r="K24" i="50"/>
  <c r="J23" i="50"/>
  <c r="M23" i="50"/>
  <c r="L23" i="50"/>
  <c r="L24" i="50"/>
  <c r="N24" i="50"/>
  <c r="M24" i="50"/>
  <c r="N23" i="50"/>
  <c r="L25" i="50"/>
  <c r="J24" i="50"/>
  <c r="N30" i="50" l="1"/>
  <c r="O27" i="50"/>
  <c r="I32" i="50"/>
  <c r="N29" i="50"/>
  <c r="M30" i="50"/>
  <c r="M29" i="50"/>
  <c r="L30" i="50"/>
  <c r="J30" i="50"/>
  <c r="M28" i="50"/>
  <c r="K30" i="50"/>
  <c r="J29" i="50"/>
  <c r="K29" i="50"/>
  <c r="L29" i="50"/>
  <c r="J28" i="50"/>
  <c r="K28" i="50"/>
  <c r="L28" i="50"/>
  <c r="N28" i="50"/>
  <c r="N35" i="50" l="1"/>
  <c r="O32" i="50"/>
  <c r="J34" i="50"/>
  <c r="K33" i="50"/>
  <c r="I37" i="50"/>
  <c r="M35" i="50"/>
  <c r="N34" i="50"/>
  <c r="K35" i="50"/>
  <c r="J35" i="50"/>
  <c r="M33" i="50"/>
  <c r="N33" i="50"/>
  <c r="L35" i="50"/>
  <c r="L33" i="50"/>
  <c r="M34" i="50"/>
  <c r="K34" i="50"/>
  <c r="L34" i="50"/>
  <c r="J33" i="50"/>
  <c r="M40" i="50" l="1"/>
  <c r="O37" i="50"/>
  <c r="I42" i="50"/>
  <c r="N40" i="50"/>
  <c r="K39" i="50"/>
  <c r="M39" i="50"/>
  <c r="L40" i="50"/>
  <c r="L39" i="50"/>
  <c r="K40" i="50"/>
  <c r="J40" i="50"/>
  <c r="M38" i="50"/>
  <c r="N38" i="50"/>
  <c r="J38" i="50"/>
  <c r="N39" i="50"/>
  <c r="K38" i="50"/>
  <c r="L38" i="50"/>
  <c r="J39" i="50"/>
  <c r="N45" i="50" l="1"/>
  <c r="O42" i="50"/>
  <c r="I47" i="50"/>
  <c r="L44" i="50"/>
  <c r="K45" i="50"/>
  <c r="K43" i="50"/>
  <c r="L45" i="50"/>
  <c r="J43" i="50"/>
  <c r="J44" i="50"/>
  <c r="M44" i="50"/>
  <c r="M45" i="50"/>
  <c r="N44" i="50"/>
  <c r="L43" i="50"/>
  <c r="J45" i="50"/>
  <c r="M43" i="50"/>
  <c r="N43" i="50"/>
  <c r="K44" i="50"/>
  <c r="N50" i="50" l="1"/>
  <c r="O47" i="50"/>
  <c r="I52" i="50"/>
  <c r="J50" i="50"/>
  <c r="N49" i="50"/>
  <c r="M50" i="50"/>
  <c r="M49" i="50"/>
  <c r="K49" i="50"/>
  <c r="K48" i="50"/>
  <c r="L48" i="50"/>
  <c r="N48" i="50"/>
  <c r="L50" i="50"/>
  <c r="K50" i="50"/>
  <c r="J49" i="50"/>
  <c r="L49" i="50"/>
  <c r="J48" i="50"/>
  <c r="M48" i="50"/>
  <c r="N55" i="50" l="1"/>
  <c r="O52" i="50"/>
  <c r="I57" i="50"/>
  <c r="N54" i="50"/>
  <c r="M55" i="50"/>
  <c r="M54" i="50"/>
  <c r="L55" i="50"/>
  <c r="J55" i="50"/>
  <c r="M53" i="50"/>
  <c r="K55" i="50"/>
  <c r="L53" i="50"/>
  <c r="N53" i="50"/>
  <c r="K54" i="50"/>
  <c r="J54" i="50"/>
  <c r="L54" i="50"/>
  <c r="J53" i="50"/>
  <c r="K53" i="50"/>
  <c r="N60" i="50" l="1"/>
  <c r="O57" i="50"/>
  <c r="I62" i="50"/>
  <c r="M59" i="50"/>
  <c r="L60" i="50"/>
  <c r="L59" i="50"/>
  <c r="K60" i="50"/>
  <c r="N58" i="50"/>
  <c r="J59" i="50"/>
  <c r="J58" i="50"/>
  <c r="M60" i="50"/>
  <c r="L58" i="50"/>
  <c r="M58" i="50"/>
  <c r="K59" i="50"/>
  <c r="J60" i="50"/>
  <c r="K58" i="50"/>
  <c r="N59" i="50"/>
  <c r="N65" i="50" l="1"/>
  <c r="O62" i="50"/>
  <c r="I67" i="50"/>
  <c r="L64" i="50"/>
  <c r="K65" i="50"/>
  <c r="J65" i="50"/>
  <c r="M64" i="50"/>
  <c r="M65" i="50"/>
  <c r="K63" i="50"/>
  <c r="K64" i="50"/>
  <c r="N64" i="50"/>
  <c r="J63" i="50"/>
  <c r="M63" i="50"/>
  <c r="L63" i="50"/>
  <c r="N63" i="50"/>
  <c r="L65" i="50"/>
  <c r="J64" i="50"/>
  <c r="N70" i="50" l="1"/>
  <c r="O67" i="50"/>
  <c r="I72" i="50"/>
  <c r="J70" i="50"/>
  <c r="L69" i="50"/>
  <c r="M70" i="50"/>
  <c r="L68" i="50"/>
  <c r="M68" i="50"/>
  <c r="K70" i="50"/>
  <c r="J68" i="50"/>
  <c r="K68" i="50"/>
  <c r="K69" i="50"/>
  <c r="M69" i="50"/>
  <c r="N69" i="50"/>
  <c r="N68" i="50"/>
  <c r="L70" i="50"/>
  <c r="J69" i="50"/>
  <c r="N75" i="50" l="1"/>
  <c r="O72" i="50"/>
  <c r="I77" i="50"/>
  <c r="N74" i="50"/>
  <c r="M75" i="50"/>
  <c r="M74" i="50"/>
  <c r="L75" i="50"/>
  <c r="K75" i="50"/>
  <c r="N73" i="50"/>
  <c r="L74" i="50"/>
  <c r="J74" i="50"/>
  <c r="J73" i="50"/>
  <c r="K73" i="50"/>
  <c r="L73" i="50"/>
  <c r="J75" i="50"/>
  <c r="M73" i="50"/>
  <c r="K74" i="50"/>
  <c r="N80" i="50" l="1"/>
  <c r="O77" i="50"/>
  <c r="I82" i="50"/>
  <c r="L79" i="50"/>
  <c r="L80" i="50"/>
  <c r="J78" i="50"/>
  <c r="K80" i="50"/>
  <c r="M79" i="50"/>
  <c r="M80" i="50"/>
  <c r="K78" i="50"/>
  <c r="K79" i="50"/>
  <c r="N79" i="50"/>
  <c r="N78" i="50"/>
  <c r="J79" i="50"/>
  <c r="L78" i="50"/>
  <c r="J80" i="50"/>
  <c r="M78" i="50"/>
  <c r="N85" i="50" l="1"/>
  <c r="O82" i="50"/>
  <c r="I87" i="50"/>
  <c r="L84" i="50"/>
  <c r="K85" i="50"/>
  <c r="J85" i="50"/>
  <c r="N84" i="50"/>
  <c r="L83" i="50"/>
  <c r="M83" i="50"/>
  <c r="N83" i="50"/>
  <c r="M84" i="50"/>
  <c r="K83" i="50"/>
  <c r="J84" i="50"/>
  <c r="L85" i="50"/>
  <c r="M85" i="50"/>
  <c r="K84" i="50"/>
  <c r="J83" i="50"/>
  <c r="N90" i="50" l="1"/>
  <c r="O87" i="50"/>
  <c r="I92" i="50"/>
  <c r="J90" i="50"/>
  <c r="N89" i="50"/>
  <c r="M90" i="50"/>
  <c r="K90" i="50"/>
  <c r="N88" i="50"/>
  <c r="L89" i="50"/>
  <c r="L90" i="50"/>
  <c r="J88" i="50"/>
  <c r="J89" i="50"/>
  <c r="K88" i="50"/>
  <c r="K89" i="50"/>
  <c r="M89" i="50"/>
  <c r="L88" i="50"/>
  <c r="M88" i="50"/>
  <c r="N95" i="50" l="1"/>
  <c r="O92" i="50"/>
  <c r="I97" i="50"/>
  <c r="N94" i="50"/>
  <c r="M95" i="50"/>
  <c r="L94" i="50"/>
  <c r="L95" i="50"/>
  <c r="J93" i="50"/>
  <c r="J94" i="50"/>
  <c r="M94" i="50"/>
  <c r="K94" i="50"/>
  <c r="K93" i="50"/>
  <c r="L93" i="50"/>
  <c r="N93" i="50"/>
  <c r="J95" i="50"/>
  <c r="M93" i="50"/>
  <c r="K95" i="50"/>
  <c r="N100" i="50" l="1"/>
  <c r="O97" i="50"/>
  <c r="I102" i="50"/>
  <c r="M99" i="50"/>
  <c r="L100" i="50"/>
  <c r="L99" i="50"/>
  <c r="K100" i="50"/>
  <c r="N99" i="50"/>
  <c r="L98" i="50"/>
  <c r="J100" i="50"/>
  <c r="M98" i="50"/>
  <c r="K98" i="50"/>
  <c r="J99" i="50"/>
  <c r="M100" i="50"/>
  <c r="J98" i="50"/>
  <c r="N98" i="50"/>
  <c r="K99" i="50"/>
  <c r="N105" i="50" l="1"/>
  <c r="O102" i="50"/>
  <c r="I107" i="50"/>
  <c r="J103" i="50"/>
  <c r="L104" i="50"/>
  <c r="M103" i="50"/>
  <c r="K105" i="50"/>
  <c r="N103" i="50"/>
  <c r="L105" i="50"/>
  <c r="M104" i="50"/>
  <c r="J104" i="50"/>
  <c r="N104" i="50"/>
  <c r="K103" i="50"/>
  <c r="L103" i="50"/>
  <c r="J105" i="50"/>
  <c r="M105" i="50"/>
  <c r="K104" i="50"/>
  <c r="N110" i="50" l="1"/>
  <c r="O107" i="50"/>
  <c r="I112" i="50"/>
  <c r="M108" i="50"/>
  <c r="L108" i="50"/>
  <c r="M110" i="50"/>
  <c r="M109" i="50"/>
  <c r="L109" i="50"/>
  <c r="K108" i="50"/>
  <c r="J109" i="50"/>
  <c r="N109" i="50"/>
  <c r="K109" i="50"/>
  <c r="J108" i="50"/>
  <c r="L110" i="50"/>
  <c r="J110" i="50"/>
  <c r="K110" i="50"/>
  <c r="N108" i="50"/>
  <c r="N115" i="50" l="1"/>
  <c r="O112" i="50"/>
  <c r="I117" i="50"/>
  <c r="N114" i="50"/>
  <c r="M115" i="50"/>
  <c r="M114" i="50"/>
  <c r="L115" i="50"/>
  <c r="K113" i="50"/>
  <c r="L113" i="50"/>
  <c r="J115" i="50"/>
  <c r="M113" i="50"/>
  <c r="L114" i="50"/>
  <c r="J113" i="50"/>
  <c r="N113" i="50"/>
  <c r="K115" i="50"/>
  <c r="J114" i="50"/>
  <c r="K114" i="50"/>
  <c r="N120" i="50" l="1"/>
  <c r="O117" i="50"/>
  <c r="I122" i="50"/>
  <c r="M119" i="50"/>
  <c r="L120" i="50"/>
  <c r="L119" i="50"/>
  <c r="K120" i="50"/>
  <c r="J120" i="50"/>
  <c r="M118" i="50"/>
  <c r="N118" i="50"/>
  <c r="J119" i="50"/>
  <c r="K118" i="50"/>
  <c r="N119" i="50"/>
  <c r="K119" i="50"/>
  <c r="J118" i="50"/>
  <c r="L118" i="50"/>
  <c r="M120" i="50"/>
  <c r="N125" i="50" l="1"/>
  <c r="O122" i="50"/>
  <c r="I127" i="50"/>
  <c r="L124" i="50"/>
  <c r="K125" i="50"/>
  <c r="J125" i="50"/>
  <c r="L125" i="50"/>
  <c r="J123" i="50"/>
  <c r="J124" i="50"/>
  <c r="M124" i="50"/>
  <c r="M125" i="50"/>
  <c r="K123" i="50"/>
  <c r="K124" i="50"/>
  <c r="M123" i="50"/>
  <c r="N123" i="50"/>
  <c r="N124" i="50"/>
  <c r="L123" i="50"/>
  <c r="N130" i="50" l="1"/>
  <c r="O127" i="50"/>
  <c r="I132" i="50"/>
  <c r="J130" i="50"/>
  <c r="N129" i="50"/>
  <c r="M130" i="50"/>
  <c r="M129" i="50"/>
  <c r="K129" i="50"/>
  <c r="K128" i="50"/>
  <c r="L128" i="50"/>
  <c r="M128" i="50"/>
  <c r="J128" i="50"/>
  <c r="N128" i="50"/>
  <c r="K130" i="50"/>
  <c r="L130" i="50"/>
  <c r="J129" i="50"/>
  <c r="L129" i="50"/>
  <c r="N135" i="50" l="1"/>
  <c r="O132" i="50"/>
  <c r="I137" i="50"/>
  <c r="N134" i="50"/>
  <c r="M135" i="50"/>
  <c r="M134" i="50"/>
  <c r="L135" i="50"/>
  <c r="J135" i="50"/>
  <c r="M133" i="50"/>
  <c r="K135" i="50"/>
  <c r="N133" i="50"/>
  <c r="J133" i="50"/>
  <c r="L134" i="50"/>
  <c r="K133" i="50"/>
  <c r="L133" i="50"/>
  <c r="J134" i="50"/>
  <c r="K134" i="50"/>
  <c r="N140" i="50" l="1"/>
  <c r="O137" i="50"/>
  <c r="I142" i="50"/>
  <c r="M139" i="50"/>
  <c r="L140" i="50"/>
  <c r="L139" i="50"/>
  <c r="K140" i="50"/>
  <c r="N138" i="50"/>
  <c r="J139" i="50"/>
  <c r="J138" i="50"/>
  <c r="M140" i="50"/>
  <c r="K138" i="50"/>
  <c r="K139" i="50"/>
  <c r="J140" i="50"/>
  <c r="M138" i="50"/>
  <c r="N139" i="50"/>
  <c r="L138" i="50"/>
  <c r="N145" i="50" l="1"/>
  <c r="O142" i="50"/>
  <c r="I147" i="50"/>
  <c r="I152" i="50" s="1"/>
  <c r="L144" i="50"/>
  <c r="K145" i="50"/>
  <c r="J145" i="50"/>
  <c r="M144" i="50"/>
  <c r="M145" i="50"/>
  <c r="K143" i="50"/>
  <c r="K144" i="50"/>
  <c r="N144" i="50"/>
  <c r="L143" i="50"/>
  <c r="J143" i="50"/>
  <c r="N143" i="50"/>
  <c r="L145" i="50"/>
  <c r="M143" i="50"/>
  <c r="J144" i="50"/>
  <c r="L153" i="50" l="1"/>
  <c r="M155" i="50"/>
  <c r="N153" i="50"/>
  <c r="O152" i="50"/>
  <c r="J154" i="50"/>
  <c r="N154" i="50"/>
  <c r="I157" i="50"/>
  <c r="K153" i="50"/>
  <c r="J153" i="50"/>
  <c r="M154" i="50"/>
  <c r="K155" i="50"/>
  <c r="L154" i="50"/>
  <c r="M153" i="50"/>
  <c r="N155" i="50"/>
  <c r="J155" i="50"/>
  <c r="K154" i="50"/>
  <c r="L155" i="50"/>
  <c r="N150" i="50"/>
  <c r="O147" i="50"/>
  <c r="J150" i="50"/>
  <c r="N149" i="50"/>
  <c r="M150" i="50"/>
  <c r="L148" i="50"/>
  <c r="K149" i="50"/>
  <c r="M149" i="50"/>
  <c r="K148" i="50"/>
  <c r="M148" i="50"/>
  <c r="K150" i="50"/>
  <c r="J149" i="50"/>
  <c r="L149" i="50"/>
  <c r="J148" i="50"/>
  <c r="N148" i="50"/>
  <c r="L150" i="50"/>
  <c r="J160" i="50" l="1"/>
  <c r="N160" i="50"/>
  <c r="M158" i="50"/>
  <c r="L159" i="50"/>
  <c r="N158" i="50"/>
  <c r="N159" i="50"/>
  <c r="L160" i="50"/>
  <c r="J159" i="50"/>
  <c r="L158" i="50"/>
  <c r="K159" i="50"/>
  <c r="M160" i="50"/>
  <c r="K160" i="50"/>
  <c r="I162" i="50"/>
  <c r="J158" i="50"/>
  <c r="O157" i="50"/>
  <c r="M159" i="50"/>
  <c r="K158" i="50"/>
  <c r="J165" i="50" l="1"/>
  <c r="L165" i="50"/>
  <c r="M163" i="50"/>
  <c r="N165" i="50"/>
  <c r="K165" i="50"/>
  <c r="I167" i="50"/>
  <c r="M164" i="50"/>
  <c r="N163" i="50"/>
  <c r="L164" i="50"/>
  <c r="J163" i="50"/>
  <c r="K163" i="50"/>
  <c r="N164" i="50"/>
  <c r="J164" i="50"/>
  <c r="O162" i="50"/>
  <c r="M165" i="50"/>
  <c r="L163" i="50"/>
  <c r="K164" i="50"/>
  <c r="N168" i="50" l="1"/>
  <c r="M170" i="50"/>
  <c r="L168" i="50"/>
  <c r="L170" i="50"/>
  <c r="K169" i="50"/>
  <c r="J170" i="50"/>
  <c r="N170" i="50"/>
  <c r="O167" i="50"/>
  <c r="I172" i="50"/>
  <c r="M168" i="50"/>
  <c r="J168" i="50"/>
  <c r="K170" i="50"/>
  <c r="K168" i="50"/>
  <c r="L169" i="50"/>
  <c r="N169" i="50"/>
  <c r="M169" i="50"/>
  <c r="J169" i="50"/>
  <c r="L173" i="50" l="1"/>
  <c r="I177" i="50"/>
  <c r="O172" i="50"/>
  <c r="L174" i="50"/>
  <c r="K173" i="50"/>
  <c r="M175" i="50"/>
  <c r="N173" i="50"/>
  <c r="K174" i="50"/>
  <c r="J175" i="50"/>
  <c r="L175" i="50"/>
  <c r="M173" i="50"/>
  <c r="N175" i="50"/>
  <c r="K175" i="50"/>
  <c r="J173" i="50"/>
  <c r="N174" i="50"/>
  <c r="M174" i="50"/>
  <c r="J174" i="50"/>
  <c r="K178" i="50" l="1"/>
  <c r="J179" i="50"/>
  <c r="N178" i="50"/>
  <c r="M180" i="50"/>
  <c r="L178" i="50"/>
  <c r="L180" i="50"/>
  <c r="N180" i="50"/>
  <c r="J180" i="50"/>
  <c r="O177" i="50"/>
  <c r="M178" i="50"/>
  <c r="K179" i="50"/>
  <c r="K180" i="50"/>
  <c r="I182" i="50"/>
  <c r="M179" i="50"/>
  <c r="N179" i="50"/>
  <c r="L179" i="50"/>
  <c r="J178" i="50"/>
  <c r="M183" i="50" l="1"/>
  <c r="I187" i="50"/>
  <c r="K185" i="50"/>
  <c r="J183" i="50"/>
  <c r="L184" i="50"/>
  <c r="N184" i="50"/>
  <c r="M184" i="50"/>
  <c r="J184" i="50"/>
  <c r="K183" i="50"/>
  <c r="M185" i="50"/>
  <c r="N183" i="50"/>
  <c r="O182" i="50"/>
  <c r="L183" i="50"/>
  <c r="L185" i="50"/>
  <c r="N185" i="50"/>
  <c r="J185" i="50"/>
  <c r="K184" i="50"/>
  <c r="L188" i="50" l="1"/>
  <c r="N188" i="50"/>
  <c r="N190" i="50"/>
  <c r="J190" i="50"/>
  <c r="L190" i="50"/>
  <c r="M188" i="50"/>
  <c r="K189" i="50"/>
  <c r="K190" i="50"/>
  <c r="I192" i="50"/>
  <c r="L189" i="50"/>
  <c r="N189" i="50"/>
  <c r="M189" i="50"/>
  <c r="J189" i="50"/>
  <c r="K188" i="50"/>
  <c r="M190" i="50"/>
  <c r="O187" i="50"/>
  <c r="J188" i="50"/>
  <c r="L193" i="50" l="1"/>
  <c r="K193" i="50"/>
  <c r="M195" i="50"/>
  <c r="M193" i="50"/>
  <c r="L195" i="50"/>
  <c r="K195" i="50"/>
  <c r="N195" i="50"/>
  <c r="L194" i="50"/>
  <c r="J195" i="50"/>
  <c r="N193" i="50"/>
  <c r="K194" i="50"/>
  <c r="J193" i="50"/>
  <c r="N194" i="50"/>
  <c r="O192" i="50"/>
  <c r="M194" i="50"/>
  <c r="J194" i="50"/>
  <c r="I197" i="50"/>
  <c r="L198" i="50" l="1"/>
  <c r="J200" i="50"/>
  <c r="L200" i="50"/>
  <c r="M198" i="50"/>
  <c r="K199" i="50"/>
  <c r="N199" i="50"/>
  <c r="M199" i="50"/>
  <c r="M200" i="50"/>
  <c r="N198" i="50"/>
  <c r="K200" i="50"/>
  <c r="J198" i="50"/>
  <c r="L199" i="50"/>
  <c r="J199" i="50"/>
  <c r="O197" i="50"/>
  <c r="K198" i="50"/>
  <c r="N200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5" authorId="0" shapeId="0" xr:uid="{430BF14E-11E8-4141-97F0-42A28AE4D068}">
      <text>
        <r>
          <rPr>
            <b/>
            <sz val="8"/>
            <color indexed="81"/>
            <rFont val="Tahoma"/>
            <family val="2"/>
          </rPr>
          <t>Choose either Mod. Pay (1), Symbols(2) or Enum(3);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<sst xmlns="http://schemas.openxmlformats.org/spreadsheetml/2006/main" count="566" uniqueCount="201">
  <si>
    <t>Sec1</t>
  </si>
  <si>
    <t>Sheet</t>
  </si>
  <si>
    <t>Line Credits</t>
  </si>
  <si>
    <t>Bet Multiplier</t>
  </si>
  <si>
    <t>Symbol Set number</t>
  </si>
  <si>
    <t>Selection:</t>
  </si>
  <si>
    <t>Symbols:</t>
  </si>
  <si>
    <t>Mod.Pay</t>
  </si>
  <si>
    <t>Enum</t>
  </si>
  <si>
    <t>Desc</t>
  </si>
  <si>
    <t>_HIG_1_</t>
  </si>
  <si>
    <t>_HIG_2_</t>
  </si>
  <si>
    <t>_low_1_</t>
  </si>
  <si>
    <t>_low_2_</t>
  </si>
  <si>
    <t>_low_3_</t>
  </si>
  <si>
    <t>_low_4_</t>
  </si>
  <si>
    <t>_low_5_</t>
  </si>
  <si>
    <t>These are standard lines, if you need to use other lines enter them manually</t>
  </si>
  <si>
    <t>Line_1</t>
  </si>
  <si>
    <t>Line_2</t>
  </si>
  <si>
    <t>Line_3</t>
  </si>
  <si>
    <t>Line_4</t>
  </si>
  <si>
    <t>Line_5</t>
  </si>
  <si>
    <t>Line_6</t>
  </si>
  <si>
    <t>Line_7</t>
  </si>
  <si>
    <t>Line_8</t>
  </si>
  <si>
    <t>Line_9</t>
  </si>
  <si>
    <t>Line_10</t>
  </si>
  <si>
    <t>Line_11</t>
  </si>
  <si>
    <t>Line_12</t>
  </si>
  <si>
    <t>Line_13</t>
  </si>
  <si>
    <t>Line_14</t>
  </si>
  <si>
    <t>Line_15</t>
  </si>
  <si>
    <t>Line_16</t>
  </si>
  <si>
    <t>Line_17</t>
  </si>
  <si>
    <t>Line_18</t>
  </si>
  <si>
    <t>Line_19</t>
  </si>
  <si>
    <t>Line_20</t>
  </si>
  <si>
    <t>Line_21</t>
  </si>
  <si>
    <t>Line_22</t>
  </si>
  <si>
    <t>Line_23</t>
  </si>
  <si>
    <t>Line_24</t>
  </si>
  <si>
    <t>Line_25</t>
  </si>
  <si>
    <t>Line_26</t>
  </si>
  <si>
    <t>Line_27</t>
  </si>
  <si>
    <t>Line_28</t>
  </si>
  <si>
    <t>Line_29</t>
  </si>
  <si>
    <t>Line_30</t>
  </si>
  <si>
    <t>Line_31</t>
  </si>
  <si>
    <t>Line_32</t>
  </si>
  <si>
    <t>Line_33</t>
  </si>
  <si>
    <t>Line_34</t>
  </si>
  <si>
    <t>Line_35</t>
  </si>
  <si>
    <t>Line_36</t>
  </si>
  <si>
    <t>Line_37</t>
  </si>
  <si>
    <t>Line_38</t>
  </si>
  <si>
    <t>Line_39</t>
  </si>
  <si>
    <t>Line_40</t>
  </si>
  <si>
    <t>Paytable</t>
  </si>
  <si>
    <t>Value</t>
  </si>
  <si>
    <t>ReelStrip:</t>
  </si>
  <si>
    <t>Reel 1</t>
  </si>
  <si>
    <t>Reel 2</t>
  </si>
  <si>
    <t>Reel 3</t>
  </si>
  <si>
    <t>Reel 4</t>
  </si>
  <si>
    <t>Reel 5</t>
  </si>
  <si>
    <t>Line_41</t>
  </si>
  <si>
    <t>Line_42</t>
  </si>
  <si>
    <t>Line_43</t>
  </si>
  <si>
    <t>Line_44</t>
  </si>
  <si>
    <t>Line_45</t>
  </si>
  <si>
    <t>Line_46</t>
  </si>
  <si>
    <t>Line_47</t>
  </si>
  <si>
    <t>Line_48</t>
  </si>
  <si>
    <t>Line_49</t>
  </si>
  <si>
    <t>Line_50</t>
  </si>
  <si>
    <t>Line_51</t>
  </si>
  <si>
    <t>Line_52</t>
  </si>
  <si>
    <t>Line_53</t>
  </si>
  <si>
    <t>Line_54</t>
  </si>
  <si>
    <t>Line_55</t>
  </si>
  <si>
    <t>Line_56</t>
  </si>
  <si>
    <t>Line_57</t>
  </si>
  <si>
    <t>Line_58</t>
  </si>
  <si>
    <t>Line_59</t>
  </si>
  <si>
    <t>Line_60</t>
  </si>
  <si>
    <t>Line_61</t>
  </si>
  <si>
    <t>Line_62</t>
  </si>
  <si>
    <t>Line_63</t>
  </si>
  <si>
    <t>Line_64</t>
  </si>
  <si>
    <t>Line_65</t>
  </si>
  <si>
    <t>Line_66</t>
  </si>
  <si>
    <t>Line_67</t>
  </si>
  <si>
    <t>Line_68</t>
  </si>
  <si>
    <t>Line_69</t>
  </si>
  <si>
    <t>Line_70</t>
  </si>
  <si>
    <t>Line_71</t>
  </si>
  <si>
    <t>Line_72</t>
  </si>
  <si>
    <t>Line_73</t>
  </si>
  <si>
    <t>Line_74</t>
  </si>
  <si>
    <t>Line_75</t>
  </si>
  <si>
    <t>Line_76</t>
  </si>
  <si>
    <t>Line_77</t>
  </si>
  <si>
    <t>Line_78</t>
  </si>
  <si>
    <t>Line_79</t>
  </si>
  <si>
    <t>Line_80</t>
  </si>
  <si>
    <t>Line_81</t>
  </si>
  <si>
    <t>Line_82</t>
  </si>
  <si>
    <t>Line_83</t>
  </si>
  <si>
    <t>Line_84</t>
  </si>
  <si>
    <t>Line_85</t>
  </si>
  <si>
    <t>Line_86</t>
  </si>
  <si>
    <t>Line_87</t>
  </si>
  <si>
    <t>Line_88</t>
  </si>
  <si>
    <t>Line_89</t>
  </si>
  <si>
    <t>Line_90</t>
  </si>
  <si>
    <t>Line_91</t>
  </si>
  <si>
    <t>Line_92</t>
  </si>
  <si>
    <t>Line_93</t>
  </si>
  <si>
    <t>Line_94</t>
  </si>
  <si>
    <t>Line_95</t>
  </si>
  <si>
    <t>Line_96</t>
  </si>
  <si>
    <t>Line_97</t>
  </si>
  <si>
    <t>Line_98</t>
  </si>
  <si>
    <t>Line_99</t>
  </si>
  <si>
    <t>Line_100</t>
  </si>
  <si>
    <t>5x4 matrix</t>
  </si>
  <si>
    <t>_JOK_1_</t>
  </si>
  <si>
    <t>Weights</t>
  </si>
  <si>
    <t>_HIG_3_</t>
  </si>
  <si>
    <t>_SCA_1_</t>
  </si>
  <si>
    <t>_TOP_1_</t>
  </si>
  <si>
    <t>Base Game</t>
  </si>
  <si>
    <t>Reelstrip coords</t>
  </si>
  <si>
    <t>Weightstrip  coords</t>
  </si>
  <si>
    <t>Pay Distribution Values</t>
  </si>
  <si>
    <t>Scepter symbols</t>
  </si>
  <si>
    <t>_COI_1_</t>
  </si>
  <si>
    <t>values</t>
  </si>
  <si>
    <t/>
  </si>
  <si>
    <t>Free Game</t>
  </si>
  <si>
    <t>_COI_1_gray</t>
  </si>
  <si>
    <t>RTP</t>
  </si>
  <si>
    <t>_COI_</t>
  </si>
  <si>
    <t>CoinSymbols</t>
  </si>
  <si>
    <t>AllScatterSymbols</t>
  </si>
  <si>
    <t>Reelstrip_BG</t>
  </si>
  <si>
    <t>B5</t>
  </si>
  <si>
    <t>I5</t>
  </si>
  <si>
    <t>Ante</t>
  </si>
  <si>
    <t>probs</t>
  </si>
  <si>
    <t>weights</t>
  </si>
  <si>
    <t>avg</t>
  </si>
  <si>
    <t>coins on screen</t>
  </si>
  <si>
    <t>average</t>
  </si>
  <si>
    <t>spin_to_draw</t>
  </si>
  <si>
    <t>_BN_</t>
  </si>
  <si>
    <t>Description</t>
  </si>
  <si>
    <t>Index</t>
  </si>
  <si>
    <t>Weight</t>
  </si>
  <si>
    <t>Room for xls-formulas</t>
  </si>
  <si>
    <t>Bonus</t>
  </si>
  <si>
    <t>PH</t>
  </si>
  <si>
    <t>Payloading RTP [%]</t>
  </si>
  <si>
    <t>Payloading Internal PH</t>
  </si>
  <si>
    <t>Statistics = 50000</t>
  </si>
  <si>
    <t>%</t>
  </si>
  <si>
    <t>WIN &lt;= 0.0 x Bet</t>
  </si>
  <si>
    <t>0.0 x Bet &lt; WIN &lt; 1.0 x Bet</t>
  </si>
  <si>
    <t>1.0 x Bet &lt;= WIN &lt; 2.0 x Bet</t>
  </si>
  <si>
    <t>2.0 x Bet &lt;= WIN &lt; 3.0 x Bet</t>
  </si>
  <si>
    <t>3.0 x Bet &lt;= WIN &lt; 5.0 x Bet</t>
  </si>
  <si>
    <t>5.0 x Bet &lt;= WIN &lt; 10.0 x Bet</t>
  </si>
  <si>
    <t>10.0 x Bet &lt;= WIN &lt; 20.0 x Bet</t>
  </si>
  <si>
    <t>20.0 x Bet &lt;= WIN &lt; 50.0 x Bet</t>
  </si>
  <si>
    <t>50.0 x Bet &lt;= WIN &lt; 100.0 x Bet</t>
  </si>
  <si>
    <t>100.0 x Bet &lt;= WIN &lt; 200.0 x Bet</t>
  </si>
  <si>
    <t>200.0 x Bet &lt;= WIN &lt; 250.0 x Bet</t>
  </si>
  <si>
    <t>250.0 x Bet &lt;= WIN</t>
  </si>
  <si>
    <t>BaseGame</t>
  </si>
  <si>
    <t>FreeGame</t>
  </si>
  <si>
    <t>HnS</t>
  </si>
  <si>
    <t>Event</t>
  </si>
  <si>
    <t>TriggerPH</t>
  </si>
  <si>
    <t>Wheel</t>
  </si>
  <si>
    <t>1_FG_</t>
  </si>
  <si>
    <t>2_FG_Re-Trig</t>
  </si>
  <si>
    <t>3_Hold_and_Spin</t>
  </si>
  <si>
    <t>4_Wheel</t>
  </si>
  <si>
    <t>JACK</t>
  </si>
  <si>
    <t>PP Trigger</t>
  </si>
  <si>
    <t>Yes</t>
  </si>
  <si>
    <t>No</t>
  </si>
  <si>
    <t>MEGA</t>
  </si>
  <si>
    <t>MINI x 3</t>
  </si>
  <si>
    <t>SUPER NESTED</t>
  </si>
  <si>
    <t>LONGEVITY</t>
  </si>
  <si>
    <t>MINOR</t>
  </si>
  <si>
    <t>NESTED</t>
  </si>
  <si>
    <t>MAJOR</t>
  </si>
  <si>
    <t>MINI x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</si>
</sst>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_-* #,##0.00_-;\-* #,##0.00_-;_-* &quot;-&quot;??_-;_-@_-"/>
  </numFmts>
  <fonts count="3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2"/>
      <color theme="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1"/>
      <name val="Segoe UI"/>
      <family val="2"/>
    </font>
    <font>
      <sz val="10"/>
      <name val="Calibri"/>
      <family val="2"/>
      <scheme val="minor"/>
    </font>
    <font>
      <sz val="10"/>
      <color rgb="FF92D05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3">
    <xf numFmtId="0" fontId="0" fillId="0" borderId="0"/>
    <xf numFmtId="0" fontId="1" fillId="0" borderId="0"/>
    <xf numFmtId="0" fontId="3" fillId="0" borderId="0"/>
    <xf numFmtId="0" fontId="16" fillId="0" borderId="0"/>
    <xf numFmtId="0" fontId="3" fillId="0" borderId="0"/>
    <xf numFmtId="0" fontId="3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9" fillId="0" borderId="0"/>
    <xf numFmtId="0" fontId="16" fillId="0" borderId="0"/>
    <xf numFmtId="0" fontId="1" fillId="0" borderId="0"/>
    <xf numFmtId="0" fontId="20" fillId="0" borderId="0" applyNumberFormat="0" applyFill="0" applyBorder="0" applyAlignment="0" applyProtection="0"/>
    <xf numFmtId="0" fontId="21" fillId="0" borderId="41" applyNumberFormat="0" applyFill="0" applyAlignment="0" applyProtection="0"/>
    <xf numFmtId="0" fontId="22" fillId="0" borderId="42" applyNumberFormat="0" applyFill="0" applyAlignment="0" applyProtection="0"/>
    <xf numFmtId="0" fontId="23" fillId="0" borderId="43" applyNumberFormat="0" applyFill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5" fillId="7" borderId="0" applyNumberFormat="0" applyBorder="0" applyAlignment="0" applyProtection="0"/>
    <xf numFmtId="0" fontId="26" fillId="8" borderId="0" applyNumberFormat="0" applyBorder="0" applyAlignment="0" applyProtection="0"/>
    <xf numFmtId="0" fontId="27" fillId="9" borderId="44" applyNumberFormat="0" applyAlignment="0" applyProtection="0"/>
    <xf numFmtId="0" fontId="28" fillId="10" borderId="45" applyNumberFormat="0" applyAlignment="0" applyProtection="0"/>
    <xf numFmtId="0" fontId="29" fillId="10" borderId="44" applyNumberFormat="0" applyAlignment="0" applyProtection="0"/>
    <xf numFmtId="0" fontId="30" fillId="0" borderId="46" applyNumberFormat="0" applyFill="0" applyAlignment="0" applyProtection="0"/>
    <xf numFmtId="0" fontId="31" fillId="11" borderId="47" applyNumberFormat="0" applyAlignment="0" applyProtection="0"/>
    <xf numFmtId="0" fontId="32" fillId="0" borderId="0" applyNumberFormat="0" applyFill="0" applyBorder="0" applyAlignment="0" applyProtection="0"/>
    <xf numFmtId="0" fontId="16" fillId="12" borderId="48" applyNumberFormat="0" applyFont="0" applyAlignment="0" applyProtection="0"/>
    <xf numFmtId="0" fontId="33" fillId="0" borderId="0" applyNumberFormat="0" applyFill="0" applyBorder="0" applyAlignment="0" applyProtection="0"/>
    <xf numFmtId="0" fontId="17" fillId="0" borderId="49" applyNumberFormat="0" applyFill="0" applyAlignment="0" applyProtection="0"/>
    <xf numFmtId="0" fontId="15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5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2" borderId="0" applyNumberFormat="0" applyBorder="0" applyAlignment="0" applyProtection="0"/>
    <xf numFmtId="0" fontId="15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6" borderId="0" applyNumberFormat="0" applyBorder="0" applyAlignment="0" applyProtection="0"/>
    <xf numFmtId="0" fontId="3" fillId="0" borderId="0"/>
    <xf numFmtId="0" fontId="1" fillId="0" borderId="0"/>
    <xf numFmtId="0" fontId="19" fillId="0" borderId="0"/>
    <xf numFmtId="0" fontId="16" fillId="0" borderId="0"/>
    <xf numFmtId="0" fontId="16" fillId="0" borderId="0"/>
    <xf numFmtId="0" fontId="35" fillId="10" borderId="44" applyNumberFormat="0" applyAlignment="0" applyProtection="0"/>
    <xf numFmtId="165" fontId="16" fillId="0" borderId="0" applyFont="0" applyFill="0" applyBorder="0" applyAlignment="0" applyProtection="0"/>
    <xf numFmtId="0" fontId="34" fillId="0" borderId="0"/>
    <xf numFmtId="165" fontId="16" fillId="0" borderId="0" applyFont="0" applyFill="0" applyBorder="0" applyAlignment="0" applyProtection="0"/>
    <xf numFmtId="0" fontId="34" fillId="0" borderId="0"/>
  </cellStyleXfs>
  <cellXfs count="143">
    <xf numFmtId="0" fontId="0" fillId="0" borderId="0" xfId="0"/>
    <xf numFmtId="0" fontId="1" fillId="0" borderId="0" xfId="1"/>
    <xf numFmtId="0" fontId="2" fillId="0" borderId="0" xfId="1" applyFont="1" applyAlignment="1">
      <alignment vertical="center"/>
    </xf>
    <xf numFmtId="0" fontId="3" fillId="2" borderId="4" xfId="2" applyFill="1" applyBorder="1" applyAlignment="1">
      <alignment horizontal="center"/>
    </xf>
    <xf numFmtId="0" fontId="3" fillId="2" borderId="13" xfId="2" applyFill="1" applyBorder="1" applyAlignment="1">
      <alignment horizontal="center"/>
    </xf>
    <xf numFmtId="0" fontId="4" fillId="2" borderId="13" xfId="2" applyFont="1" applyFill="1" applyBorder="1" applyAlignment="1">
      <alignment horizontal="center"/>
    </xf>
    <xf numFmtId="0" fontId="4" fillId="2" borderId="14" xfId="2" applyFont="1" applyFill="1" applyBorder="1" applyAlignment="1">
      <alignment horizontal="center"/>
    </xf>
    <xf numFmtId="0" fontId="4" fillId="0" borderId="7" xfId="2" applyFont="1" applyBorder="1" applyAlignment="1">
      <alignment horizontal="center"/>
    </xf>
    <xf numFmtId="0" fontId="4" fillId="2" borderId="15" xfId="2" applyFont="1" applyFill="1" applyBorder="1" applyAlignment="1">
      <alignment horizontal="center"/>
    </xf>
    <xf numFmtId="0" fontId="1" fillId="0" borderId="0" xfId="1" applyAlignment="1">
      <alignment horizontal="center"/>
    </xf>
    <xf numFmtId="0" fontId="1" fillId="0" borderId="13" xfId="1" applyBorder="1" applyAlignment="1">
      <alignment horizontal="center"/>
    </xf>
    <xf numFmtId="0" fontId="5" fillId="0" borderId="0" xfId="1" applyFont="1"/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right" vertical="center" wrapText="1"/>
    </xf>
    <xf numFmtId="2" fontId="6" fillId="0" borderId="0" xfId="1" applyNumberFormat="1" applyFont="1" applyAlignment="1">
      <alignment horizontal="right" vertical="center" wrapText="1"/>
    </xf>
    <xf numFmtId="0" fontId="1" fillId="0" borderId="18" xfId="1" applyBorder="1"/>
    <xf numFmtId="0" fontId="9" fillId="0" borderId="0" xfId="1" applyFont="1"/>
    <xf numFmtId="0" fontId="10" fillId="0" borderId="0" xfId="1" applyFont="1"/>
    <xf numFmtId="0" fontId="11" fillId="0" borderId="0" xfId="1" applyFont="1" applyAlignment="1">
      <alignment vertical="center" wrapText="1"/>
    </xf>
    <xf numFmtId="0" fontId="11" fillId="0" borderId="0" xfId="1" applyFont="1" applyAlignment="1">
      <alignment horizontal="right" vertical="center" wrapText="1"/>
    </xf>
    <xf numFmtId="0" fontId="12" fillId="0" borderId="0" xfId="0" applyFont="1" applyAlignment="1">
      <alignment horizont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12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1" fillId="0" borderId="14" xfId="1" applyBorder="1" applyAlignment="1">
      <alignment horizontal="center"/>
    </xf>
    <xf numFmtId="0" fontId="0" fillId="0" borderId="15" xfId="0" applyBorder="1"/>
    <xf numFmtId="0" fontId="3" fillId="0" borderId="0" xfId="2" applyAlignment="1">
      <alignment horizontal="center"/>
    </xf>
    <xf numFmtId="0" fontId="0" fillId="0" borderId="14" xfId="0" applyBorder="1"/>
    <xf numFmtId="0" fontId="1" fillId="0" borderId="17" xfId="1" applyBorder="1"/>
    <xf numFmtId="0" fontId="3" fillId="2" borderId="0" xfId="2" applyFill="1" applyAlignment="1">
      <alignment horizontal="center"/>
    </xf>
    <xf numFmtId="0" fontId="4" fillId="2" borderId="0" xfId="2" applyFont="1" applyFill="1" applyAlignment="1">
      <alignment horizontal="center"/>
    </xf>
    <xf numFmtId="0" fontId="3" fillId="0" borderId="7" xfId="2" applyBorder="1" applyAlignment="1">
      <alignment horizontal="center"/>
    </xf>
    <xf numFmtId="0" fontId="1" fillId="0" borderId="13" xfId="1" applyBorder="1"/>
    <xf numFmtId="0" fontId="0" fillId="0" borderId="13" xfId="0" applyBorder="1"/>
    <xf numFmtId="0" fontId="3" fillId="0" borderId="15" xfId="2" applyBorder="1" applyAlignment="1">
      <alignment horizontal="center" vertical="center"/>
    </xf>
    <xf numFmtId="0" fontId="1" fillId="0" borderId="7" xfId="2" applyFont="1" applyBorder="1" applyAlignment="1">
      <alignment horizontal="center"/>
    </xf>
    <xf numFmtId="0" fontId="1" fillId="0" borderId="10" xfId="2" applyFont="1" applyBorder="1" applyAlignment="1">
      <alignment horizontal="center"/>
    </xf>
    <xf numFmtId="0" fontId="0" fillId="0" borderId="18" xfId="0" applyBorder="1"/>
    <xf numFmtId="0" fontId="3" fillId="0" borderId="4" xfId="2" applyBorder="1" applyAlignment="1">
      <alignment horizontal="center"/>
    </xf>
    <xf numFmtId="0" fontId="3" fillId="0" borderId="13" xfId="2" applyBorder="1" applyAlignment="1">
      <alignment horizontal="center"/>
    </xf>
    <xf numFmtId="0" fontId="3" fillId="0" borderId="14" xfId="2" applyBorder="1" applyAlignment="1">
      <alignment horizontal="center"/>
    </xf>
    <xf numFmtId="0" fontId="17" fillId="0" borderId="0" xfId="0" applyFont="1"/>
    <xf numFmtId="0" fontId="0" fillId="0" borderId="33" xfId="0" applyBorder="1" applyAlignment="1">
      <alignment horizontal="center"/>
    </xf>
    <xf numFmtId="0" fontId="0" fillId="0" borderId="4" xfId="0" applyBorder="1"/>
    <xf numFmtId="0" fontId="0" fillId="0" borderId="7" xfId="0" applyBorder="1"/>
    <xf numFmtId="0" fontId="0" fillId="0" borderId="10" xfId="0" applyBorder="1"/>
    <xf numFmtId="0" fontId="0" fillId="0" borderId="17" xfId="0" applyBorder="1"/>
    <xf numFmtId="0" fontId="6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6" fillId="0" borderId="33" xfId="7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3" fillId="0" borderId="16" xfId="2" applyBorder="1" applyAlignment="1">
      <alignment horizontal="center"/>
    </xf>
    <xf numFmtId="0" fontId="3" fillId="0" borderId="38" xfId="2" applyBorder="1" applyAlignment="1">
      <alignment horizontal="center"/>
    </xf>
    <xf numFmtId="0" fontId="3" fillId="0" borderId="39" xfId="2" applyBorder="1" applyAlignment="1">
      <alignment horizontal="center"/>
    </xf>
    <xf numFmtId="0" fontId="3" fillId="3" borderId="36" xfId="4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0" xfId="2"/>
    <xf numFmtId="0" fontId="1" fillId="0" borderId="0" xfId="0" applyFont="1"/>
    <xf numFmtId="0" fontId="1" fillId="0" borderId="38" xfId="1" applyBorder="1"/>
    <xf numFmtId="0" fontId="1" fillId="0" borderId="39" xfId="1" applyBorder="1"/>
    <xf numFmtId="0" fontId="3" fillId="2" borderId="33" xfId="2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2" fontId="16" fillId="5" borderId="3" xfId="6" applyNumberFormat="1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164" fontId="0" fillId="5" borderId="39" xfId="6" applyNumberFormat="1" applyFont="1" applyFill="1" applyBorder="1" applyAlignment="1">
      <alignment horizontal="center" vertical="center"/>
    </xf>
    <xf numFmtId="164" fontId="0" fillId="5" borderId="38" xfId="6" applyNumberFormat="1" applyFont="1" applyFill="1" applyBorder="1" applyAlignment="1">
      <alignment horizontal="center" vertical="center"/>
    </xf>
    <xf numFmtId="164" fontId="0" fillId="5" borderId="16" xfId="6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10" fontId="0" fillId="5" borderId="39" xfId="6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16" fillId="0" borderId="16" xfId="7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0" fontId="0" fillId="5" borderId="38" xfId="6" applyNumberFormat="1" applyFont="1" applyFill="1" applyBorder="1" applyAlignment="1">
      <alignment horizontal="center" vertical="center"/>
    </xf>
    <xf numFmtId="10" fontId="0" fillId="5" borderId="16" xfId="6" applyNumberFormat="1" applyFont="1" applyFill="1" applyBorder="1" applyAlignment="1">
      <alignment horizontal="center" vertical="center"/>
    </xf>
    <xf numFmtId="2" fontId="16" fillId="5" borderId="1" xfId="6" applyNumberFormat="1" applyFont="1" applyFill="1" applyBorder="1" applyAlignment="1">
      <alignment horizontal="center" vertical="center"/>
    </xf>
    <xf numFmtId="0" fontId="0" fillId="37" borderId="4" xfId="0" applyFill="1" applyBorder="1" applyAlignment="1">
      <alignment horizontal="center" vertical="center"/>
    </xf>
    <xf numFmtId="2" fontId="16" fillId="5" borderId="2" xfId="6" applyNumberFormat="1" applyFont="1" applyFill="1" applyBorder="1" applyAlignment="1">
      <alignment horizontal="center" vertical="center"/>
    </xf>
    <xf numFmtId="0" fontId="0" fillId="37" borderId="38" xfId="0" applyFill="1" applyBorder="1" applyAlignment="1">
      <alignment horizontal="center" vertical="center"/>
    </xf>
    <xf numFmtId="0" fontId="0" fillId="37" borderId="3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7" borderId="16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7" borderId="7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38" xfId="6" applyNumberFormat="1" applyFont="1" applyBorder="1" applyAlignment="1">
      <alignment horizontal="center" vertical="center"/>
    </xf>
    <xf numFmtId="0" fontId="0" fillId="0" borderId="16" xfId="6" applyNumberFormat="1" applyFont="1" applyBorder="1" applyAlignment="1">
      <alignment horizontal="center" vertical="center"/>
    </xf>
    <xf numFmtId="0" fontId="0" fillId="0" borderId="39" xfId="6" applyNumberFormat="1" applyFont="1" applyBorder="1" applyAlignment="1">
      <alignment horizontal="center" vertical="center"/>
    </xf>
    <xf numFmtId="49" fontId="0" fillId="0" borderId="33" xfId="0" applyNumberFormat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1" fillId="0" borderId="15" xfId="1" applyBorder="1"/>
    <xf numFmtId="0" fontId="1" fillId="0" borderId="10" xfId="1" applyBorder="1"/>
    <xf numFmtId="0" fontId="1" fillId="0" borderId="38" xfId="1" applyBorder="1" applyAlignment="1">
      <alignment horizontal="center"/>
    </xf>
    <xf numFmtId="0" fontId="0" fillId="38" borderId="0" xfId="0" applyFill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7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63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alculation 2" xfId="58" xr:uid="{48DA416D-CB62-46AC-BB17-DC0D2520D15D}"/>
    <cellStyle name="Check Cell" xfId="24" builtinId="23" customBuiltin="1"/>
    <cellStyle name="Comma 2" xfId="59" xr:uid="{058B67DB-8EBD-438B-9C15-7B74DEC19408}"/>
    <cellStyle name="Comma 2 2" xfId="61" xr:uid="{AE446404-3C68-4EF1-A902-4BF5A9E4EAD5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7 3" xfId="3" xr:uid="{781929EF-1955-4970-AD08-23B725D6E784}"/>
    <cellStyle name="Normal 2" xfId="1" xr:uid="{18C80A45-BC8D-47A9-8EA1-D7E428705E73}"/>
    <cellStyle name="Normal 2 2" xfId="5" xr:uid="{F7BF0BB6-421C-4492-BEA5-ACC0BCDCB7B2}"/>
    <cellStyle name="Normal 23" xfId="56" xr:uid="{CA7A87F9-AE7C-4C31-8868-015E943B074A}"/>
    <cellStyle name="Normal 3" xfId="60" xr:uid="{810406DC-859B-40EC-80AB-70A3FCA3D8B9}"/>
    <cellStyle name="Normal 3 2" xfId="62" xr:uid="{924F2766-D284-4FDA-800D-A756FA308720}"/>
    <cellStyle name="Normal 4" xfId="8" xr:uid="{3EAB5DC2-C9E7-4DF1-B8ED-17CFDC8997A4}"/>
    <cellStyle name="Normal 6" xfId="57" xr:uid="{0970A14F-204B-4C5D-9EF8-0AD89F135EDF}"/>
    <cellStyle name="Normal 7" xfId="9" xr:uid="{9F04F63E-C0DF-40F4-9A86-E6481495CD30}"/>
    <cellStyle name="Note" xfId="26" builtinId="10" customBuiltin="1"/>
    <cellStyle name="Output" xfId="21" builtinId="21" customBuiltin="1"/>
    <cellStyle name="Percent" xfId="6" builtinId="5"/>
    <cellStyle name="Standard 13" xfId="7" xr:uid="{4ADABDA7-7F03-4D7D-BF22-DBB9F7473BB3}"/>
    <cellStyle name="Standard 14" xfId="11" xr:uid="{917D3899-B99F-4D5B-B8A7-08582500A8BC}"/>
    <cellStyle name="Standard 2" xfId="2" xr:uid="{6EC8A524-397D-4CB2-B235-372030519434}"/>
    <cellStyle name="Standard 2 2" xfId="53" xr:uid="{68D1C77C-5FA4-442F-912F-E5D4228125B0}"/>
    <cellStyle name="Standard 2 2 2 2" xfId="4" xr:uid="{4D9F4C32-764A-4956-ADAD-274C1E8A6953}"/>
    <cellStyle name="Standard 2 3" xfId="54" xr:uid="{BEE3A2B6-F284-4FAD-A71B-8FC23489BAFA}"/>
    <cellStyle name="Standard 3" xfId="10" xr:uid="{17A06003-7E89-4D23-B0F9-F35301A2075A}"/>
    <cellStyle name="Standard 3 2" xfId="55" xr:uid="{DA184E24-9492-40AF-82FB-1378C0FA6B91}"/>
    <cellStyle name="Title" xfId="12" builtinId="15" customBuiltin="1"/>
    <cellStyle name="Total" xfId="28" builtinId="25" customBuiltin="1"/>
    <cellStyle name="Warning Text" xfId="25" builtinId="11" customBuiltin="1"/>
  </cellStyles>
  <dxfs count="463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theme="0"/>
      </font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B339-DB58-4D74-82F7-1482399AFD80}">
  <sheetPr codeName="Sheet6"/>
  <dimension ref="A1:P36"/>
  <sheetViews>
    <sheetView workbookViewId="0">
      <selection activeCell="A61" sqref="A61"/>
    </sheetView>
  </sheetViews>
  <sheetFormatPr defaultColWidth="9.140625" defaultRowHeight="12.75" x14ac:dyDescent="0.2"/>
  <cols>
    <col min="1" max="1" width="50.7109375" style="1" bestFit="1" customWidth="1"/>
    <col min="2" max="2" width="6" style="1" bestFit="1" customWidth="1"/>
    <col min="3" max="3" width="9" style="1" bestFit="1" customWidth="1"/>
    <col min="4" max="4" width="4.7109375" style="1" customWidth="1"/>
    <col min="5" max="5" width="8.5703125" style="1" bestFit="1" customWidth="1"/>
    <col min="6" max="6" width="4.7109375" style="1" customWidth="1"/>
    <col min="7" max="7" width="6" style="1" bestFit="1" customWidth="1"/>
    <col min="8" max="8" width="4.7109375" style="1" customWidth="1"/>
    <col min="9" max="9" width="13.5703125" style="1" bestFit="1" customWidth="1"/>
    <col min="10" max="10" width="14.42578125" style="1" bestFit="1" customWidth="1"/>
    <col min="11" max="14" width="9.140625" style="1"/>
    <col min="15" max="15" width="9.5703125" style="1" customWidth="1"/>
    <col min="16" max="16384" width="9.140625" style="1"/>
  </cols>
  <sheetData>
    <row r="1" spans="1:16" x14ac:dyDescent="0.2">
      <c r="A1" s="16"/>
    </row>
    <row r="2" spans="1:16" ht="15" x14ac:dyDescent="0.2">
      <c r="A2" s="2" t="s">
        <v>4</v>
      </c>
      <c r="B2" s="1">
        <v>19630</v>
      </c>
    </row>
    <row r="3" spans="1:16" ht="13.5" thickBot="1" x14ac:dyDescent="0.25"/>
    <row r="4" spans="1:16" x14ac:dyDescent="0.2">
      <c r="C4" s="3" t="s">
        <v>5</v>
      </c>
      <c r="D4" s="4"/>
      <c r="E4" s="5">
        <v>1</v>
      </c>
      <c r="F4" s="5"/>
      <c r="G4" s="5">
        <v>2</v>
      </c>
      <c r="H4" s="5"/>
      <c r="I4" s="6">
        <v>3</v>
      </c>
    </row>
    <row r="5" spans="1:16" ht="13.5" thickBot="1" x14ac:dyDescent="0.25">
      <c r="A5" s="1" t="s">
        <v>6</v>
      </c>
      <c r="C5" s="7">
        <v>1</v>
      </c>
      <c r="D5" s="54"/>
      <c r="E5" s="55" t="s">
        <v>7</v>
      </c>
      <c r="F5" s="54"/>
      <c r="G5" s="55" t="s">
        <v>8</v>
      </c>
      <c r="H5" s="54"/>
      <c r="I5" s="8" t="s">
        <v>9</v>
      </c>
      <c r="M5" s="9"/>
      <c r="N5" s="9"/>
      <c r="O5" s="9"/>
      <c r="P5" s="9"/>
    </row>
    <row r="6" spans="1:16" ht="12.75" customHeight="1" x14ac:dyDescent="0.25">
      <c r="B6" s="1">
        <v>0</v>
      </c>
      <c r="C6" s="63" t="str">
        <f t="shared" ref="C6:C18" si="0">IF($C$5=1,E6,IF($C$5=2,G6,I6))</f>
        <v>_TOP_1_</v>
      </c>
      <c r="D6" s="57"/>
      <c r="E6" s="64" t="s">
        <v>131</v>
      </c>
      <c r="F6" s="58"/>
      <c r="G6" s="64">
        <v>1</v>
      </c>
      <c r="H6" s="58"/>
      <c r="I6" s="65"/>
    </row>
    <row r="7" spans="1:16" ht="12.75" customHeight="1" x14ac:dyDescent="0.2">
      <c r="B7" s="1">
        <v>1</v>
      </c>
      <c r="C7" s="56" t="str">
        <f t="shared" si="0"/>
        <v>_HIG_1_</v>
      </c>
      <c r="D7" s="88"/>
      <c r="E7" s="51" t="s">
        <v>10</v>
      </c>
      <c r="F7" s="88"/>
      <c r="G7" s="51">
        <v>2</v>
      </c>
      <c r="H7" s="89"/>
      <c r="I7" s="59"/>
    </row>
    <row r="8" spans="1:16" ht="12.75" customHeight="1" x14ac:dyDescent="0.2">
      <c r="B8" s="1">
        <v>2</v>
      </c>
      <c r="C8" s="56" t="str">
        <f t="shared" si="0"/>
        <v>_HIG_2_</v>
      </c>
      <c r="D8" s="88"/>
      <c r="E8" s="51" t="s">
        <v>11</v>
      </c>
      <c r="F8" s="88"/>
      <c r="G8" s="51">
        <v>3</v>
      </c>
      <c r="H8" s="89"/>
      <c r="I8" s="59"/>
    </row>
    <row r="9" spans="1:16" ht="12.75" customHeight="1" x14ac:dyDescent="0.2">
      <c r="B9" s="1">
        <v>3</v>
      </c>
      <c r="C9" s="56" t="str">
        <f t="shared" si="0"/>
        <v>_HIG_3_</v>
      </c>
      <c r="D9" s="88"/>
      <c r="E9" s="51" t="s">
        <v>129</v>
      </c>
      <c r="F9" s="88"/>
      <c r="G9" s="51">
        <v>4</v>
      </c>
      <c r="H9" s="89"/>
      <c r="I9" s="59"/>
    </row>
    <row r="10" spans="1:16" ht="12.75" customHeight="1" x14ac:dyDescent="0.2">
      <c r="B10" s="1">
        <v>4</v>
      </c>
      <c r="C10" s="56" t="str">
        <f>IF($C$5=1,E10,IF($C$5=2,G10,I10))</f>
        <v>_low_1_</v>
      </c>
      <c r="D10" s="88"/>
      <c r="E10" s="51" t="s">
        <v>12</v>
      </c>
      <c r="F10" s="88"/>
      <c r="G10" s="51">
        <v>5</v>
      </c>
      <c r="H10" s="89"/>
      <c r="I10" s="59"/>
    </row>
    <row r="11" spans="1:16" ht="12.75" customHeight="1" x14ac:dyDescent="0.2">
      <c r="B11" s="1">
        <v>5</v>
      </c>
      <c r="C11" s="56" t="str">
        <f t="shared" si="0"/>
        <v>_low_2_</v>
      </c>
      <c r="D11" s="88"/>
      <c r="E11" s="51" t="s">
        <v>13</v>
      </c>
      <c r="F11" s="88"/>
      <c r="G11" s="51">
        <v>6</v>
      </c>
      <c r="H11" s="89"/>
      <c r="I11" s="59"/>
    </row>
    <row r="12" spans="1:16" ht="12.75" customHeight="1" x14ac:dyDescent="0.2">
      <c r="B12" s="1">
        <v>6</v>
      </c>
      <c r="C12" s="56" t="str">
        <f t="shared" si="0"/>
        <v>_low_3_</v>
      </c>
      <c r="D12" s="88"/>
      <c r="E12" s="51" t="s">
        <v>14</v>
      </c>
      <c r="F12" s="88"/>
      <c r="G12" s="51">
        <v>7</v>
      </c>
      <c r="H12" s="89"/>
      <c r="I12" s="59"/>
    </row>
    <row r="13" spans="1:16" ht="12.75" customHeight="1" x14ac:dyDescent="0.2">
      <c r="B13" s="1">
        <v>7</v>
      </c>
      <c r="C13" s="56" t="str">
        <f t="shared" si="0"/>
        <v>_low_4_</v>
      </c>
      <c r="D13" s="88"/>
      <c r="E13" s="51" t="s">
        <v>15</v>
      </c>
      <c r="F13" s="88"/>
      <c r="G13" s="51">
        <v>8</v>
      </c>
      <c r="H13" s="89"/>
      <c r="I13" s="59"/>
    </row>
    <row r="14" spans="1:16" ht="12.75" customHeight="1" x14ac:dyDescent="0.2">
      <c r="B14" s="1">
        <v>8</v>
      </c>
      <c r="C14" s="56" t="str">
        <f t="shared" si="0"/>
        <v>_low_5_</v>
      </c>
      <c r="D14" s="88"/>
      <c r="E14" s="51" t="s">
        <v>16</v>
      </c>
      <c r="F14" s="89"/>
      <c r="G14" s="51">
        <v>9</v>
      </c>
      <c r="H14" s="89"/>
      <c r="I14" s="59"/>
    </row>
    <row r="15" spans="1:16" ht="12.75" customHeight="1" x14ac:dyDescent="0.2">
      <c r="B15" s="1">
        <v>9</v>
      </c>
      <c r="C15" s="56" t="str">
        <f t="shared" si="0"/>
        <v>_JOK_1_</v>
      </c>
      <c r="D15" s="88"/>
      <c r="E15" s="51" t="s">
        <v>127</v>
      </c>
      <c r="F15" s="89"/>
      <c r="G15" s="51">
        <v>10</v>
      </c>
      <c r="H15" s="89"/>
      <c r="I15" s="59"/>
      <c r="J15" s="11"/>
      <c r="M15" s="12"/>
    </row>
    <row r="16" spans="1:16" ht="12.75" customHeight="1" x14ac:dyDescent="0.25">
      <c r="B16" s="1">
        <v>10</v>
      </c>
      <c r="C16" s="60" t="str">
        <f t="shared" si="0"/>
        <v>_SCA_1_</v>
      </c>
      <c r="E16" s="51" t="s">
        <v>130</v>
      </c>
      <c r="F16"/>
      <c r="G16" s="51">
        <v>11</v>
      </c>
      <c r="H16" s="89"/>
      <c r="I16" s="59"/>
      <c r="M16" s="13"/>
      <c r="N16" s="13"/>
      <c r="O16" s="14"/>
    </row>
    <row r="17" spans="2:15" ht="12.75" customHeight="1" x14ac:dyDescent="0.25">
      <c r="B17" s="1">
        <v>11</v>
      </c>
      <c r="C17" s="60" t="str">
        <f t="shared" si="0"/>
        <v>_COI_1_</v>
      </c>
      <c r="E17" s="1" t="s">
        <v>137</v>
      </c>
      <c r="F17"/>
      <c r="G17" s="51">
        <v>12</v>
      </c>
      <c r="H17" s="89"/>
      <c r="I17" s="59"/>
      <c r="M17" s="13"/>
      <c r="N17" s="13"/>
      <c r="O17" s="14"/>
    </row>
    <row r="18" spans="2:15" x14ac:dyDescent="0.2">
      <c r="B18" s="1">
        <v>12</v>
      </c>
      <c r="C18" s="60" t="str">
        <f t="shared" si="0"/>
        <v>_COI_1_gray</v>
      </c>
      <c r="E18" s="1" t="s">
        <v>141</v>
      </c>
      <c r="G18" s="51">
        <v>13</v>
      </c>
      <c r="I18" s="129"/>
    </row>
    <row r="19" spans="2:15" ht="13.5" thickBot="1" x14ac:dyDescent="0.25">
      <c r="B19" s="1">
        <v>13</v>
      </c>
      <c r="C19" s="130" t="s">
        <v>156</v>
      </c>
      <c r="D19" s="15"/>
      <c r="E19" s="15" t="s">
        <v>156</v>
      </c>
      <c r="F19" s="15"/>
      <c r="G19" s="15">
        <v>14</v>
      </c>
      <c r="H19" s="15"/>
      <c r="I19" s="53"/>
    </row>
    <row r="20" spans="2:15" x14ac:dyDescent="0.2">
      <c r="B20" s="1">
        <v>14</v>
      </c>
    </row>
    <row r="21" spans="2:15" x14ac:dyDescent="0.2">
      <c r="B21" s="1">
        <v>15</v>
      </c>
    </row>
    <row r="22" spans="2:15" x14ac:dyDescent="0.2">
      <c r="B22" s="1">
        <v>16</v>
      </c>
    </row>
    <row r="23" spans="2:15" x14ac:dyDescent="0.2">
      <c r="B23" s="1">
        <v>17</v>
      </c>
    </row>
    <row r="24" spans="2:15" x14ac:dyDescent="0.2">
      <c r="B24" s="1">
        <v>18</v>
      </c>
    </row>
    <row r="25" spans="2:15" x14ac:dyDescent="0.2">
      <c r="B25" s="1">
        <v>19</v>
      </c>
    </row>
    <row r="26" spans="2:15" x14ac:dyDescent="0.2">
      <c r="B26" s="1">
        <v>20</v>
      </c>
    </row>
    <row r="27" spans="2:15" x14ac:dyDescent="0.2">
      <c r="B27" s="1">
        <v>21</v>
      </c>
    </row>
    <row r="28" spans="2:15" x14ac:dyDescent="0.2">
      <c r="B28" s="1">
        <v>22</v>
      </c>
    </row>
    <row r="29" spans="2:15" x14ac:dyDescent="0.2">
      <c r="B29" s="1">
        <v>23</v>
      </c>
    </row>
    <row r="30" spans="2:15" x14ac:dyDescent="0.2">
      <c r="B30" s="1">
        <v>24</v>
      </c>
    </row>
    <row r="31" spans="2:15" x14ac:dyDescent="0.2">
      <c r="B31" s="1">
        <v>25</v>
      </c>
    </row>
    <row r="32" spans="2:15" x14ac:dyDescent="0.2">
      <c r="B32" s="1">
        <v>26</v>
      </c>
    </row>
    <row r="33" spans="2:2" x14ac:dyDescent="0.2">
      <c r="B33" s="1">
        <v>27</v>
      </c>
    </row>
    <row r="34" spans="2:2" x14ac:dyDescent="0.2">
      <c r="B34" s="1">
        <v>28</v>
      </c>
    </row>
    <row r="35" spans="2:2" x14ac:dyDescent="0.2">
      <c r="B35" s="1">
        <v>29</v>
      </c>
    </row>
    <row r="36" spans="2:2" x14ac:dyDescent="0.2">
      <c r="B36" s="1">
        <v>30</v>
      </c>
    </row>
  </sheetData>
  <conditionalFormatting sqref="C6:C20">
    <cfRule type="containsText" dxfId="462" priority="21" operator="containsText" text="mid">
      <formula>NOT(ISERROR(SEARCH("mid",C6)))</formula>
    </cfRule>
    <cfRule type="containsText" dxfId="461" priority="39" operator="containsText" text="act_2">
      <formula>NOT(ISERROR(SEARCH("act_2",C6)))</formula>
    </cfRule>
    <cfRule type="containsText" dxfId="460" priority="40" operator="containsText" text="act_1">
      <formula>NOT(ISERROR(SEARCH("act_1",C6)))</formula>
    </cfRule>
    <cfRule type="containsText" dxfId="459" priority="41" operator="containsText" text="low">
      <formula>NOT(ISERROR(SEARCH("low",C6)))</formula>
    </cfRule>
    <cfRule type="containsText" dxfId="458" priority="42" operator="containsText" text="hig">
      <formula>NOT(ISERROR(SEARCH("hig",C6)))</formula>
    </cfRule>
    <cfRule type="containsText" dxfId="457" priority="43" operator="containsText" text="top">
      <formula>NOT(ISERROR(SEARCH("top",C6)))</formula>
    </cfRule>
    <cfRule type="containsText" dxfId="456" priority="48" operator="containsText" text="coin">
      <formula>NOT(ISERROR(SEARCH("coin",C6)))</formula>
    </cfRule>
  </conditionalFormatting>
  <conditionalFormatting sqref="E18:E20">
    <cfRule type="containsText" dxfId="455" priority="15" operator="containsText" text="coin">
      <formula>NOT(ISERROR(SEARCH("coin",E18)))</formula>
    </cfRule>
    <cfRule type="containsText" dxfId="454" priority="16" operator="containsText" text="top">
      <formula>NOT(ISERROR(SEARCH("top",E18)))</formula>
    </cfRule>
    <cfRule type="containsText" dxfId="453" priority="17" operator="containsText" text="hig">
      <formula>NOT(ISERROR(SEARCH("hig",E18)))</formula>
    </cfRule>
    <cfRule type="containsText" dxfId="452" priority="18" operator="containsText" text="low">
      <formula>NOT(ISERROR(SEARCH("low",E18)))</formula>
    </cfRule>
    <cfRule type="containsText" dxfId="451" priority="19" operator="containsText" text="act_1">
      <formula>NOT(ISERROR(SEARCH("act_1",E18)))</formula>
    </cfRule>
    <cfRule type="containsText" dxfId="450" priority="20" operator="containsText" text="act_2">
      <formula>NOT(ISERROR(SEARCH("act_2",E18)))</formula>
    </cfRule>
    <cfRule type="containsText" dxfId="449" priority="22" operator="containsText" text="mid">
      <formula>NOT(ISERROR(SEARCH("mid",E18)))</formula>
    </cfRule>
  </conditionalFormatting>
  <conditionalFormatting sqref="E6:E17">
    <cfRule type="containsText" dxfId="448" priority="1" operator="containsText" text="coin">
      <formula>NOT(ISERROR(SEARCH("coin",E6)))</formula>
    </cfRule>
    <cfRule type="containsText" dxfId="447" priority="2" operator="containsText" text="top">
      <formula>NOT(ISERROR(SEARCH("top",E6)))</formula>
    </cfRule>
    <cfRule type="containsText" dxfId="446" priority="3" operator="containsText" text="hig">
      <formula>NOT(ISERROR(SEARCH("hig",E6)))</formula>
    </cfRule>
    <cfRule type="containsText" dxfId="445" priority="4" operator="containsText" text="low">
      <formula>NOT(ISERROR(SEARCH("low",E6)))</formula>
    </cfRule>
    <cfRule type="containsText" dxfId="444" priority="5" operator="containsText" text="act_1">
      <formula>NOT(ISERROR(SEARCH("act_1",E6)))</formula>
    </cfRule>
    <cfRule type="containsText" dxfId="443" priority="6" operator="containsText" text="act_2">
      <formula>NOT(ISERROR(SEARCH("act_2",E6)))</formula>
    </cfRule>
    <cfRule type="containsText" dxfId="442" priority="7" operator="containsText" text="mid">
      <formula>NOT(ISERROR(SEARCH("mid",E6)))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7E4B-DA9A-46E4-B9F2-31D6153D08AD}">
  <sheetPr codeName="Sheet5"/>
  <dimension ref="A1:BO801"/>
  <sheetViews>
    <sheetView workbookViewId="0">
      <selection activeCell="J47" sqref="J47"/>
    </sheetView>
  </sheetViews>
  <sheetFormatPr defaultRowHeight="15" x14ac:dyDescent="0.25"/>
  <cols>
    <col min="2" max="2" width="9.7109375" bestFit="1" customWidth="1"/>
    <col min="8" max="8" width="8.85546875" style="40"/>
    <col min="15" max="15" width="9.140625" style="40"/>
  </cols>
  <sheetData>
    <row r="1" spans="1:16" x14ac:dyDescent="0.25">
      <c r="A1" s="16"/>
      <c r="G1" t="s">
        <v>17</v>
      </c>
    </row>
    <row r="2" spans="1:16" ht="15.75" thickBot="1" x14ac:dyDescent="0.3">
      <c r="I2" s="41" t="s">
        <v>18</v>
      </c>
      <c r="J2" s="40">
        <v>1</v>
      </c>
      <c r="K2" s="40">
        <v>2</v>
      </c>
      <c r="L2" s="40">
        <v>3</v>
      </c>
      <c r="M2" s="40">
        <v>4</v>
      </c>
      <c r="N2" s="40">
        <v>5</v>
      </c>
      <c r="O2" s="40">
        <f>VALUE(MID($I2,6,3))</f>
        <v>1</v>
      </c>
    </row>
    <row r="3" spans="1:16" x14ac:dyDescent="0.25">
      <c r="B3" s="20" t="s">
        <v>18</v>
      </c>
      <c r="C3" s="21">
        <v>1</v>
      </c>
      <c r="D3" s="22">
        <v>1</v>
      </c>
      <c r="E3" s="22">
        <v>1</v>
      </c>
      <c r="F3" s="22">
        <v>1</v>
      </c>
      <c r="G3" s="23">
        <v>1</v>
      </c>
      <c r="I3" s="39">
        <v>0</v>
      </c>
      <c r="J3" s="30">
        <f ca="1">IF(OFFSET($C$3,MATCH(I2,$B$3:$B$42,0)-1,J$2-1)=$I3,1,0)</f>
        <v>0</v>
      </c>
      <c r="K3" s="31">
        <f ca="1">IF(OFFSET($C$3,MATCH(I2,$B$3:$B$42,0)-1,K$2-1)=$I3,1,0)</f>
        <v>0</v>
      </c>
      <c r="L3" s="31">
        <f ca="1">IF(OFFSET($C$3,MATCH(I2,$B$3:$B$42,0)-1,L$2-1)=$I3,1,0)</f>
        <v>0</v>
      </c>
      <c r="M3" s="31">
        <f ca="1">IF(OFFSET($C$3,MATCH(I2,$B$3:$B$42,0)-1,M$2-1)=$I3,1,0)</f>
        <v>0</v>
      </c>
      <c r="N3" s="32">
        <f ca="1">IF(OFFSET($C$3,MATCH(I2,$B$3:$B$42,0)-1,N$2-1)=$I3,1,0)</f>
        <v>0</v>
      </c>
      <c r="P3" s="40">
        <v>0</v>
      </c>
    </row>
    <row r="4" spans="1:16" x14ac:dyDescent="0.25">
      <c r="B4" s="20" t="s">
        <v>19</v>
      </c>
      <c r="C4" s="24">
        <v>0</v>
      </c>
      <c r="D4" s="25">
        <v>0</v>
      </c>
      <c r="E4" s="25">
        <v>0</v>
      </c>
      <c r="F4" s="25">
        <v>0</v>
      </c>
      <c r="G4" s="26">
        <v>0</v>
      </c>
      <c r="I4" s="39">
        <v>1</v>
      </c>
      <c r="J4" s="33">
        <f ca="1">IF(OFFSET($C$3,MATCH(I2,$B$3:$B$42,0)-1,J$2-1)=$I4,1,0)</f>
        <v>1</v>
      </c>
      <c r="K4" s="34">
        <f ca="1">IF(OFFSET($C$3,MATCH(I2,$B$3:$B$42,0)-1,K$2-1)=$I4,1,0)</f>
        <v>1</v>
      </c>
      <c r="L4" s="34">
        <f ca="1">IF(OFFSET($C$3,MATCH(I2,$B$3:$B$42,0)-1,L$2-1)=$I4,1,0)</f>
        <v>1</v>
      </c>
      <c r="M4" s="34">
        <f ca="1">IF(OFFSET($C$3,MATCH(I2,$B$3:$B$42,0)-1,M$2-1)=$I4,1,0)</f>
        <v>1</v>
      </c>
      <c r="N4" s="35">
        <f ca="1">IF(OFFSET($C$3,MATCH(I2,$B$3:$B$42,0)-1,N$2-1)=$I4,1,0)</f>
        <v>1</v>
      </c>
      <c r="P4" s="40">
        <v>1</v>
      </c>
    </row>
    <row r="5" spans="1:16" ht="15.75" thickBot="1" x14ac:dyDescent="0.3">
      <c r="B5" s="20" t="s">
        <v>20</v>
      </c>
      <c r="C5" s="24">
        <v>2</v>
      </c>
      <c r="D5" s="25">
        <v>2</v>
      </c>
      <c r="E5" s="25">
        <v>2</v>
      </c>
      <c r="F5" s="25">
        <v>2</v>
      </c>
      <c r="G5" s="26">
        <v>2</v>
      </c>
      <c r="I5" s="39">
        <v>2</v>
      </c>
      <c r="J5" s="36">
        <f ca="1">IF(OFFSET($C$3,MATCH(I2,$B$3:$B$42,0)-1,J$2-1)=$I5,1,0)</f>
        <v>0</v>
      </c>
      <c r="K5" s="37">
        <f ca="1">IF(OFFSET($C$3,MATCH(I2,$B$3:$B$42,0)-1,K$2-1)=$I5,1,0)</f>
        <v>0</v>
      </c>
      <c r="L5" s="37">
        <f ca="1">IF(OFFSET($C$3,MATCH(I2,$B$3:$B$42,0)-1,L$2-1)=$I5,1,0)</f>
        <v>0</v>
      </c>
      <c r="M5" s="37">
        <f ca="1">IF(OFFSET($C$3,MATCH(I2,$B$3:$B$42,0)-1,M$2-1)=$I5,1,0)</f>
        <v>0</v>
      </c>
      <c r="N5" s="38">
        <f ca="1">IF(OFFSET($C$3,MATCH(I2,$B$3:$B$42,0)-1,N$2-1)=$I5,1,0)</f>
        <v>0</v>
      </c>
      <c r="P5" s="40">
        <v>2</v>
      </c>
    </row>
    <row r="6" spans="1:16" x14ac:dyDescent="0.25">
      <c r="B6" s="20" t="s">
        <v>21</v>
      </c>
      <c r="C6" s="24">
        <v>0</v>
      </c>
      <c r="D6" s="25">
        <v>1</v>
      </c>
      <c r="E6" s="25">
        <v>2</v>
      </c>
      <c r="F6" s="25">
        <v>1</v>
      </c>
      <c r="G6" s="26">
        <v>0</v>
      </c>
    </row>
    <row r="7" spans="1:16" ht="15.75" thickBot="1" x14ac:dyDescent="0.3">
      <c r="B7" s="20" t="s">
        <v>22</v>
      </c>
      <c r="C7" s="27">
        <v>2</v>
      </c>
      <c r="D7" s="28">
        <v>1</v>
      </c>
      <c r="E7" s="28">
        <v>0</v>
      </c>
      <c r="F7" s="28">
        <v>1</v>
      </c>
      <c r="G7" s="29">
        <v>2</v>
      </c>
      <c r="I7" t="str">
        <f>MID(I2,1,5)&amp;MID(I2,6,2)+1</f>
        <v>Line_2</v>
      </c>
      <c r="O7" s="40">
        <f>VALUE(MID($I7,6,3))</f>
        <v>2</v>
      </c>
    </row>
    <row r="8" spans="1:16" x14ac:dyDescent="0.25">
      <c r="B8" s="20" t="s">
        <v>23</v>
      </c>
      <c r="C8" s="24">
        <v>0</v>
      </c>
      <c r="D8" s="25">
        <v>0</v>
      </c>
      <c r="E8" s="25">
        <v>1</v>
      </c>
      <c r="F8" s="25">
        <v>2</v>
      </c>
      <c r="G8" s="26">
        <v>2</v>
      </c>
      <c r="I8" s="39">
        <v>0</v>
      </c>
      <c r="J8" s="30">
        <f ca="1">IF(OFFSET($C$3,MATCH(I7,$B$3:$B$42,0)-1,J$2-1)=$I8,1,0)</f>
        <v>1</v>
      </c>
      <c r="K8" s="31">
        <f ca="1">IF(OFFSET($C$3,MATCH(I7,$B$3:$B$42,0)-1,K$2-1)=$I8,1,0)</f>
        <v>1</v>
      </c>
      <c r="L8" s="31">
        <f ca="1">IF(OFFSET($C$3,MATCH(I7,$B$3:$B$42,0)-1,L$2-1)=$I8,1,0)</f>
        <v>1</v>
      </c>
      <c r="M8" s="31">
        <f ca="1">IF(OFFSET($C$3,MATCH(I7,$B$3:$B$42,0)-1,M$2-1)=$I8,1,0)</f>
        <v>1</v>
      </c>
      <c r="N8" s="32">
        <f ca="1">IF(OFFSET($C$3,MATCH(I7,$B$3:$B$42,0)-1,N$2-1)=$I8,1,0)</f>
        <v>1</v>
      </c>
    </row>
    <row r="9" spans="1:16" x14ac:dyDescent="0.25">
      <c r="B9" s="20" t="s">
        <v>24</v>
      </c>
      <c r="C9" s="24">
        <v>2</v>
      </c>
      <c r="D9" s="25">
        <v>2</v>
      </c>
      <c r="E9" s="25">
        <v>1</v>
      </c>
      <c r="F9" s="25">
        <v>0</v>
      </c>
      <c r="G9" s="26">
        <v>0</v>
      </c>
      <c r="I9" s="39">
        <v>1</v>
      </c>
      <c r="J9" s="33">
        <f ca="1">IF(OFFSET($C$3,MATCH(I7,$B$3:$B$42,0)-1,J$2-1)=$I9,1,0)</f>
        <v>0</v>
      </c>
      <c r="K9" s="34">
        <f ca="1">IF(OFFSET($C$3,MATCH(I7,$B$3:$B$42,0)-1,K$2-1)=$I9,1,0)</f>
        <v>0</v>
      </c>
      <c r="L9" s="34">
        <f ca="1">IF(OFFSET($C$3,MATCH(I7,$B$3:$B$42,0)-1,L$2-1)=$I9,1,0)</f>
        <v>0</v>
      </c>
      <c r="M9" s="34">
        <f ca="1">IF(OFFSET($C$3,MATCH(I7,$B$3:$B$42,0)-1,M$2-1)=$I9,1,0)</f>
        <v>0</v>
      </c>
      <c r="N9" s="35">
        <f ca="1">IF(OFFSET($C$3,MATCH(I7,$B$3:$B$42,0)-1,N$2-1)=$I9,1,0)</f>
        <v>0</v>
      </c>
    </row>
    <row r="10" spans="1:16" ht="15.75" thickBot="1" x14ac:dyDescent="0.3">
      <c r="B10" s="20" t="s">
        <v>25</v>
      </c>
      <c r="C10" s="24">
        <v>1</v>
      </c>
      <c r="D10" s="25">
        <v>2</v>
      </c>
      <c r="E10" s="25">
        <v>2</v>
      </c>
      <c r="F10" s="25">
        <v>2</v>
      </c>
      <c r="G10" s="26">
        <v>1</v>
      </c>
      <c r="I10" s="39">
        <v>2</v>
      </c>
      <c r="J10" s="36">
        <f ca="1">IF(OFFSET($C$3,MATCH(I7,$B$3:$B$42,0)-1,J$2-1)=$I10,1,0)</f>
        <v>0</v>
      </c>
      <c r="K10" s="37">
        <f ca="1">IF(OFFSET($C$3,MATCH(I7,$B$3:$B$42,0)-1,K$2-1)=$I10,1,0)</f>
        <v>0</v>
      </c>
      <c r="L10" s="37">
        <f ca="1">IF(OFFSET($C$3,MATCH(I7,$B$3:$B$42,0)-1,L$2-1)=$I10,1,0)</f>
        <v>0</v>
      </c>
      <c r="M10" s="37">
        <f ca="1">IF(OFFSET($C$3,MATCH(I7,$B$3:$B$42,0)-1,M$2-1)=$I10,1,0)</f>
        <v>0</v>
      </c>
      <c r="N10" s="38">
        <f ca="1">IF(OFFSET($C$3,MATCH(I7,$B$3:$B$42,0)-1,N$2-1)=$I10,1,0)</f>
        <v>0</v>
      </c>
    </row>
    <row r="11" spans="1:16" x14ac:dyDescent="0.25">
      <c r="B11" s="20" t="s">
        <v>26</v>
      </c>
      <c r="C11" s="24">
        <v>1</v>
      </c>
      <c r="D11" s="25">
        <v>0</v>
      </c>
      <c r="E11" s="25">
        <v>0</v>
      </c>
      <c r="F11" s="25">
        <v>0</v>
      </c>
      <c r="G11" s="26">
        <v>1</v>
      </c>
    </row>
    <row r="12" spans="1:16" ht="15.75" thickBot="1" x14ac:dyDescent="0.3">
      <c r="B12" s="20" t="s">
        <v>27</v>
      </c>
      <c r="C12" s="27">
        <v>0</v>
      </c>
      <c r="D12" s="28">
        <v>1</v>
      </c>
      <c r="E12" s="28">
        <v>1</v>
      </c>
      <c r="F12" s="28">
        <v>1</v>
      </c>
      <c r="G12" s="29">
        <v>0</v>
      </c>
      <c r="I12" t="str">
        <f>MID(I7,1,5)&amp;MID(I7,6,2)+1</f>
        <v>Line_3</v>
      </c>
      <c r="O12" s="40">
        <f>VALUE(MID($I12,6,3))</f>
        <v>3</v>
      </c>
    </row>
    <row r="13" spans="1:16" x14ac:dyDescent="0.25">
      <c r="B13" s="20" t="s">
        <v>28</v>
      </c>
      <c r="C13" s="24">
        <v>2</v>
      </c>
      <c r="D13" s="25">
        <v>1</v>
      </c>
      <c r="E13" s="25">
        <v>1</v>
      </c>
      <c r="F13" s="25">
        <v>1</v>
      </c>
      <c r="G13" s="26">
        <v>2</v>
      </c>
      <c r="I13" s="39">
        <v>0</v>
      </c>
      <c r="J13" s="30">
        <f ca="1">IF(OFFSET($C$3,MATCH(I12,$B$3:$B$42,0)-1,J$2-1)=$I13,1,0)</f>
        <v>0</v>
      </c>
      <c r="K13" s="31">
        <f ca="1">IF(OFFSET($C$3,MATCH(I12,$B$3:$B$42,0)-1,K$2-1)=$I13,1,0)</f>
        <v>0</v>
      </c>
      <c r="L13" s="31">
        <f ca="1">IF(OFFSET($C$3,MATCH(I12,$B$3:$B$42,0)-1,L$2-1)=$I13,1,0)</f>
        <v>0</v>
      </c>
      <c r="M13" s="31">
        <f ca="1">IF(OFFSET($C$3,MATCH(I12,$B$3:$B$42,0)-1,M$2-1)=$I13,1,0)</f>
        <v>0</v>
      </c>
      <c r="N13" s="32">
        <f ca="1">IF(OFFSET($C$3,MATCH(I12,$B$3:$B$42,0)-1,N$2-1)=$I13,1,0)</f>
        <v>0</v>
      </c>
    </row>
    <row r="14" spans="1:16" x14ac:dyDescent="0.25">
      <c r="B14" s="20" t="s">
        <v>29</v>
      </c>
      <c r="C14" s="24">
        <v>1</v>
      </c>
      <c r="D14" s="25">
        <v>2</v>
      </c>
      <c r="E14" s="25">
        <v>1</v>
      </c>
      <c r="F14" s="25">
        <v>0</v>
      </c>
      <c r="G14" s="26">
        <v>1</v>
      </c>
      <c r="I14" s="39">
        <v>1</v>
      </c>
      <c r="J14" s="33">
        <f ca="1">IF(OFFSET($C$3,MATCH(I12,$B$3:$B$42,0)-1,J$2-1)=$I14,1,0)</f>
        <v>0</v>
      </c>
      <c r="K14" s="34">
        <f ca="1">IF(OFFSET($C$3,MATCH(I12,$B$3:$B$42,0)-1,K$2-1)=$I14,1,0)</f>
        <v>0</v>
      </c>
      <c r="L14" s="34">
        <f ca="1">IF(OFFSET($C$3,MATCH(I12,$B$3:$B$42,0)-1,L$2-1)=$I14,1,0)</f>
        <v>0</v>
      </c>
      <c r="M14" s="34">
        <f ca="1">IF(OFFSET($C$3,MATCH(I12,$B$3:$B$42,0)-1,M$2-1)=$I14,1,0)</f>
        <v>0</v>
      </c>
      <c r="N14" s="35">
        <f ca="1">IF(OFFSET($C$3,MATCH(I12,$B$3:$B$42,0)-1,N$2-1)=$I14,1,0)</f>
        <v>0</v>
      </c>
    </row>
    <row r="15" spans="1:16" ht="15.75" thickBot="1" x14ac:dyDescent="0.3">
      <c r="B15" s="20" t="s">
        <v>30</v>
      </c>
      <c r="C15" s="24">
        <v>1</v>
      </c>
      <c r="D15" s="25">
        <v>0</v>
      </c>
      <c r="E15" s="25">
        <v>1</v>
      </c>
      <c r="F15" s="25">
        <v>2</v>
      </c>
      <c r="G15" s="26">
        <v>1</v>
      </c>
      <c r="I15" s="39">
        <v>2</v>
      </c>
      <c r="J15" s="36">
        <f ca="1">IF(OFFSET($C$3,MATCH(I12,$B$3:$B$42,0)-1,J$2-1)=$I15,1,0)</f>
        <v>1</v>
      </c>
      <c r="K15" s="37">
        <f ca="1">IF(OFFSET($C$3,MATCH(I12,$B$3:$B$42,0)-1,K$2-1)=$I15,1,0)</f>
        <v>1</v>
      </c>
      <c r="L15" s="37">
        <f ca="1">IF(OFFSET($C$3,MATCH(I12,$B$3:$B$42,0)-1,L$2-1)=$I15,1,0)</f>
        <v>1</v>
      </c>
      <c r="M15" s="37">
        <f ca="1">IF(OFFSET($C$3,MATCH(I12,$B$3:$B$42,0)-1,M$2-1)=$I15,1,0)</f>
        <v>1</v>
      </c>
      <c r="N15" s="38">
        <f ca="1">IF(OFFSET($C$3,MATCH(I12,$B$3:$B$42,0)-1,N$2-1)=$I15,1,0)</f>
        <v>1</v>
      </c>
    </row>
    <row r="16" spans="1:16" x14ac:dyDescent="0.25">
      <c r="B16" s="20" t="s">
        <v>31</v>
      </c>
      <c r="C16" s="24">
        <v>0</v>
      </c>
      <c r="D16" s="25">
        <v>1</v>
      </c>
      <c r="E16" s="25">
        <v>0</v>
      </c>
      <c r="F16" s="25">
        <v>1</v>
      </c>
      <c r="G16" s="26">
        <v>0</v>
      </c>
    </row>
    <row r="17" spans="2:15" ht="15.75" thickBot="1" x14ac:dyDescent="0.3">
      <c r="B17" s="20" t="s">
        <v>32</v>
      </c>
      <c r="C17" s="27">
        <v>2</v>
      </c>
      <c r="D17" s="28">
        <v>1</v>
      </c>
      <c r="E17" s="28">
        <v>2</v>
      </c>
      <c r="F17" s="28">
        <v>1</v>
      </c>
      <c r="G17" s="29">
        <v>2</v>
      </c>
      <c r="I17" t="str">
        <f>MID(I12,1,5)&amp;MID(I12,6,2)+1</f>
        <v>Line_4</v>
      </c>
      <c r="O17" s="40">
        <f>VALUE(MID($I17,6,3))</f>
        <v>4</v>
      </c>
    </row>
    <row r="18" spans="2:15" x14ac:dyDescent="0.25">
      <c r="B18" s="20" t="s">
        <v>33</v>
      </c>
      <c r="C18" s="24">
        <v>1</v>
      </c>
      <c r="D18" s="25">
        <v>1</v>
      </c>
      <c r="E18" s="25">
        <v>2</v>
      </c>
      <c r="F18" s="25">
        <v>1</v>
      </c>
      <c r="G18" s="26">
        <v>1</v>
      </c>
      <c r="I18" s="39">
        <v>0</v>
      </c>
      <c r="J18" s="30">
        <f ca="1">IF(OFFSET($C$3,MATCH(I17,$B$3:$B$42,0)-1,J$2-1)=$I18,1,0)</f>
        <v>1</v>
      </c>
      <c r="K18" s="31">
        <f ca="1">IF(OFFSET($C$3,MATCH(I17,$B$3:$B$42,0)-1,K$2-1)=$I18,1,0)</f>
        <v>0</v>
      </c>
      <c r="L18" s="31">
        <f ca="1">IF(OFFSET($C$3,MATCH(I17,$B$3:$B$42,0)-1,L$2-1)=$I18,1,0)</f>
        <v>0</v>
      </c>
      <c r="M18" s="31">
        <f ca="1">IF(OFFSET($C$3,MATCH(I17,$B$3:$B$42,0)-1,M$2-1)=$I18,1,0)</f>
        <v>0</v>
      </c>
      <c r="N18" s="32">
        <f ca="1">IF(OFFSET($C$3,MATCH(I17,$B$3:$B$42,0)-1,N$2-1)=$I18,1,0)</f>
        <v>1</v>
      </c>
    </row>
    <row r="19" spans="2:15" x14ac:dyDescent="0.25">
      <c r="B19" s="20" t="s">
        <v>34</v>
      </c>
      <c r="C19" s="24">
        <v>1</v>
      </c>
      <c r="D19" s="25">
        <v>1</v>
      </c>
      <c r="E19" s="25">
        <v>0</v>
      </c>
      <c r="F19" s="25">
        <v>1</v>
      </c>
      <c r="G19" s="26">
        <v>1</v>
      </c>
      <c r="I19" s="39">
        <v>1</v>
      </c>
      <c r="J19" s="33">
        <f ca="1">IF(OFFSET($C$3,MATCH(I17,$B$3:$B$42,0)-1,J$2-1)=$I19,1,0)</f>
        <v>0</v>
      </c>
      <c r="K19" s="34">
        <f ca="1">IF(OFFSET($C$3,MATCH(I17,$B$3:$B$42,0)-1,K$2-1)=$I19,1,0)</f>
        <v>1</v>
      </c>
      <c r="L19" s="34">
        <f ca="1">IF(OFFSET($C$3,MATCH(I17,$B$3:$B$42,0)-1,L$2-1)=$I19,1,0)</f>
        <v>0</v>
      </c>
      <c r="M19" s="34">
        <f ca="1">IF(OFFSET($C$3,MATCH(I17,$B$3:$B$42,0)-1,M$2-1)=$I19,1,0)</f>
        <v>1</v>
      </c>
      <c r="N19" s="35">
        <f ca="1">IF(OFFSET($C$3,MATCH(I17,$B$3:$B$42,0)-1,N$2-1)=$I19,1,0)</f>
        <v>0</v>
      </c>
    </row>
    <row r="20" spans="2:15" ht="15.75" thickBot="1" x14ac:dyDescent="0.3">
      <c r="B20" s="20" t="s">
        <v>35</v>
      </c>
      <c r="C20" s="24">
        <v>0</v>
      </c>
      <c r="D20" s="25">
        <v>2</v>
      </c>
      <c r="E20" s="25">
        <v>0</v>
      </c>
      <c r="F20" s="25">
        <v>2</v>
      </c>
      <c r="G20" s="26">
        <v>0</v>
      </c>
      <c r="I20" s="39">
        <v>2</v>
      </c>
      <c r="J20" s="36">
        <f ca="1">IF(OFFSET($C$3,MATCH(I17,$B$3:$B$42,0)-1,J$2-1)=$I20,1,0)</f>
        <v>0</v>
      </c>
      <c r="K20" s="37">
        <f ca="1">IF(OFFSET($C$3,MATCH(I17,$B$3:$B$42,0)-1,K$2-1)=$I20,1,0)</f>
        <v>0</v>
      </c>
      <c r="L20" s="37">
        <f ca="1">IF(OFFSET($C$3,MATCH(I17,$B$3:$B$42,0)-1,L$2-1)=$I20,1,0)</f>
        <v>1</v>
      </c>
      <c r="M20" s="37">
        <f ca="1">IF(OFFSET($C$3,MATCH(I17,$B$3:$B$42,0)-1,M$2-1)=$I20,1,0)</f>
        <v>0</v>
      </c>
      <c r="N20" s="38">
        <f ca="1">IF(OFFSET($C$3,MATCH(I17,$B$3:$B$42,0)-1,N$2-1)=$I20,1,0)</f>
        <v>0</v>
      </c>
    </row>
    <row r="21" spans="2:15" x14ac:dyDescent="0.25">
      <c r="B21" s="20" t="s">
        <v>36</v>
      </c>
      <c r="C21" s="24">
        <v>2</v>
      </c>
      <c r="D21" s="25">
        <v>0</v>
      </c>
      <c r="E21" s="25">
        <v>2</v>
      </c>
      <c r="F21" s="25">
        <v>0</v>
      </c>
      <c r="G21" s="26">
        <v>2</v>
      </c>
    </row>
    <row r="22" spans="2:15" ht="15.75" thickBot="1" x14ac:dyDescent="0.3">
      <c r="B22" s="20" t="s">
        <v>37</v>
      </c>
      <c r="C22" s="27">
        <v>1</v>
      </c>
      <c r="D22" s="28">
        <v>0</v>
      </c>
      <c r="E22" s="28">
        <v>2</v>
      </c>
      <c r="F22" s="28">
        <v>0</v>
      </c>
      <c r="G22" s="29">
        <v>1</v>
      </c>
      <c r="I22" t="str">
        <f>MID(I17,1,5)&amp;MID(I17,6,2)+1</f>
        <v>Line_5</v>
      </c>
      <c r="O22" s="40">
        <f>VALUE(MID($I22,6,3))</f>
        <v>5</v>
      </c>
    </row>
    <row r="23" spans="2:15" x14ac:dyDescent="0.25">
      <c r="B23" s="20" t="s">
        <v>38</v>
      </c>
      <c r="C23" s="24">
        <v>1</v>
      </c>
      <c r="D23" s="25">
        <v>2</v>
      </c>
      <c r="E23" s="25">
        <v>0</v>
      </c>
      <c r="F23" s="25">
        <v>2</v>
      </c>
      <c r="G23" s="26">
        <v>1</v>
      </c>
      <c r="I23" s="39">
        <v>0</v>
      </c>
      <c r="J23" s="30">
        <f ca="1">IF(OFFSET($C$3,MATCH(I22,$B$3:$B$42,0)-1,J$2-1)=$I23,1,0)</f>
        <v>0</v>
      </c>
      <c r="K23" s="31">
        <f ca="1">IF(OFFSET($C$3,MATCH(I22,$B$3:$B$42,0)-1,K$2-1)=$I23,1,0)</f>
        <v>0</v>
      </c>
      <c r="L23" s="31">
        <f ca="1">IF(OFFSET($C$3,MATCH(I22,$B$3:$B$42,0)-1,L$2-1)=$I23,1,0)</f>
        <v>1</v>
      </c>
      <c r="M23" s="31">
        <f ca="1">IF(OFFSET($C$3,MATCH(I22,$B$3:$B$42,0)-1,M$2-1)=$I23,1,0)</f>
        <v>0</v>
      </c>
      <c r="N23" s="32">
        <f ca="1">IF(OFFSET($C$3,MATCH(I22,$B$3:$B$42,0)-1,N$2-1)=$I23,1,0)</f>
        <v>0</v>
      </c>
    </row>
    <row r="24" spans="2:15" x14ac:dyDescent="0.25">
      <c r="B24" s="20" t="s">
        <v>39</v>
      </c>
      <c r="C24" s="24">
        <v>0</v>
      </c>
      <c r="D24" s="25">
        <v>0</v>
      </c>
      <c r="E24" s="25">
        <v>2</v>
      </c>
      <c r="F24" s="25">
        <v>0</v>
      </c>
      <c r="G24" s="26">
        <v>0</v>
      </c>
      <c r="I24" s="39">
        <v>1</v>
      </c>
      <c r="J24" s="33">
        <f ca="1">IF(OFFSET($C$3,MATCH(I22,$B$3:$B$42,0)-1,J$2-1)=$I24,1,0)</f>
        <v>0</v>
      </c>
      <c r="K24" s="34">
        <f ca="1">IF(OFFSET($C$3,MATCH(I22,$B$3:$B$42,0)-1,K$2-1)=$I24,1,0)</f>
        <v>1</v>
      </c>
      <c r="L24" s="34">
        <f ca="1">IF(OFFSET($C$3,MATCH(I22,$B$3:$B$42,0)-1,L$2-1)=$I24,1,0)</f>
        <v>0</v>
      </c>
      <c r="M24" s="34">
        <f ca="1">IF(OFFSET($C$3,MATCH(I22,$B$3:$B$42,0)-1,M$2-1)=$I24,1,0)</f>
        <v>1</v>
      </c>
      <c r="N24" s="35">
        <f ca="1">IF(OFFSET($C$3,MATCH(I22,$B$3:$B$42,0)-1,N$2-1)=$I24,1,0)</f>
        <v>0</v>
      </c>
    </row>
    <row r="25" spans="2:15" ht="15.75" thickBot="1" x14ac:dyDescent="0.3">
      <c r="B25" s="20" t="s">
        <v>40</v>
      </c>
      <c r="C25" s="24">
        <v>2</v>
      </c>
      <c r="D25" s="25">
        <v>2</v>
      </c>
      <c r="E25" s="25">
        <v>0</v>
      </c>
      <c r="F25" s="25">
        <v>2</v>
      </c>
      <c r="G25" s="26">
        <v>2</v>
      </c>
      <c r="I25" s="39">
        <v>2</v>
      </c>
      <c r="J25" s="36">
        <f ca="1">IF(OFFSET($C$3,MATCH(I22,$B$3:$B$42,0)-1,J$2-1)=$I25,1,0)</f>
        <v>1</v>
      </c>
      <c r="K25" s="37">
        <f ca="1">IF(OFFSET($C$3,MATCH(I22,$B$3:$B$42,0)-1,K$2-1)=$I25,1,0)</f>
        <v>0</v>
      </c>
      <c r="L25" s="37">
        <f ca="1">IF(OFFSET($C$3,MATCH(I22,$B$3:$B$42,0)-1,L$2-1)=$I25,1,0)</f>
        <v>0</v>
      </c>
      <c r="M25" s="37">
        <f ca="1">IF(OFFSET($C$3,MATCH(I22,$B$3:$B$42,0)-1,M$2-1)=$I25,1,0)</f>
        <v>0</v>
      </c>
      <c r="N25" s="38">
        <f ca="1">IF(OFFSET($C$3,MATCH(I22,$B$3:$B$42,0)-1,N$2-1)=$I25,1,0)</f>
        <v>1</v>
      </c>
    </row>
    <row r="26" spans="2:15" x14ac:dyDescent="0.25">
      <c r="B26" s="20" t="s">
        <v>41</v>
      </c>
      <c r="C26" s="24">
        <v>0</v>
      </c>
      <c r="D26" s="25">
        <v>2</v>
      </c>
      <c r="E26" s="25">
        <v>2</v>
      </c>
      <c r="F26" s="25">
        <v>2</v>
      </c>
      <c r="G26" s="26">
        <v>0</v>
      </c>
    </row>
    <row r="27" spans="2:15" ht="15.75" thickBot="1" x14ac:dyDescent="0.3">
      <c r="B27" s="20" t="s">
        <v>42</v>
      </c>
      <c r="C27" s="27">
        <v>2</v>
      </c>
      <c r="D27" s="28">
        <v>0</v>
      </c>
      <c r="E27" s="28">
        <v>0</v>
      </c>
      <c r="F27" s="28">
        <v>0</v>
      </c>
      <c r="G27" s="29">
        <v>2</v>
      </c>
      <c r="I27" t="str">
        <f>MID(I22,1,5)&amp;MID(I22,6,2)+1</f>
        <v>Line_6</v>
      </c>
      <c r="O27" s="40">
        <f>VALUE(MID($I27,6,3))</f>
        <v>6</v>
      </c>
    </row>
    <row r="28" spans="2:15" x14ac:dyDescent="0.25">
      <c r="B28" s="20" t="s">
        <v>43</v>
      </c>
      <c r="C28" s="24">
        <v>0</v>
      </c>
      <c r="D28" s="25">
        <v>0</v>
      </c>
      <c r="E28" s="25">
        <v>1</v>
      </c>
      <c r="F28" s="25">
        <v>0</v>
      </c>
      <c r="G28" s="26">
        <v>0</v>
      </c>
      <c r="I28" s="39">
        <v>0</v>
      </c>
      <c r="J28" s="30">
        <f ca="1">IF(OFFSET($C$3,MATCH(I27,$B$3:$B$42,0)-1,J$2-1)=$I28,1,0)</f>
        <v>1</v>
      </c>
      <c r="K28" s="31">
        <f ca="1">IF(OFFSET($C$3,MATCH(I27,$B$3:$B$42,0)-1,K$2-1)=$I28,1,0)</f>
        <v>1</v>
      </c>
      <c r="L28" s="31">
        <f ca="1">IF(OFFSET($C$3,MATCH(I27,$B$3:$B$42,0)-1,L$2-1)=$I28,1,0)</f>
        <v>0</v>
      </c>
      <c r="M28" s="31">
        <f ca="1">IF(OFFSET($C$3,MATCH(I27,$B$3:$B$42,0)-1,M$2-1)=$I28,1,0)</f>
        <v>0</v>
      </c>
      <c r="N28" s="32">
        <f ca="1">IF(OFFSET($C$3,MATCH(I27,$B$3:$B$42,0)-1,N$2-1)=$I28,1,0)</f>
        <v>0</v>
      </c>
    </row>
    <row r="29" spans="2:15" x14ac:dyDescent="0.25">
      <c r="B29" s="20" t="s">
        <v>44</v>
      </c>
      <c r="C29" s="24">
        <v>2</v>
      </c>
      <c r="D29" s="25">
        <v>2</v>
      </c>
      <c r="E29" s="25">
        <v>1</v>
      </c>
      <c r="F29" s="25">
        <v>2</v>
      </c>
      <c r="G29" s="26">
        <v>2</v>
      </c>
      <c r="I29" s="39">
        <v>1</v>
      </c>
      <c r="J29" s="33">
        <f ca="1">IF(OFFSET($C$3,MATCH(I27,$B$3:$B$42,0)-1,J$2-1)=$I29,1,0)</f>
        <v>0</v>
      </c>
      <c r="K29" s="34">
        <f ca="1">IF(OFFSET($C$3,MATCH(I27,$B$3:$B$42,0)-1,K$2-1)=$I29,1,0)</f>
        <v>0</v>
      </c>
      <c r="L29" s="34">
        <f ca="1">IF(OFFSET($C$3,MATCH(I27,$B$3:$B$42,0)-1,L$2-1)=$I29,1,0)</f>
        <v>1</v>
      </c>
      <c r="M29" s="34">
        <f ca="1">IF(OFFSET($C$3,MATCH(I27,$B$3:$B$42,0)-1,M$2-1)=$I29,1,0)</f>
        <v>0</v>
      </c>
      <c r="N29" s="35">
        <f ca="1">IF(OFFSET($C$3,MATCH(I27,$B$3:$B$42,0)-1,N$2-1)=$I29,1,0)</f>
        <v>0</v>
      </c>
    </row>
    <row r="30" spans="2:15" ht="15.75" thickBot="1" x14ac:dyDescent="0.3">
      <c r="B30" s="20" t="s">
        <v>45</v>
      </c>
      <c r="C30" s="24">
        <v>0</v>
      </c>
      <c r="D30" s="25">
        <v>2</v>
      </c>
      <c r="E30" s="25">
        <v>1</v>
      </c>
      <c r="F30" s="25">
        <v>2</v>
      </c>
      <c r="G30" s="26">
        <v>0</v>
      </c>
      <c r="I30" s="39">
        <v>2</v>
      </c>
      <c r="J30" s="36">
        <f ca="1">IF(OFFSET($C$3,MATCH(I27,$B$3:$B$42,0)-1,J$2-1)=$I30,1,0)</f>
        <v>0</v>
      </c>
      <c r="K30" s="37">
        <f ca="1">IF(OFFSET($C$3,MATCH(I27,$B$3:$B$42,0)-1,K$2-1)=$I30,1,0)</f>
        <v>0</v>
      </c>
      <c r="L30" s="37">
        <f ca="1">IF(OFFSET($C$3,MATCH(I27,$B$3:$B$42,0)-1,L$2-1)=$I30,1,0)</f>
        <v>0</v>
      </c>
      <c r="M30" s="37">
        <f ca="1">IF(OFFSET($C$3,MATCH(I27,$B$3:$B$42,0)-1,M$2-1)=$I30,1,0)</f>
        <v>1</v>
      </c>
      <c r="N30" s="38">
        <f ca="1">IF(OFFSET($C$3,MATCH(I27,$B$3:$B$42,0)-1,N$2-1)=$I30,1,0)</f>
        <v>1</v>
      </c>
    </row>
    <row r="31" spans="2:15" x14ac:dyDescent="0.25">
      <c r="B31" s="20" t="s">
        <v>46</v>
      </c>
      <c r="C31" s="24">
        <v>2</v>
      </c>
      <c r="D31" s="25">
        <v>0</v>
      </c>
      <c r="E31" s="25">
        <v>1</v>
      </c>
      <c r="F31" s="25">
        <v>0</v>
      </c>
      <c r="G31" s="26">
        <v>2</v>
      </c>
    </row>
    <row r="32" spans="2:15" ht="15.75" thickBot="1" x14ac:dyDescent="0.3">
      <c r="B32" s="20" t="s">
        <v>47</v>
      </c>
      <c r="C32" s="27">
        <v>1</v>
      </c>
      <c r="D32" s="28">
        <v>2</v>
      </c>
      <c r="E32" s="28">
        <v>1</v>
      </c>
      <c r="F32" s="28">
        <v>2</v>
      </c>
      <c r="G32" s="29">
        <v>1</v>
      </c>
      <c r="I32" t="str">
        <f>MID(I27,1,5)&amp;MID(I27,6,2)+1</f>
        <v>Line_7</v>
      </c>
      <c r="O32" s="40">
        <f>VALUE(MID($I32,6,3))</f>
        <v>7</v>
      </c>
    </row>
    <row r="33" spans="2:67" x14ac:dyDescent="0.25">
      <c r="B33" s="20" t="s">
        <v>48</v>
      </c>
      <c r="C33" s="24"/>
      <c r="D33" s="25"/>
      <c r="E33" s="25"/>
      <c r="F33" s="25"/>
      <c r="G33" s="26"/>
      <c r="I33" s="39">
        <v>0</v>
      </c>
      <c r="J33" s="30">
        <f ca="1">IF(OFFSET($C$3,MATCH(I32,$B$3:$B$42,0)-1,J$2-1)=$I33,1,0)</f>
        <v>0</v>
      </c>
      <c r="K33" s="31">
        <f ca="1">IF(OFFSET($C$3,MATCH(I32,$B$3:$B$42,0)-1,K$2-1)=$I33,1,0)</f>
        <v>0</v>
      </c>
      <c r="L33" s="31">
        <f ca="1">IF(OFFSET($C$3,MATCH(I32,$B$3:$B$42,0)-1,L$2-1)=$I33,1,0)</f>
        <v>0</v>
      </c>
      <c r="M33" s="31">
        <f ca="1">IF(OFFSET($C$3,MATCH(I32,$B$3:$B$42,0)-1,M$2-1)=$I33,1,0)</f>
        <v>1</v>
      </c>
      <c r="N33" s="32">
        <f ca="1">IF(OFFSET($C$3,MATCH(I32,$B$3:$B$42,0)-1,N$2-1)=$I33,1,0)</f>
        <v>1</v>
      </c>
    </row>
    <row r="34" spans="2:67" ht="15.75" thickBot="1" x14ac:dyDescent="0.3">
      <c r="B34" s="20" t="s">
        <v>49</v>
      </c>
      <c r="C34" s="24"/>
      <c r="D34" s="25"/>
      <c r="E34" s="25"/>
      <c r="F34" s="25"/>
      <c r="G34" s="26"/>
      <c r="I34" s="39">
        <v>1</v>
      </c>
      <c r="J34" s="33">
        <f ca="1">IF(OFFSET($C$3,MATCH(I32,$B$3:$B$42,0)-1,J$2-1)=$I34,1,0)</f>
        <v>0</v>
      </c>
      <c r="K34" s="34">
        <f ca="1">IF(OFFSET($C$3,MATCH(I32,$B$3:$B$42,0)-1,K$2-1)=$I34,1,0)</f>
        <v>0</v>
      </c>
      <c r="L34" s="34">
        <f ca="1">IF(OFFSET($C$3,MATCH(I32,$B$3:$B$42,0)-1,L$2-1)=$I34,1,0)</f>
        <v>1</v>
      </c>
      <c r="M34" s="34">
        <f ca="1">IF(OFFSET($C$3,MATCH(I32,$B$3:$B$42,0)-1,M$2-1)=$I34,1,0)</f>
        <v>0</v>
      </c>
      <c r="N34" s="35">
        <f ca="1">IF(OFFSET($C$3,MATCH(I32,$B$3:$B$42,0)-1,N$2-1)=$I34,1,0)</f>
        <v>0</v>
      </c>
    </row>
    <row r="35" spans="2:67" ht="15.75" thickBot="1" x14ac:dyDescent="0.3">
      <c r="B35" s="20" t="s">
        <v>50</v>
      </c>
      <c r="C35" s="24"/>
      <c r="D35" s="25"/>
      <c r="E35" s="25"/>
      <c r="F35" s="25"/>
      <c r="G35" s="26"/>
      <c r="I35" s="39">
        <v>2</v>
      </c>
      <c r="J35" s="36">
        <f ca="1">IF(OFFSET($C$3,MATCH(I32,$B$3:$B$42,0)-1,J$2-1)=$I35,1,0)</f>
        <v>1</v>
      </c>
      <c r="K35" s="37">
        <f ca="1">IF(OFFSET($C$3,MATCH(I32,$B$3:$B$42,0)-1,K$2-1)=$I35,1,0)</f>
        <v>1</v>
      </c>
      <c r="L35" s="37">
        <f ca="1">IF(OFFSET($C$3,MATCH(I32,$B$3:$B$42,0)-1,L$2-1)=$I35,1,0)</f>
        <v>0</v>
      </c>
      <c r="M35" s="37">
        <f ca="1">IF(OFFSET($C$3,MATCH(I32,$B$3:$B$42,0)-1,M$2-1)=$I35,1,0)</f>
        <v>0</v>
      </c>
      <c r="N35" s="38">
        <f ca="1">IF(OFFSET($C$3,MATCH(I32,$B$3:$B$42,0)-1,N$2-1)=$I35,1,0)</f>
        <v>0</v>
      </c>
      <c r="S35" s="20"/>
      <c r="AD35" s="39"/>
      <c r="AE35" s="20"/>
      <c r="AF35" s="20"/>
      <c r="AG35" s="20"/>
      <c r="AH35" s="20"/>
      <c r="AI35" s="20"/>
      <c r="AT35" s="39"/>
      <c r="AU35" s="20"/>
      <c r="AV35" s="20"/>
      <c r="AW35" s="20"/>
      <c r="AX35" s="20"/>
      <c r="AY35" s="20"/>
      <c r="BJ35" s="39"/>
      <c r="BK35" s="20"/>
      <c r="BL35" s="20"/>
      <c r="BM35" s="20"/>
      <c r="BN35" s="20"/>
      <c r="BO35" s="46">
        <v>0</v>
      </c>
    </row>
    <row r="36" spans="2:67" x14ac:dyDescent="0.25">
      <c r="B36" s="20" t="s">
        <v>51</v>
      </c>
      <c r="C36" s="24"/>
      <c r="D36" s="25"/>
      <c r="E36" s="25"/>
      <c r="F36" s="25"/>
      <c r="G36" s="26"/>
      <c r="S36" s="42"/>
      <c r="AD36" s="39"/>
      <c r="AE36" s="42"/>
      <c r="AF36" s="42"/>
      <c r="AG36" s="42"/>
      <c r="AH36" s="42"/>
      <c r="AI36" s="42"/>
      <c r="AT36" s="39"/>
      <c r="AU36" s="42"/>
      <c r="AV36" s="42"/>
      <c r="AW36" s="42"/>
      <c r="AX36" s="42"/>
      <c r="AY36" s="42"/>
      <c r="BJ36" s="39"/>
      <c r="BK36" s="42"/>
      <c r="BL36" s="42"/>
      <c r="BM36" s="42"/>
      <c r="BN36" s="42"/>
      <c r="BO36" s="47">
        <v>0</v>
      </c>
    </row>
    <row r="37" spans="2:67" ht="15.75" thickBot="1" x14ac:dyDescent="0.3">
      <c r="B37" s="20" t="s">
        <v>52</v>
      </c>
      <c r="C37" s="27"/>
      <c r="D37" s="28"/>
      <c r="E37" s="28"/>
      <c r="F37" s="28"/>
      <c r="G37" s="29"/>
      <c r="I37" t="str">
        <f>MID(I32,1,5)&amp;MID(I32,6,2)+1</f>
        <v>Line_8</v>
      </c>
      <c r="O37" s="40">
        <f>VALUE(MID($I37,6,3))</f>
        <v>8</v>
      </c>
      <c r="S37" s="20"/>
      <c r="AD37" s="39"/>
      <c r="AE37" s="20"/>
      <c r="AF37" s="20"/>
      <c r="AG37" s="20"/>
      <c r="AH37" s="20"/>
      <c r="AI37" s="20"/>
      <c r="AT37" s="39"/>
      <c r="AU37" s="20"/>
      <c r="AV37" s="20"/>
      <c r="AW37" s="20"/>
      <c r="AX37" s="20"/>
      <c r="AY37" s="20"/>
      <c r="BJ37" s="39"/>
      <c r="BK37" s="20"/>
      <c r="BL37" s="20"/>
      <c r="BM37" s="20"/>
      <c r="BN37" s="20"/>
      <c r="BO37" s="48">
        <v>1</v>
      </c>
    </row>
    <row r="38" spans="2:67" x14ac:dyDescent="0.25">
      <c r="B38" s="20" t="s">
        <v>53</v>
      </c>
      <c r="C38" s="24"/>
      <c r="D38" s="25"/>
      <c r="E38" s="25"/>
      <c r="F38" s="25"/>
      <c r="G38" s="26"/>
      <c r="I38" s="39">
        <v>0</v>
      </c>
      <c r="J38" s="30">
        <f ca="1">IF(OFFSET($C$3,MATCH(I37,$B$3:$B$42,0)-1,J$2-1)=$I38,1,0)</f>
        <v>0</v>
      </c>
      <c r="K38" s="31">
        <f ca="1">IF(OFFSET($C$3,MATCH(I37,$B$3:$B$42,0)-1,K$2-1)=$I38,1,0)</f>
        <v>0</v>
      </c>
      <c r="L38" s="31">
        <f ca="1">IF(OFFSET($C$3,MATCH(I37,$B$3:$B$42,0)-1,L$2-1)=$I38,1,0)</f>
        <v>0</v>
      </c>
      <c r="M38" s="31">
        <f ca="1">IF(OFFSET($C$3,MATCH(I37,$B$3:$B$42,0)-1,M$2-1)=$I38,1,0)</f>
        <v>0</v>
      </c>
      <c r="N38" s="32">
        <f ca="1">IF(OFFSET($C$3,MATCH(I37,$B$3:$B$42,0)-1,N$2-1)=$I38,1,0)</f>
        <v>0</v>
      </c>
    </row>
    <row r="39" spans="2:67" x14ac:dyDescent="0.25">
      <c r="B39" s="20" t="s">
        <v>54</v>
      </c>
      <c r="C39" s="24"/>
      <c r="D39" s="25"/>
      <c r="E39" s="25"/>
      <c r="F39" s="25"/>
      <c r="G39" s="26"/>
      <c r="I39" s="39">
        <v>1</v>
      </c>
      <c r="J39" s="33">
        <f ca="1">IF(OFFSET($C$3,MATCH(I37,$B$3:$B$42,0)-1,J$2-1)=$I39,1,0)</f>
        <v>1</v>
      </c>
      <c r="K39" s="34">
        <f ca="1">IF(OFFSET($C$3,MATCH(I37,$B$3:$B$42,0)-1,K$2-1)=$I39,1,0)</f>
        <v>0</v>
      </c>
      <c r="L39" s="34">
        <f ca="1">IF(OFFSET($C$3,MATCH(I37,$B$3:$B$42,0)-1,L$2-1)=$I39,1,0)</f>
        <v>0</v>
      </c>
      <c r="M39" s="34">
        <f ca="1">IF(OFFSET($C$3,MATCH(I37,$B$3:$B$42,0)-1,M$2-1)=$I39,1,0)</f>
        <v>0</v>
      </c>
      <c r="N39" s="35">
        <f ca="1">IF(OFFSET($C$3,MATCH(I37,$B$3:$B$42,0)-1,N$2-1)=$I39,1,0)</f>
        <v>1</v>
      </c>
    </row>
    <row r="40" spans="2:67" ht="15.75" thickBot="1" x14ac:dyDescent="0.3">
      <c r="B40" s="20" t="s">
        <v>55</v>
      </c>
      <c r="C40" s="24"/>
      <c r="D40" s="25"/>
      <c r="E40" s="25"/>
      <c r="F40" s="25"/>
      <c r="G40" s="26"/>
      <c r="I40" s="39">
        <v>2</v>
      </c>
      <c r="J40" s="36">
        <f ca="1">IF(OFFSET($C$3,MATCH(I37,$B$3:$B$42,0)-1,J$2-1)=$I40,1,0)</f>
        <v>0</v>
      </c>
      <c r="K40" s="37">
        <f ca="1">IF(OFFSET($C$3,MATCH(I37,$B$3:$B$42,0)-1,K$2-1)=$I40,1,0)</f>
        <v>1</v>
      </c>
      <c r="L40" s="37">
        <f ca="1">IF(OFFSET($C$3,MATCH(I37,$B$3:$B$42,0)-1,L$2-1)=$I40,1,0)</f>
        <v>1</v>
      </c>
      <c r="M40" s="37">
        <f ca="1">IF(OFFSET($C$3,MATCH(I37,$B$3:$B$42,0)-1,M$2-1)=$I40,1,0)</f>
        <v>1</v>
      </c>
      <c r="N40" s="38">
        <f ca="1">IF(OFFSET($C$3,MATCH(I37,$B$3:$B$42,0)-1,N$2-1)=$I40,1,0)</f>
        <v>0</v>
      </c>
    </row>
    <row r="41" spans="2:67" x14ac:dyDescent="0.25">
      <c r="B41" s="20" t="s">
        <v>56</v>
      </c>
      <c r="C41" s="24"/>
      <c r="D41" s="25"/>
      <c r="E41" s="25"/>
      <c r="F41" s="25"/>
      <c r="G41" s="26"/>
    </row>
    <row r="42" spans="2:67" ht="15.75" thickBot="1" x14ac:dyDescent="0.3">
      <c r="B42" s="20" t="s">
        <v>57</v>
      </c>
      <c r="C42" s="27"/>
      <c r="D42" s="28"/>
      <c r="E42" s="28"/>
      <c r="F42" s="28"/>
      <c r="G42" s="29"/>
      <c r="I42" t="str">
        <f>MID(I37,1,5)&amp;MID(I37,6,2)+1</f>
        <v>Line_9</v>
      </c>
      <c r="O42" s="40">
        <f>VALUE(MID($I42,6,3))</f>
        <v>9</v>
      </c>
    </row>
    <row r="43" spans="2:67" x14ac:dyDescent="0.25">
      <c r="I43" s="39">
        <v>0</v>
      </c>
      <c r="J43" s="30">
        <f ca="1">IF(OFFSET($C$3,MATCH(I42,$B$3:$B$42,0)-1,J$2-1)=$I43,1,0)</f>
        <v>0</v>
      </c>
      <c r="K43" s="31">
        <f ca="1">IF(OFFSET($C$3,MATCH(I42,$B$3:$B$42,0)-1,K$2-1)=$I43,1,0)</f>
        <v>1</v>
      </c>
      <c r="L43" s="31">
        <f ca="1">IF(OFFSET($C$3,MATCH(I42,$B$3:$B$42,0)-1,L$2-1)=$I43,1,0)</f>
        <v>1</v>
      </c>
      <c r="M43" s="31">
        <f ca="1">IF(OFFSET($C$3,MATCH(I42,$B$3:$B$42,0)-1,M$2-1)=$I43,1,0)</f>
        <v>1</v>
      </c>
      <c r="N43" s="32">
        <f ca="1">IF(OFFSET($C$3,MATCH(I42,$B$3:$B$42,0)-1,N$2-1)=$I43,1,0)</f>
        <v>0</v>
      </c>
    </row>
    <row r="44" spans="2:67" x14ac:dyDescent="0.25">
      <c r="I44" s="39">
        <v>1</v>
      </c>
      <c r="J44" s="33">
        <f ca="1">IF(OFFSET($C$3,MATCH(I42,$B$3:$B$42,0)-1,J$2-1)=$I44,1,0)</f>
        <v>1</v>
      </c>
      <c r="K44" s="34">
        <f ca="1">IF(OFFSET($C$3,MATCH(I42,$B$3:$B$42,0)-1,K$2-1)=$I44,1,0)</f>
        <v>0</v>
      </c>
      <c r="L44" s="34">
        <f ca="1">IF(OFFSET($C$3,MATCH(I42,$B$3:$B$42,0)-1,L$2-1)=$I44,1,0)</f>
        <v>0</v>
      </c>
      <c r="M44" s="34">
        <f ca="1">IF(OFFSET($C$3,MATCH(I42,$B$3:$B$42,0)-1,M$2-1)=$I44,1,0)</f>
        <v>0</v>
      </c>
      <c r="N44" s="35">
        <f ca="1">IF(OFFSET($C$3,MATCH(I42,$B$3:$B$42,0)-1,N$2-1)=$I44,1,0)</f>
        <v>1</v>
      </c>
    </row>
    <row r="45" spans="2:67" ht="15.75" thickBot="1" x14ac:dyDescent="0.3">
      <c r="I45" s="39">
        <v>2</v>
      </c>
      <c r="J45" s="36">
        <f ca="1">IF(OFFSET($C$3,MATCH(I42,$B$3:$B$42,0)-1,J$2-1)=$I45,1,0)</f>
        <v>0</v>
      </c>
      <c r="K45" s="37">
        <f ca="1">IF(OFFSET($C$3,MATCH(I42,$B$3:$B$42,0)-1,K$2-1)=$I45,1,0)</f>
        <v>0</v>
      </c>
      <c r="L45" s="37">
        <f ca="1">IF(OFFSET($C$3,MATCH(I42,$B$3:$B$42,0)-1,L$2-1)=$I45,1,0)</f>
        <v>0</v>
      </c>
      <c r="M45" s="37">
        <f ca="1">IF(OFFSET($C$3,MATCH(I42,$B$3:$B$42,0)-1,M$2-1)=$I45,1,0)</f>
        <v>0</v>
      </c>
      <c r="N45" s="38">
        <f ca="1">IF(OFFSET($C$3,MATCH(I42,$B$3:$B$42,0)-1,N$2-1)=$I45,1,0)</f>
        <v>0</v>
      </c>
    </row>
    <row r="47" spans="2:67" ht="15.75" thickBot="1" x14ac:dyDescent="0.3">
      <c r="I47" t="str">
        <f>MID(I42,1,5)&amp;MID(I42,6,2)+1</f>
        <v>Line_10</v>
      </c>
      <c r="O47" s="40">
        <f>VALUE(MID($I47,6,3))</f>
        <v>10</v>
      </c>
    </row>
    <row r="48" spans="2:67" x14ac:dyDescent="0.25">
      <c r="I48" s="39">
        <v>0</v>
      </c>
      <c r="J48" s="30">
        <f ca="1">IF(OFFSET($C$3,MATCH(I47,$B$3:$B$42,0)-1,J$2-1)=$I48,1,0)</f>
        <v>1</v>
      </c>
      <c r="K48" s="31">
        <f ca="1">IF(OFFSET($C$3,MATCH(I47,$B$3:$B$42,0)-1,K$2-1)=$I48,1,0)</f>
        <v>0</v>
      </c>
      <c r="L48" s="31">
        <f ca="1">IF(OFFSET($C$3,MATCH(I47,$B$3:$B$42,0)-1,L$2-1)=$I48,1,0)</f>
        <v>0</v>
      </c>
      <c r="M48" s="31">
        <f ca="1">IF(OFFSET($C$3,MATCH(I47,$B$3:$B$42,0)-1,M$2-1)=$I48,1,0)</f>
        <v>0</v>
      </c>
      <c r="N48" s="32">
        <f ca="1">IF(OFFSET($C$3,MATCH(I47,$B$3:$B$42,0)-1,N$2-1)=$I48,1,0)</f>
        <v>1</v>
      </c>
    </row>
    <row r="49" spans="9:15" x14ac:dyDescent="0.25">
      <c r="I49" s="39">
        <v>1</v>
      </c>
      <c r="J49" s="33">
        <f ca="1">IF(OFFSET($C$3,MATCH(I47,$B$3:$B$42,0)-1,J$2-1)=$I49,1,0)</f>
        <v>0</v>
      </c>
      <c r="K49" s="34">
        <f ca="1">IF(OFFSET($C$3,MATCH(I47,$B$3:$B$42,0)-1,K$2-1)=$I49,1,0)</f>
        <v>1</v>
      </c>
      <c r="L49" s="34">
        <f ca="1">IF(OFFSET($C$3,MATCH(I47,$B$3:$B$42,0)-1,L$2-1)=$I49,1,0)</f>
        <v>1</v>
      </c>
      <c r="M49" s="34">
        <f ca="1">IF(OFFSET($C$3,MATCH(I47,$B$3:$B$42,0)-1,M$2-1)=$I49,1,0)</f>
        <v>1</v>
      </c>
      <c r="N49" s="35">
        <f ca="1">IF(OFFSET($C$3,MATCH(I47,$B$3:$B$42,0)-1,N$2-1)=$I49,1,0)</f>
        <v>0</v>
      </c>
    </row>
    <row r="50" spans="9:15" ht="15.75" thickBot="1" x14ac:dyDescent="0.3">
      <c r="I50" s="39">
        <v>2</v>
      </c>
      <c r="J50" s="36">
        <f ca="1">IF(OFFSET($C$3,MATCH(I47,$B$3:$B$42,0)-1,J$2-1)=$I50,1,0)</f>
        <v>0</v>
      </c>
      <c r="K50" s="37">
        <f ca="1">IF(OFFSET($C$3,MATCH(I47,$B$3:$B$42,0)-1,K$2-1)=$I50,1,0)</f>
        <v>0</v>
      </c>
      <c r="L50" s="37">
        <f ca="1">IF(OFFSET($C$3,MATCH(I47,$B$3:$B$42,0)-1,L$2-1)=$I50,1,0)</f>
        <v>0</v>
      </c>
      <c r="M50" s="37">
        <f ca="1">IF(OFFSET($C$3,MATCH(I47,$B$3:$B$42,0)-1,M$2-1)=$I50,1,0)</f>
        <v>0</v>
      </c>
      <c r="N50" s="38">
        <f ca="1">IF(OFFSET($C$3,MATCH(I47,$B$3:$B$42,0)-1,N$2-1)=$I50,1,0)</f>
        <v>0</v>
      </c>
    </row>
    <row r="52" spans="9:15" ht="15.75" thickBot="1" x14ac:dyDescent="0.3">
      <c r="I52" t="str">
        <f>MID(I47,1,5)&amp;MID(I47,6,2)+1</f>
        <v>Line_11</v>
      </c>
      <c r="O52" s="40">
        <f>VALUE(MID($I52,6,3))</f>
        <v>11</v>
      </c>
    </row>
    <row r="53" spans="9:15" x14ac:dyDescent="0.25">
      <c r="I53" s="39">
        <v>0</v>
      </c>
      <c r="J53" s="30">
        <f ca="1">IF(OFFSET($C$3,MATCH(I52,$B$3:$B$42,0)-1,J$2-1)=$I53,1,0)</f>
        <v>0</v>
      </c>
      <c r="K53" s="31">
        <f ca="1">IF(OFFSET($C$3,MATCH(I52,$B$3:$B$42,0)-1,K$2-1)=$I53,1,0)</f>
        <v>0</v>
      </c>
      <c r="L53" s="31">
        <f ca="1">IF(OFFSET($C$3,MATCH(I52,$B$3:$B$42,0)-1,L$2-1)=$I53,1,0)</f>
        <v>0</v>
      </c>
      <c r="M53" s="31">
        <f ca="1">IF(OFFSET($C$3,MATCH(I52,$B$3:$B$42,0)-1,M$2-1)=$I53,1,0)</f>
        <v>0</v>
      </c>
      <c r="N53" s="32">
        <f ca="1">IF(OFFSET($C$3,MATCH(I52,$B$3:$B$42,0)-1,N$2-1)=$I53,1,0)</f>
        <v>0</v>
      </c>
    </row>
    <row r="54" spans="9:15" x14ac:dyDescent="0.25">
      <c r="I54" s="39">
        <v>1</v>
      </c>
      <c r="J54" s="33">
        <f ca="1">IF(OFFSET($C$3,MATCH(I52,$B$3:$B$42,0)-1,J$2-1)=$I54,1,0)</f>
        <v>0</v>
      </c>
      <c r="K54" s="34">
        <f ca="1">IF(OFFSET($C$3,MATCH(I52,$B$3:$B$42,0)-1,K$2-1)=$I54,1,0)</f>
        <v>1</v>
      </c>
      <c r="L54" s="34">
        <f ca="1">IF(OFFSET($C$3,MATCH(I52,$B$3:$B$42,0)-1,L$2-1)=$I54,1,0)</f>
        <v>1</v>
      </c>
      <c r="M54" s="34">
        <f ca="1">IF(OFFSET($C$3,MATCH(I52,$B$3:$B$42,0)-1,M$2-1)=$I54,1,0)</f>
        <v>1</v>
      </c>
      <c r="N54" s="35">
        <f ca="1">IF(OFFSET($C$3,MATCH(I52,$B$3:$B$42,0)-1,N$2-1)=$I54,1,0)</f>
        <v>0</v>
      </c>
    </row>
    <row r="55" spans="9:15" ht="15.75" thickBot="1" x14ac:dyDescent="0.3">
      <c r="I55" s="39">
        <v>2</v>
      </c>
      <c r="J55" s="36">
        <f ca="1">IF(OFFSET($C$3,MATCH(I52,$B$3:$B$42,0)-1,J$2-1)=$I55,1,0)</f>
        <v>1</v>
      </c>
      <c r="K55" s="37">
        <f ca="1">IF(OFFSET($C$3,MATCH(I52,$B$3:$B$42,0)-1,K$2-1)=$I55,1,0)</f>
        <v>0</v>
      </c>
      <c r="L55" s="37">
        <f ca="1">IF(OFFSET($C$3,MATCH(I52,$B$3:$B$42,0)-1,L$2-1)=$I55,1,0)</f>
        <v>0</v>
      </c>
      <c r="M55" s="37">
        <f ca="1">IF(OFFSET($C$3,MATCH(I52,$B$3:$B$42,0)-1,M$2-1)=$I55,1,0)</f>
        <v>0</v>
      </c>
      <c r="N55" s="38">
        <f ca="1">IF(OFFSET($C$3,MATCH(I52,$B$3:$B$42,0)-1,N$2-1)=$I55,1,0)</f>
        <v>1</v>
      </c>
    </row>
    <row r="57" spans="9:15" ht="15.75" thickBot="1" x14ac:dyDescent="0.3">
      <c r="I57" t="str">
        <f>MID(I52,1,5)&amp;MID(I52,6,2)+1</f>
        <v>Line_12</v>
      </c>
      <c r="O57" s="40">
        <f>VALUE(MID($I57,6,3))</f>
        <v>12</v>
      </c>
    </row>
    <row r="58" spans="9:15" x14ac:dyDescent="0.25">
      <c r="I58" s="39">
        <v>0</v>
      </c>
      <c r="J58" s="30">
        <f ca="1">IF(OFFSET($C$3,MATCH(I57,$B$3:$B$42,0)-1,J$2-1)=$I58,1,0)</f>
        <v>0</v>
      </c>
      <c r="K58" s="31">
        <f ca="1">IF(OFFSET($C$3,MATCH(I57,$B$3:$B$42,0)-1,K$2-1)=$I58,1,0)</f>
        <v>0</v>
      </c>
      <c r="L58" s="31">
        <f ca="1">IF(OFFSET($C$3,MATCH(I57,$B$3:$B$42,0)-1,L$2-1)=$I58,1,0)</f>
        <v>0</v>
      </c>
      <c r="M58" s="31">
        <f ca="1">IF(OFFSET($C$3,MATCH(I57,$B$3:$B$42,0)-1,M$2-1)=$I58,1,0)</f>
        <v>1</v>
      </c>
      <c r="N58" s="32">
        <f ca="1">IF(OFFSET($C$3,MATCH(I57,$B$3:$B$42,0)-1,N$2-1)=$I58,1,0)</f>
        <v>0</v>
      </c>
    </row>
    <row r="59" spans="9:15" x14ac:dyDescent="0.25">
      <c r="I59" s="39">
        <v>1</v>
      </c>
      <c r="J59" s="33">
        <f ca="1">IF(OFFSET($C$3,MATCH(I57,$B$3:$B$42,0)-1,J$2-1)=$I59,1,0)</f>
        <v>1</v>
      </c>
      <c r="K59" s="34">
        <f ca="1">IF(OFFSET($C$3,MATCH(I57,$B$3:$B$42,0)-1,K$2-1)=$I59,1,0)</f>
        <v>0</v>
      </c>
      <c r="L59" s="34">
        <f ca="1">IF(OFFSET($C$3,MATCH(I57,$B$3:$B$42,0)-1,L$2-1)=$I59,1,0)</f>
        <v>1</v>
      </c>
      <c r="M59" s="34">
        <f ca="1">IF(OFFSET($C$3,MATCH(I57,$B$3:$B$42,0)-1,M$2-1)=$I59,1,0)</f>
        <v>0</v>
      </c>
      <c r="N59" s="35">
        <f ca="1">IF(OFFSET($C$3,MATCH(I57,$B$3:$B$42,0)-1,N$2-1)=$I59,1,0)</f>
        <v>1</v>
      </c>
    </row>
    <row r="60" spans="9:15" ht="15.75" thickBot="1" x14ac:dyDescent="0.3">
      <c r="I60" s="39">
        <v>2</v>
      </c>
      <c r="J60" s="36">
        <f ca="1">IF(OFFSET($C$3,MATCH(I57,$B$3:$B$42,0)-1,J$2-1)=$I60,1,0)</f>
        <v>0</v>
      </c>
      <c r="K60" s="37">
        <f ca="1">IF(OFFSET($C$3,MATCH(I57,$B$3:$B$42,0)-1,K$2-1)=$I60,1,0)</f>
        <v>1</v>
      </c>
      <c r="L60" s="37">
        <f ca="1">IF(OFFSET($C$3,MATCH(I57,$B$3:$B$42,0)-1,L$2-1)=$I60,1,0)</f>
        <v>0</v>
      </c>
      <c r="M60" s="37">
        <f ca="1">IF(OFFSET($C$3,MATCH(I57,$B$3:$B$42,0)-1,M$2-1)=$I60,1,0)</f>
        <v>0</v>
      </c>
      <c r="N60" s="38">
        <f ca="1">IF(OFFSET($C$3,MATCH(I57,$B$3:$B$42,0)-1,N$2-1)=$I60,1,0)</f>
        <v>0</v>
      </c>
    </row>
    <row r="62" spans="9:15" ht="15.75" thickBot="1" x14ac:dyDescent="0.3">
      <c r="I62" t="str">
        <f>MID(I57,1,5)&amp;MID(I57,6,2)+1</f>
        <v>Line_13</v>
      </c>
      <c r="O62" s="40">
        <f>VALUE(MID($I62,6,3))</f>
        <v>13</v>
      </c>
    </row>
    <row r="63" spans="9:15" x14ac:dyDescent="0.25">
      <c r="I63" s="39">
        <v>0</v>
      </c>
      <c r="J63" s="30">
        <f ca="1">IF(OFFSET($C$3,MATCH(I62,$B$3:$B$42,0)-1,J$2-1)=$I63,1,0)</f>
        <v>0</v>
      </c>
      <c r="K63" s="31">
        <f ca="1">IF(OFFSET($C$3,MATCH(I62,$B$3:$B$42,0)-1,K$2-1)=$I63,1,0)</f>
        <v>1</v>
      </c>
      <c r="L63" s="31">
        <f ca="1">IF(OFFSET($C$3,MATCH(I62,$B$3:$B$42,0)-1,L$2-1)=$I63,1,0)</f>
        <v>0</v>
      </c>
      <c r="M63" s="31">
        <f ca="1">IF(OFFSET($C$3,MATCH(I62,$B$3:$B$42,0)-1,M$2-1)=$I63,1,0)</f>
        <v>0</v>
      </c>
      <c r="N63" s="32">
        <f ca="1">IF(OFFSET($C$3,MATCH(I62,$B$3:$B$42,0)-1,N$2-1)=$I63,1,0)</f>
        <v>0</v>
      </c>
    </row>
    <row r="64" spans="9:15" x14ac:dyDescent="0.25">
      <c r="I64" s="39">
        <v>1</v>
      </c>
      <c r="J64" s="33">
        <f ca="1">IF(OFFSET($C$3,MATCH(I62,$B$3:$B$42,0)-1,J$2-1)=$I64,1,0)</f>
        <v>1</v>
      </c>
      <c r="K64" s="34">
        <f ca="1">IF(OFFSET($C$3,MATCH(I62,$B$3:$B$42,0)-1,K$2-1)=$I64,1,0)</f>
        <v>0</v>
      </c>
      <c r="L64" s="34">
        <f ca="1">IF(OFFSET($C$3,MATCH(I62,$B$3:$B$42,0)-1,L$2-1)=$I64,1,0)</f>
        <v>1</v>
      </c>
      <c r="M64" s="34">
        <f ca="1">IF(OFFSET($C$3,MATCH(I62,$B$3:$B$42,0)-1,M$2-1)=$I64,1,0)</f>
        <v>0</v>
      </c>
      <c r="N64" s="35">
        <f ca="1">IF(OFFSET($C$3,MATCH(I62,$B$3:$B$42,0)-1,N$2-1)=$I64,1,0)</f>
        <v>1</v>
      </c>
    </row>
    <row r="65" spans="9:15" ht="15.75" thickBot="1" x14ac:dyDescent="0.3">
      <c r="I65" s="39">
        <v>2</v>
      </c>
      <c r="J65" s="36">
        <f ca="1">IF(OFFSET($C$3,MATCH(I62,$B$3:$B$42,0)-1,J$2-1)=$I65,1,0)</f>
        <v>0</v>
      </c>
      <c r="K65" s="37">
        <f ca="1">IF(OFFSET($C$3,MATCH(I62,$B$3:$B$42,0)-1,K$2-1)=$I65,1,0)</f>
        <v>0</v>
      </c>
      <c r="L65" s="37">
        <f ca="1">IF(OFFSET($C$3,MATCH(I62,$B$3:$B$42,0)-1,L$2-1)=$I65,1,0)</f>
        <v>0</v>
      </c>
      <c r="M65" s="37">
        <f ca="1">IF(OFFSET($C$3,MATCH(I62,$B$3:$B$42,0)-1,M$2-1)=$I65,1,0)</f>
        <v>1</v>
      </c>
      <c r="N65" s="38">
        <f ca="1">IF(OFFSET($C$3,MATCH(I62,$B$3:$B$42,0)-1,N$2-1)=$I65,1,0)</f>
        <v>0</v>
      </c>
    </row>
    <row r="67" spans="9:15" ht="15.75" thickBot="1" x14ac:dyDescent="0.3">
      <c r="I67" t="str">
        <f>MID(I62,1,5)&amp;MID(I62,6,2)+1</f>
        <v>Line_14</v>
      </c>
      <c r="O67" s="40">
        <f>VALUE(MID($I67,6,3))</f>
        <v>14</v>
      </c>
    </row>
    <row r="68" spans="9:15" x14ac:dyDescent="0.25">
      <c r="I68" s="39">
        <v>0</v>
      </c>
      <c r="J68" s="30">
        <f ca="1">IF(OFFSET($C$3,MATCH(I67,$B$3:$B$42,0)-1,J$2-1)=$I68,1,0)</f>
        <v>1</v>
      </c>
      <c r="K68" s="31">
        <f ca="1">IF(OFFSET($C$3,MATCH(I67,$B$3:$B$42,0)-1,K$2-1)=$I68,1,0)</f>
        <v>0</v>
      </c>
      <c r="L68" s="31">
        <f ca="1">IF(OFFSET($C$3,MATCH(I67,$B$3:$B$42,0)-1,L$2-1)=$I68,1,0)</f>
        <v>1</v>
      </c>
      <c r="M68" s="31">
        <f ca="1">IF(OFFSET($C$3,MATCH(I67,$B$3:$B$42,0)-1,M$2-1)=$I68,1,0)</f>
        <v>0</v>
      </c>
      <c r="N68" s="32">
        <f ca="1">IF(OFFSET($C$3,MATCH(I67,$B$3:$B$42,0)-1,N$2-1)=$I68,1,0)</f>
        <v>1</v>
      </c>
    </row>
    <row r="69" spans="9:15" x14ac:dyDescent="0.25">
      <c r="I69" s="39">
        <v>1</v>
      </c>
      <c r="J69" s="33">
        <f ca="1">IF(OFFSET($C$3,MATCH(I67,$B$3:$B$42,0)-1,J$2-1)=$I69,1,0)</f>
        <v>0</v>
      </c>
      <c r="K69" s="34">
        <f ca="1">IF(OFFSET($C$3,MATCH(I67,$B$3:$B$42,0)-1,K$2-1)=$I69,1,0)</f>
        <v>1</v>
      </c>
      <c r="L69" s="34">
        <f ca="1">IF(OFFSET($C$3,MATCH(I67,$B$3:$B$42,0)-1,L$2-1)=$I69,1,0)</f>
        <v>0</v>
      </c>
      <c r="M69" s="34">
        <f ca="1">IF(OFFSET($C$3,MATCH(I67,$B$3:$B$42,0)-1,M$2-1)=$I69,1,0)</f>
        <v>1</v>
      </c>
      <c r="N69" s="35">
        <f ca="1">IF(OFFSET($C$3,MATCH(I67,$B$3:$B$42,0)-1,N$2-1)=$I69,1,0)</f>
        <v>0</v>
      </c>
    </row>
    <row r="70" spans="9:15" ht="15.75" thickBot="1" x14ac:dyDescent="0.3">
      <c r="I70" s="39">
        <v>2</v>
      </c>
      <c r="J70" s="36">
        <f ca="1">IF(OFFSET($C$3,MATCH(I67,$B$3:$B$42,0)-1,J$2-1)=$I70,1,0)</f>
        <v>0</v>
      </c>
      <c r="K70" s="37">
        <f ca="1">IF(OFFSET($C$3,MATCH(I67,$B$3:$B$42,0)-1,K$2-1)=$I70,1,0)</f>
        <v>0</v>
      </c>
      <c r="L70" s="37">
        <f ca="1">IF(OFFSET($C$3,MATCH(I67,$B$3:$B$42,0)-1,L$2-1)=$I70,1,0)</f>
        <v>0</v>
      </c>
      <c r="M70" s="37">
        <f ca="1">IF(OFFSET($C$3,MATCH(I67,$B$3:$B$42,0)-1,M$2-1)=$I70,1,0)</f>
        <v>0</v>
      </c>
      <c r="N70" s="38">
        <f ca="1">IF(OFFSET($C$3,MATCH(I67,$B$3:$B$42,0)-1,N$2-1)=$I70,1,0)</f>
        <v>0</v>
      </c>
    </row>
    <row r="72" spans="9:15" ht="15.75" thickBot="1" x14ac:dyDescent="0.3">
      <c r="I72" t="str">
        <f>MID(I67,1,5)&amp;MID(I67,6,2)+1</f>
        <v>Line_15</v>
      </c>
      <c r="O72" s="40">
        <f>VALUE(MID($I72,6,3))</f>
        <v>15</v>
      </c>
    </row>
    <row r="73" spans="9:15" x14ac:dyDescent="0.25">
      <c r="I73" s="39">
        <v>0</v>
      </c>
      <c r="J73" s="30">
        <f ca="1">IF(OFFSET($C$3,MATCH(I72,$B$3:$B$42,0)-1,J$2-1)=$I73,1,0)</f>
        <v>0</v>
      </c>
      <c r="K73" s="31">
        <f ca="1">IF(OFFSET($C$3,MATCH(I72,$B$3:$B$42,0)-1,K$2-1)=$I73,1,0)</f>
        <v>0</v>
      </c>
      <c r="L73" s="31">
        <f ca="1">IF(OFFSET($C$3,MATCH(I72,$B$3:$B$42,0)-1,L$2-1)=$I73,1,0)</f>
        <v>0</v>
      </c>
      <c r="M73" s="31">
        <f ca="1">IF(OFFSET($C$3,MATCH(I72,$B$3:$B$42,0)-1,M$2-1)=$I73,1,0)</f>
        <v>0</v>
      </c>
      <c r="N73" s="32">
        <f ca="1">IF(OFFSET($C$3,MATCH(I72,$B$3:$B$42,0)-1,N$2-1)=$I73,1,0)</f>
        <v>0</v>
      </c>
    </row>
    <row r="74" spans="9:15" x14ac:dyDescent="0.25">
      <c r="I74" s="39">
        <v>1</v>
      </c>
      <c r="J74" s="33">
        <f ca="1">IF(OFFSET($C$3,MATCH(I72,$B$3:$B$42,0)-1,J$2-1)=$I74,1,0)</f>
        <v>0</v>
      </c>
      <c r="K74" s="34">
        <f ca="1">IF(OFFSET($C$3,MATCH(I72,$B$3:$B$42,0)-1,K$2-1)=$I74,1,0)</f>
        <v>1</v>
      </c>
      <c r="L74" s="34">
        <f ca="1">IF(OFFSET($C$3,MATCH(I72,$B$3:$B$42,0)-1,L$2-1)=$I74,1,0)</f>
        <v>0</v>
      </c>
      <c r="M74" s="34">
        <f ca="1">IF(OFFSET($C$3,MATCH(I72,$B$3:$B$42,0)-1,M$2-1)=$I74,1,0)</f>
        <v>1</v>
      </c>
      <c r="N74" s="35">
        <f ca="1">IF(OFFSET($C$3,MATCH(I72,$B$3:$B$42,0)-1,N$2-1)=$I74,1,0)</f>
        <v>0</v>
      </c>
    </row>
    <row r="75" spans="9:15" ht="15.75" thickBot="1" x14ac:dyDescent="0.3">
      <c r="I75" s="39">
        <v>2</v>
      </c>
      <c r="J75" s="36">
        <f ca="1">IF(OFFSET($C$3,MATCH(I72,$B$3:$B$42,0)-1,J$2-1)=$I75,1,0)</f>
        <v>1</v>
      </c>
      <c r="K75" s="37">
        <f ca="1">IF(OFFSET($C$3,MATCH(I72,$B$3:$B$42,0)-1,K$2-1)=$I75,1,0)</f>
        <v>0</v>
      </c>
      <c r="L75" s="37">
        <f ca="1">IF(OFFSET($C$3,MATCH(I72,$B$3:$B$42,0)-1,L$2-1)=$I75,1,0)</f>
        <v>1</v>
      </c>
      <c r="M75" s="37">
        <f ca="1">IF(OFFSET($C$3,MATCH(I72,$B$3:$B$42,0)-1,M$2-1)=$I75,1,0)</f>
        <v>0</v>
      </c>
      <c r="N75" s="38">
        <f ca="1">IF(OFFSET($C$3,MATCH(I72,$B$3:$B$42,0)-1,N$2-1)=$I75,1,0)</f>
        <v>1</v>
      </c>
    </row>
    <row r="77" spans="9:15" ht="15.75" thickBot="1" x14ac:dyDescent="0.3">
      <c r="I77" t="str">
        <f>MID(I72,1,5)&amp;MID(I72,6,2)+1</f>
        <v>Line_16</v>
      </c>
      <c r="O77" s="40">
        <f>VALUE(MID($I77,6,3))</f>
        <v>16</v>
      </c>
    </row>
    <row r="78" spans="9:15" x14ac:dyDescent="0.25">
      <c r="I78" s="39">
        <v>0</v>
      </c>
      <c r="J78" s="30">
        <f ca="1">IF(OFFSET($C$3,MATCH(I77,$B$3:$B$42,0)-1,J$2-1)=$I78,1,0)</f>
        <v>0</v>
      </c>
      <c r="K78" s="31">
        <f ca="1">IF(OFFSET($C$3,MATCH(I77,$B$3:$B$42,0)-1,K$2-1)=$I78,1,0)</f>
        <v>0</v>
      </c>
      <c r="L78" s="31">
        <f ca="1">IF(OFFSET($C$3,MATCH(I77,$B$3:$B$42,0)-1,L$2-1)=$I78,1,0)</f>
        <v>0</v>
      </c>
      <c r="M78" s="31">
        <f ca="1">IF(OFFSET($C$3,MATCH(I77,$B$3:$B$42,0)-1,M$2-1)=$I78,1,0)</f>
        <v>0</v>
      </c>
      <c r="N78" s="32">
        <f ca="1">IF(OFFSET($C$3,MATCH(I77,$B$3:$B$42,0)-1,N$2-1)=$I78,1,0)</f>
        <v>0</v>
      </c>
    </row>
    <row r="79" spans="9:15" x14ac:dyDescent="0.25">
      <c r="I79" s="39">
        <v>1</v>
      </c>
      <c r="J79" s="33">
        <f ca="1">IF(OFFSET($C$3,MATCH(I77,$B$3:$B$42,0)-1,J$2-1)=$I79,1,0)</f>
        <v>1</v>
      </c>
      <c r="K79" s="34">
        <f ca="1">IF(OFFSET($C$3,MATCH(I77,$B$3:$B$42,0)-1,K$2-1)=$I79,1,0)</f>
        <v>1</v>
      </c>
      <c r="L79" s="34">
        <f ca="1">IF(OFFSET($C$3,MATCH(I77,$B$3:$B$42,0)-1,L$2-1)=$I79,1,0)</f>
        <v>0</v>
      </c>
      <c r="M79" s="34">
        <f ca="1">IF(OFFSET($C$3,MATCH(I77,$B$3:$B$42,0)-1,M$2-1)=$I79,1,0)</f>
        <v>1</v>
      </c>
      <c r="N79" s="35">
        <f ca="1">IF(OFFSET($C$3,MATCH(I77,$B$3:$B$42,0)-1,N$2-1)=$I79,1,0)</f>
        <v>1</v>
      </c>
    </row>
    <row r="80" spans="9:15" ht="15.75" thickBot="1" x14ac:dyDescent="0.3">
      <c r="I80" s="39">
        <v>2</v>
      </c>
      <c r="J80" s="36">
        <f ca="1">IF(OFFSET($C$3,MATCH(I77,$B$3:$B$42,0)-1,J$2-1)=$I80,1,0)</f>
        <v>0</v>
      </c>
      <c r="K80" s="37">
        <f ca="1">IF(OFFSET($C$3,MATCH(I77,$B$3:$B$42,0)-1,K$2-1)=$I80,1,0)</f>
        <v>0</v>
      </c>
      <c r="L80" s="37">
        <f ca="1">IF(OFFSET($C$3,MATCH(I77,$B$3:$B$42,0)-1,L$2-1)=$I80,1,0)</f>
        <v>1</v>
      </c>
      <c r="M80" s="37">
        <f ca="1">IF(OFFSET($C$3,MATCH(I77,$B$3:$B$42,0)-1,M$2-1)=$I80,1,0)</f>
        <v>0</v>
      </c>
      <c r="N80" s="38">
        <f ca="1">IF(OFFSET($C$3,MATCH(I77,$B$3:$B$42,0)-1,N$2-1)=$I80,1,0)</f>
        <v>0</v>
      </c>
    </row>
    <row r="82" spans="9:15" ht="15.75" thickBot="1" x14ac:dyDescent="0.3">
      <c r="I82" t="str">
        <f>MID(I77,1,5)&amp;MID(I77,6,2)+1</f>
        <v>Line_17</v>
      </c>
      <c r="O82" s="40">
        <f>VALUE(MID($I82,6,3))</f>
        <v>17</v>
      </c>
    </row>
    <row r="83" spans="9:15" x14ac:dyDescent="0.25">
      <c r="I83" s="39">
        <v>0</v>
      </c>
      <c r="J83" s="30">
        <f ca="1">IF(OFFSET($C$3,MATCH(I82,$B$3:$B$42,0)-1,J$2-1)=$I83,1,0)</f>
        <v>0</v>
      </c>
      <c r="K83" s="31">
        <f ca="1">IF(OFFSET($C$3,MATCH(I82,$B$3:$B$42,0)-1,K$2-1)=$I83,1,0)</f>
        <v>0</v>
      </c>
      <c r="L83" s="31">
        <f ca="1">IF(OFFSET($C$3,MATCH(I82,$B$3:$B$42,0)-1,L$2-1)=$I83,1,0)</f>
        <v>1</v>
      </c>
      <c r="M83" s="31">
        <f ca="1">IF(OFFSET($C$3,MATCH(I82,$B$3:$B$42,0)-1,M$2-1)=$I83,1,0)</f>
        <v>0</v>
      </c>
      <c r="N83" s="32">
        <f ca="1">IF(OFFSET($C$3,MATCH(I82,$B$3:$B$42,0)-1,N$2-1)=$I83,1,0)</f>
        <v>0</v>
      </c>
    </row>
    <row r="84" spans="9:15" x14ac:dyDescent="0.25">
      <c r="I84" s="39">
        <v>1</v>
      </c>
      <c r="J84" s="33">
        <f ca="1">IF(OFFSET($C$3,MATCH(I82,$B$3:$B$42,0)-1,J$2-1)=$I84,1,0)</f>
        <v>1</v>
      </c>
      <c r="K84" s="34">
        <f ca="1">IF(OFFSET($C$3,MATCH(I82,$B$3:$B$42,0)-1,K$2-1)=$I84,1,0)</f>
        <v>1</v>
      </c>
      <c r="L84" s="34">
        <f ca="1">IF(OFFSET($C$3,MATCH(I82,$B$3:$B$42,0)-1,L$2-1)=$I84,1,0)</f>
        <v>0</v>
      </c>
      <c r="M84" s="34">
        <f ca="1">IF(OFFSET($C$3,MATCH(I82,$B$3:$B$42,0)-1,M$2-1)=$I84,1,0)</f>
        <v>1</v>
      </c>
      <c r="N84" s="35">
        <f ca="1">IF(OFFSET($C$3,MATCH(I82,$B$3:$B$42,0)-1,N$2-1)=$I84,1,0)</f>
        <v>1</v>
      </c>
    </row>
    <row r="85" spans="9:15" ht="15.75" thickBot="1" x14ac:dyDescent="0.3">
      <c r="I85" s="39">
        <v>2</v>
      </c>
      <c r="J85" s="36">
        <f ca="1">IF(OFFSET($C$3,MATCH(I82,$B$3:$B$42,0)-1,J$2-1)=$I85,1,0)</f>
        <v>0</v>
      </c>
      <c r="K85" s="37">
        <f ca="1">IF(OFFSET($C$3,MATCH(I82,$B$3:$B$42,0)-1,K$2-1)=$I85,1,0)</f>
        <v>0</v>
      </c>
      <c r="L85" s="37">
        <f ca="1">IF(OFFSET($C$3,MATCH(I82,$B$3:$B$42,0)-1,L$2-1)=$I85,1,0)</f>
        <v>0</v>
      </c>
      <c r="M85" s="37">
        <f ca="1">IF(OFFSET($C$3,MATCH(I82,$B$3:$B$42,0)-1,M$2-1)=$I85,1,0)</f>
        <v>0</v>
      </c>
      <c r="N85" s="38">
        <f ca="1">IF(OFFSET($C$3,MATCH(I82,$B$3:$B$42,0)-1,N$2-1)=$I85,1,0)</f>
        <v>0</v>
      </c>
    </row>
    <row r="87" spans="9:15" ht="15.75" thickBot="1" x14ac:dyDescent="0.3">
      <c r="I87" t="str">
        <f>MID(I82,1,5)&amp;MID(I82,6,2)+1</f>
        <v>Line_18</v>
      </c>
      <c r="O87" s="40">
        <f>VALUE(MID($I87,6,3))</f>
        <v>18</v>
      </c>
    </row>
    <row r="88" spans="9:15" x14ac:dyDescent="0.25">
      <c r="I88" s="39">
        <v>0</v>
      </c>
      <c r="J88" s="30">
        <f ca="1">IF(OFFSET($C$3,MATCH(I87,$B$3:$B$42,0)-1,J$2-1)=$I88,1,0)</f>
        <v>1</v>
      </c>
      <c r="K88" s="31">
        <f ca="1">IF(OFFSET($C$3,MATCH(I87,$B$3:$B$42,0)-1,K$2-1)=$I88,1,0)</f>
        <v>0</v>
      </c>
      <c r="L88" s="31">
        <f ca="1">IF(OFFSET($C$3,MATCH(I87,$B$3:$B$42,0)-1,L$2-1)=$I88,1,0)</f>
        <v>1</v>
      </c>
      <c r="M88" s="31">
        <f ca="1">IF(OFFSET($C$3,MATCH(I87,$B$3:$B$42,0)-1,M$2-1)=$I88,1,0)</f>
        <v>0</v>
      </c>
      <c r="N88" s="32">
        <f ca="1">IF(OFFSET($C$3,MATCH(I87,$B$3:$B$42,0)-1,N$2-1)=$I88,1,0)</f>
        <v>1</v>
      </c>
    </row>
    <row r="89" spans="9:15" x14ac:dyDescent="0.25">
      <c r="I89" s="39">
        <v>1</v>
      </c>
      <c r="J89" s="33">
        <f ca="1">IF(OFFSET($C$3,MATCH(I87,$B$3:$B$42,0)-1,J$2-1)=$I89,1,0)</f>
        <v>0</v>
      </c>
      <c r="K89" s="34">
        <f ca="1">IF(OFFSET($C$3,MATCH(I87,$B$3:$B$42,0)-1,K$2-1)=$I89,1,0)</f>
        <v>0</v>
      </c>
      <c r="L89" s="34">
        <f ca="1">IF(OFFSET($C$3,MATCH(I87,$B$3:$B$42,0)-1,L$2-1)=$I89,1,0)</f>
        <v>0</v>
      </c>
      <c r="M89" s="34">
        <f ca="1">IF(OFFSET($C$3,MATCH(I87,$B$3:$B$42,0)-1,M$2-1)=$I89,1,0)</f>
        <v>0</v>
      </c>
      <c r="N89" s="35">
        <f ca="1">IF(OFFSET($C$3,MATCH(I87,$B$3:$B$42,0)-1,N$2-1)=$I89,1,0)</f>
        <v>0</v>
      </c>
    </row>
    <row r="90" spans="9:15" ht="15.75" thickBot="1" x14ac:dyDescent="0.3">
      <c r="I90" s="39">
        <v>2</v>
      </c>
      <c r="J90" s="36">
        <f ca="1">IF(OFFSET($C$3,MATCH(I87,$B$3:$B$42,0)-1,J$2-1)=$I90,1,0)</f>
        <v>0</v>
      </c>
      <c r="K90" s="37">
        <f ca="1">IF(OFFSET($C$3,MATCH(I87,$B$3:$B$42,0)-1,K$2-1)=$I90,1,0)</f>
        <v>1</v>
      </c>
      <c r="L90" s="37">
        <f ca="1">IF(OFFSET($C$3,MATCH(I87,$B$3:$B$42,0)-1,L$2-1)=$I90,1,0)</f>
        <v>0</v>
      </c>
      <c r="M90" s="37">
        <f ca="1">IF(OFFSET($C$3,MATCH(I87,$B$3:$B$42,0)-1,M$2-1)=$I90,1,0)</f>
        <v>1</v>
      </c>
      <c r="N90" s="38">
        <f ca="1">IF(OFFSET($C$3,MATCH(I87,$B$3:$B$42,0)-1,N$2-1)=$I90,1,0)</f>
        <v>0</v>
      </c>
    </row>
    <row r="92" spans="9:15" ht="15.75" thickBot="1" x14ac:dyDescent="0.3">
      <c r="I92" t="str">
        <f>MID(I87,1,5)&amp;MID(I87,6,2)+1</f>
        <v>Line_19</v>
      </c>
      <c r="O92" s="40">
        <f>VALUE(MID($I92,6,3))</f>
        <v>19</v>
      </c>
    </row>
    <row r="93" spans="9:15" x14ac:dyDescent="0.25">
      <c r="I93" s="39">
        <v>0</v>
      </c>
      <c r="J93" s="30">
        <f ca="1">IF(OFFSET($C$3,MATCH(I92,$B$3:$B$42,0)-1,J$2-1)=$I93,1,0)</f>
        <v>0</v>
      </c>
      <c r="K93" s="31">
        <f ca="1">IF(OFFSET($C$3,MATCH(I92,$B$3:$B$42,0)-1,K$2-1)=$I93,1,0)</f>
        <v>1</v>
      </c>
      <c r="L93" s="31">
        <f ca="1">IF(OFFSET($C$3,MATCH(I92,$B$3:$B$42,0)-1,L$2-1)=$I93,1,0)</f>
        <v>0</v>
      </c>
      <c r="M93" s="31">
        <f ca="1">IF(OFFSET($C$3,MATCH(I92,$B$3:$B$42,0)-1,M$2-1)=$I93,1,0)</f>
        <v>1</v>
      </c>
      <c r="N93" s="32">
        <f ca="1">IF(OFFSET($C$3,MATCH(I92,$B$3:$B$42,0)-1,N$2-1)=$I93,1,0)</f>
        <v>0</v>
      </c>
    </row>
    <row r="94" spans="9:15" x14ac:dyDescent="0.25">
      <c r="I94" s="39">
        <v>1</v>
      </c>
      <c r="J94" s="33">
        <f ca="1">IF(OFFSET($C$3,MATCH(I92,$B$3:$B$42,0)-1,J$2-1)=$I94,1,0)</f>
        <v>0</v>
      </c>
      <c r="K94" s="34">
        <f ca="1">IF(OFFSET($C$3,MATCH(I92,$B$3:$B$42,0)-1,K$2-1)=$I94,1,0)</f>
        <v>0</v>
      </c>
      <c r="L94" s="34">
        <f ca="1">IF(OFFSET($C$3,MATCH(I92,$B$3:$B$42,0)-1,L$2-1)=$I94,1,0)</f>
        <v>0</v>
      </c>
      <c r="M94" s="34">
        <f ca="1">IF(OFFSET($C$3,MATCH(I92,$B$3:$B$42,0)-1,M$2-1)=$I94,1,0)</f>
        <v>0</v>
      </c>
      <c r="N94" s="35">
        <f ca="1">IF(OFFSET($C$3,MATCH(I92,$B$3:$B$42,0)-1,N$2-1)=$I94,1,0)</f>
        <v>0</v>
      </c>
    </row>
    <row r="95" spans="9:15" ht="15.75" thickBot="1" x14ac:dyDescent="0.3">
      <c r="I95" s="39">
        <v>2</v>
      </c>
      <c r="J95" s="36">
        <f ca="1">IF(OFFSET($C$3,MATCH(I92,$B$3:$B$42,0)-1,J$2-1)=$I95,1,0)</f>
        <v>1</v>
      </c>
      <c r="K95" s="37">
        <f ca="1">IF(OFFSET($C$3,MATCH(I92,$B$3:$B$42,0)-1,K$2-1)=$I95,1,0)</f>
        <v>0</v>
      </c>
      <c r="L95" s="37">
        <f ca="1">IF(OFFSET($C$3,MATCH(I92,$B$3:$B$42,0)-1,L$2-1)=$I95,1,0)</f>
        <v>1</v>
      </c>
      <c r="M95" s="37">
        <f ca="1">IF(OFFSET($C$3,MATCH(I92,$B$3:$B$42,0)-1,M$2-1)=$I95,1,0)</f>
        <v>0</v>
      </c>
      <c r="N95" s="38">
        <f ca="1">IF(OFFSET($C$3,MATCH(I92,$B$3:$B$42,0)-1,N$2-1)=$I95,1,0)</f>
        <v>1</v>
      </c>
    </row>
    <row r="97" spans="9:15" ht="15.75" thickBot="1" x14ac:dyDescent="0.3">
      <c r="I97" t="str">
        <f>MID(I92,1,5)&amp;MID(I92,6,2)+1</f>
        <v>Line_20</v>
      </c>
      <c r="O97" s="40">
        <f>VALUE(MID($I97,6,3))</f>
        <v>20</v>
      </c>
    </row>
    <row r="98" spans="9:15" x14ac:dyDescent="0.25">
      <c r="I98" s="39">
        <v>0</v>
      </c>
      <c r="J98" s="30">
        <f ca="1">IF(OFFSET($C$3,MATCH(I97,$B$3:$B$42,0)-1,J$2-1)=$I98,1,0)</f>
        <v>0</v>
      </c>
      <c r="K98" s="31">
        <f ca="1">IF(OFFSET($C$3,MATCH(I97,$B$3:$B$42,0)-1,K$2-1)=$I98,1,0)</f>
        <v>1</v>
      </c>
      <c r="L98" s="31">
        <f ca="1">IF(OFFSET($C$3,MATCH(I97,$B$3:$B$42,0)-1,L$2-1)=$I98,1,0)</f>
        <v>0</v>
      </c>
      <c r="M98" s="31">
        <f ca="1">IF(OFFSET($C$3,MATCH(I97,$B$3:$B$42,0)-1,M$2-1)=$I98,1,0)</f>
        <v>1</v>
      </c>
      <c r="N98" s="32">
        <f ca="1">IF(OFFSET($C$3,MATCH(I97,$B$3:$B$42,0)-1,N$2-1)=$I98,1,0)</f>
        <v>0</v>
      </c>
    </row>
    <row r="99" spans="9:15" x14ac:dyDescent="0.25">
      <c r="I99" s="39">
        <v>1</v>
      </c>
      <c r="J99" s="33">
        <f ca="1">IF(OFFSET($C$3,MATCH(I97,$B$3:$B$42,0)-1,J$2-1)=$I99,1,0)</f>
        <v>1</v>
      </c>
      <c r="K99" s="34">
        <f ca="1">IF(OFFSET($C$3,MATCH(I97,$B$3:$B$42,0)-1,K$2-1)=$I99,1,0)</f>
        <v>0</v>
      </c>
      <c r="L99" s="34">
        <f ca="1">IF(OFFSET($C$3,MATCH(I97,$B$3:$B$42,0)-1,L$2-1)=$I99,1,0)</f>
        <v>0</v>
      </c>
      <c r="M99" s="34">
        <f ca="1">IF(OFFSET($C$3,MATCH(I97,$B$3:$B$42,0)-1,M$2-1)=$I99,1,0)</f>
        <v>0</v>
      </c>
      <c r="N99" s="35">
        <f ca="1">IF(OFFSET($C$3,MATCH(I97,$B$3:$B$42,0)-1,N$2-1)=$I99,1,0)</f>
        <v>1</v>
      </c>
    </row>
    <row r="100" spans="9:15" ht="15.75" thickBot="1" x14ac:dyDescent="0.3">
      <c r="I100" s="39">
        <v>2</v>
      </c>
      <c r="J100" s="36">
        <f ca="1">IF(OFFSET($C$3,MATCH(I97,$B$3:$B$42,0)-1,J$2-1)=$I100,1,0)</f>
        <v>0</v>
      </c>
      <c r="K100" s="37">
        <f ca="1">IF(OFFSET($C$3,MATCH(I97,$B$3:$B$42,0)-1,K$2-1)=$I100,1,0)</f>
        <v>0</v>
      </c>
      <c r="L100" s="37">
        <f ca="1">IF(OFFSET($C$3,MATCH(I97,$B$3:$B$42,0)-1,L$2-1)=$I100,1,0)</f>
        <v>1</v>
      </c>
      <c r="M100" s="37">
        <f ca="1">IF(OFFSET($C$3,MATCH(I97,$B$3:$B$42,0)-1,M$2-1)=$I100,1,0)</f>
        <v>0</v>
      </c>
      <c r="N100" s="38">
        <f ca="1">IF(OFFSET($C$3,MATCH(I97,$B$3:$B$42,0)-1,N$2-1)=$I100,1,0)</f>
        <v>0</v>
      </c>
    </row>
    <row r="102" spans="9:15" ht="15.75" thickBot="1" x14ac:dyDescent="0.3">
      <c r="I102" t="str">
        <f>MID(I97,1,5)&amp;MID(I97,6,2)+1</f>
        <v>Line_21</v>
      </c>
      <c r="O102" s="40">
        <f>VALUE(MID($I102,6,3))</f>
        <v>21</v>
      </c>
    </row>
    <row r="103" spans="9:15" x14ac:dyDescent="0.25">
      <c r="I103" s="39">
        <v>0</v>
      </c>
      <c r="J103" s="30">
        <f ca="1">IF(OFFSET($C$3,MATCH(I102,$B$3:$B$42,0)-1,J$2-1)=$I103,1,0)</f>
        <v>0</v>
      </c>
      <c r="K103" s="31">
        <f ca="1">IF(OFFSET($C$3,MATCH(I102,$B$3:$B$42,0)-1,K$2-1)=$I103,1,0)</f>
        <v>0</v>
      </c>
      <c r="L103" s="31">
        <f ca="1">IF(OFFSET($C$3,MATCH(I102,$B$3:$B$42,0)-1,L$2-1)=$I103,1,0)</f>
        <v>1</v>
      </c>
      <c r="M103" s="31">
        <f ca="1">IF(OFFSET($C$3,MATCH(I102,$B$3:$B$42,0)-1,M$2-1)=$I103,1,0)</f>
        <v>0</v>
      </c>
      <c r="N103" s="32">
        <f ca="1">IF(OFFSET($C$3,MATCH(I102,$B$3:$B$42,0)-1,N$2-1)=$I103,1,0)</f>
        <v>0</v>
      </c>
    </row>
    <row r="104" spans="9:15" x14ac:dyDescent="0.25">
      <c r="I104" s="39">
        <v>1</v>
      </c>
      <c r="J104" s="33">
        <f ca="1">IF(OFFSET($C$3,MATCH(I102,$B$3:$B$42,0)-1,J$2-1)=$I104,1,0)</f>
        <v>1</v>
      </c>
      <c r="K104" s="34">
        <f ca="1">IF(OFFSET($C$3,MATCH(I102,$B$3:$B$42,0)-1,K$2-1)=$I104,1,0)</f>
        <v>0</v>
      </c>
      <c r="L104" s="34">
        <f ca="1">IF(OFFSET($C$3,MATCH(I102,$B$3:$B$42,0)-1,L$2-1)=$I104,1,0)</f>
        <v>0</v>
      </c>
      <c r="M104" s="34">
        <f ca="1">IF(OFFSET($C$3,MATCH(I102,$B$3:$B$42,0)-1,M$2-1)=$I104,1,0)</f>
        <v>0</v>
      </c>
      <c r="N104" s="35">
        <f ca="1">IF(OFFSET($C$3,MATCH(I102,$B$3:$B$42,0)-1,N$2-1)=$I104,1,0)</f>
        <v>1</v>
      </c>
    </row>
    <row r="105" spans="9:15" ht="15.75" thickBot="1" x14ac:dyDescent="0.3">
      <c r="I105" s="39">
        <v>2</v>
      </c>
      <c r="J105" s="36">
        <f ca="1">IF(OFFSET($C$3,MATCH(I102,$B$3:$B$42,0)-1,J$2-1)=$I105,1,0)</f>
        <v>0</v>
      </c>
      <c r="K105" s="37">
        <f ca="1">IF(OFFSET($C$3,MATCH(I102,$B$3:$B$42,0)-1,K$2-1)=$I105,1,0)</f>
        <v>1</v>
      </c>
      <c r="L105" s="37">
        <f ca="1">IF(OFFSET($C$3,MATCH(I102,$B$3:$B$42,0)-1,L$2-1)=$I105,1,0)</f>
        <v>0</v>
      </c>
      <c r="M105" s="37">
        <f ca="1">IF(OFFSET($C$3,MATCH(I102,$B$3:$B$42,0)-1,M$2-1)=$I105,1,0)</f>
        <v>1</v>
      </c>
      <c r="N105" s="38">
        <f ca="1">IF(OFFSET($C$3,MATCH(I102,$B$3:$B$42,0)-1,N$2-1)=$I105,1,0)</f>
        <v>0</v>
      </c>
    </row>
    <row r="107" spans="9:15" ht="15.75" thickBot="1" x14ac:dyDescent="0.3">
      <c r="I107" t="str">
        <f>MID(I102,1,5)&amp;MID(I102,6,2)+1</f>
        <v>Line_22</v>
      </c>
      <c r="O107" s="40">
        <f>VALUE(MID($I107,6,3))</f>
        <v>22</v>
      </c>
    </row>
    <row r="108" spans="9:15" x14ac:dyDescent="0.25">
      <c r="I108" s="39">
        <v>0</v>
      </c>
      <c r="J108" s="30">
        <f ca="1">IF(OFFSET($C$3,MATCH(I107,$B$3:$B$42,0)-1,J$2-1)=$I108,1,0)</f>
        <v>1</v>
      </c>
      <c r="K108" s="31">
        <f ca="1">IF(OFFSET($C$3,MATCH(I107,$B$3:$B$42,0)-1,K$2-1)=$I108,1,0)</f>
        <v>1</v>
      </c>
      <c r="L108" s="31">
        <f ca="1">IF(OFFSET($C$3,MATCH(I107,$B$3:$B$42,0)-1,L$2-1)=$I108,1,0)</f>
        <v>0</v>
      </c>
      <c r="M108" s="31">
        <f ca="1">IF(OFFSET($C$3,MATCH(I107,$B$3:$B$42,0)-1,M$2-1)=$I108,1,0)</f>
        <v>1</v>
      </c>
      <c r="N108" s="32">
        <f ca="1">IF(OFFSET($C$3,MATCH(I107,$B$3:$B$42,0)-1,N$2-1)=$I108,1,0)</f>
        <v>1</v>
      </c>
    </row>
    <row r="109" spans="9:15" x14ac:dyDescent="0.25">
      <c r="I109" s="39">
        <v>1</v>
      </c>
      <c r="J109" s="33">
        <f ca="1">IF(OFFSET($C$3,MATCH(I107,$B$3:$B$42,0)-1,J$2-1)=$I109,1,0)</f>
        <v>0</v>
      </c>
      <c r="K109" s="34">
        <f ca="1">IF(OFFSET($C$3,MATCH(I107,$B$3:$B$42,0)-1,K$2-1)=$I109,1,0)</f>
        <v>0</v>
      </c>
      <c r="L109" s="34">
        <f ca="1">IF(OFFSET($C$3,MATCH(I107,$B$3:$B$42,0)-1,L$2-1)=$I109,1,0)</f>
        <v>0</v>
      </c>
      <c r="M109" s="34">
        <f ca="1">IF(OFFSET($C$3,MATCH(I107,$B$3:$B$42,0)-1,M$2-1)=$I109,1,0)</f>
        <v>0</v>
      </c>
      <c r="N109" s="35">
        <f ca="1">IF(OFFSET($C$3,MATCH(I107,$B$3:$B$42,0)-1,N$2-1)=$I109,1,0)</f>
        <v>0</v>
      </c>
    </row>
    <row r="110" spans="9:15" ht="15.75" thickBot="1" x14ac:dyDescent="0.3">
      <c r="I110" s="39">
        <v>2</v>
      </c>
      <c r="J110" s="36">
        <f ca="1">IF(OFFSET($C$3,MATCH(I107,$B$3:$B$42,0)-1,J$2-1)=$I110,1,0)</f>
        <v>0</v>
      </c>
      <c r="K110" s="37">
        <f ca="1">IF(OFFSET($C$3,MATCH(I107,$B$3:$B$42,0)-1,K$2-1)=$I110,1,0)</f>
        <v>0</v>
      </c>
      <c r="L110" s="37">
        <f ca="1">IF(OFFSET($C$3,MATCH(I107,$B$3:$B$42,0)-1,L$2-1)=$I110,1,0)</f>
        <v>1</v>
      </c>
      <c r="M110" s="37">
        <f ca="1">IF(OFFSET($C$3,MATCH(I107,$B$3:$B$42,0)-1,M$2-1)=$I110,1,0)</f>
        <v>0</v>
      </c>
      <c r="N110" s="38">
        <f ca="1">IF(OFFSET($C$3,MATCH(I107,$B$3:$B$42,0)-1,N$2-1)=$I110,1,0)</f>
        <v>0</v>
      </c>
    </row>
    <row r="112" spans="9:15" ht="15.75" thickBot="1" x14ac:dyDescent="0.3">
      <c r="I112" t="str">
        <f>MID(I107,1,5)&amp;MID(I107,6,2)+1</f>
        <v>Line_23</v>
      </c>
      <c r="O112" s="40">
        <f>VALUE(MID($I112,6,3))</f>
        <v>23</v>
      </c>
    </row>
    <row r="113" spans="9:15" x14ac:dyDescent="0.25">
      <c r="I113" s="39">
        <v>0</v>
      </c>
      <c r="J113" s="30">
        <f ca="1">IF(OFFSET($C$3,MATCH(I112,$B$3:$B$42,0)-1,J$2-1)=$I113,1,0)</f>
        <v>0</v>
      </c>
      <c r="K113" s="31">
        <f ca="1">IF(OFFSET($C$3,MATCH(I112,$B$3:$B$42,0)-1,K$2-1)=$I113,1,0)</f>
        <v>0</v>
      </c>
      <c r="L113" s="31">
        <f ca="1">IF(OFFSET($C$3,MATCH(I112,$B$3:$B$42,0)-1,L$2-1)=$I113,1,0)</f>
        <v>1</v>
      </c>
      <c r="M113" s="31">
        <f ca="1">IF(OFFSET($C$3,MATCH(I112,$B$3:$B$42,0)-1,M$2-1)=$I113,1,0)</f>
        <v>0</v>
      </c>
      <c r="N113" s="32">
        <f ca="1">IF(OFFSET($C$3,MATCH(I112,$B$3:$B$42,0)-1,N$2-1)=$I113,1,0)</f>
        <v>0</v>
      </c>
    </row>
    <row r="114" spans="9:15" x14ac:dyDescent="0.25">
      <c r="I114" s="39">
        <v>1</v>
      </c>
      <c r="J114" s="33">
        <f ca="1">IF(OFFSET($C$3,MATCH(I112,$B$3:$B$42,0)-1,J$2-1)=$I114,1,0)</f>
        <v>0</v>
      </c>
      <c r="K114" s="34">
        <f ca="1">IF(OFFSET($C$3,MATCH(I112,$B$3:$B$42,0)-1,K$2-1)=$I114,1,0)</f>
        <v>0</v>
      </c>
      <c r="L114" s="34">
        <f ca="1">IF(OFFSET($C$3,MATCH(I112,$B$3:$B$42,0)-1,L$2-1)=$I114,1,0)</f>
        <v>0</v>
      </c>
      <c r="M114" s="34">
        <f ca="1">IF(OFFSET($C$3,MATCH(I112,$B$3:$B$42,0)-1,M$2-1)=$I114,1,0)</f>
        <v>0</v>
      </c>
      <c r="N114" s="35">
        <f ca="1">IF(OFFSET($C$3,MATCH(I112,$B$3:$B$42,0)-1,N$2-1)=$I114,1,0)</f>
        <v>0</v>
      </c>
    </row>
    <row r="115" spans="9:15" ht="15.75" thickBot="1" x14ac:dyDescent="0.3">
      <c r="I115" s="39">
        <v>2</v>
      </c>
      <c r="J115" s="36">
        <f ca="1">IF(OFFSET($C$3,MATCH(I112,$B$3:$B$42,0)-1,J$2-1)=$I115,1,0)</f>
        <v>1</v>
      </c>
      <c r="K115" s="37">
        <f ca="1">IF(OFFSET($C$3,MATCH(I112,$B$3:$B$42,0)-1,K$2-1)=$I115,1,0)</f>
        <v>1</v>
      </c>
      <c r="L115" s="37">
        <f ca="1">IF(OFFSET($C$3,MATCH(I112,$B$3:$B$42,0)-1,L$2-1)=$I115,1,0)</f>
        <v>0</v>
      </c>
      <c r="M115" s="37">
        <f ca="1">IF(OFFSET($C$3,MATCH(I112,$B$3:$B$42,0)-1,M$2-1)=$I115,1,0)</f>
        <v>1</v>
      </c>
      <c r="N115" s="38">
        <f ca="1">IF(OFFSET($C$3,MATCH(I112,$B$3:$B$42,0)-1,N$2-1)=$I115,1,0)</f>
        <v>1</v>
      </c>
    </row>
    <row r="117" spans="9:15" ht="15.75" thickBot="1" x14ac:dyDescent="0.3">
      <c r="I117" t="str">
        <f>MID(I112,1,5)&amp;MID(I112,6,2)+1</f>
        <v>Line_24</v>
      </c>
      <c r="O117" s="40">
        <f>VALUE(MID($I117,6,3))</f>
        <v>24</v>
      </c>
    </row>
    <row r="118" spans="9:15" x14ac:dyDescent="0.25">
      <c r="I118" s="39">
        <v>0</v>
      </c>
      <c r="J118" s="30">
        <f ca="1">IF(OFFSET($C$3,MATCH(I117,$B$3:$B$42,0)-1,J$2-1)=$I118,1,0)</f>
        <v>1</v>
      </c>
      <c r="K118" s="31">
        <f ca="1">IF(OFFSET($C$3,MATCH(I117,$B$3:$B$42,0)-1,K$2-1)=$I118,1,0)</f>
        <v>0</v>
      </c>
      <c r="L118" s="31">
        <f ca="1">IF(OFFSET($C$3,MATCH(I117,$B$3:$B$42,0)-1,L$2-1)=$I118,1,0)</f>
        <v>0</v>
      </c>
      <c r="M118" s="31">
        <f ca="1">IF(OFFSET($C$3,MATCH(I117,$B$3:$B$42,0)-1,M$2-1)=$I118,1,0)</f>
        <v>0</v>
      </c>
      <c r="N118" s="32">
        <f ca="1">IF(OFFSET($C$3,MATCH(I117,$B$3:$B$42,0)-1,N$2-1)=$I118,1,0)</f>
        <v>1</v>
      </c>
    </row>
    <row r="119" spans="9:15" x14ac:dyDescent="0.25">
      <c r="I119" s="39">
        <v>1</v>
      </c>
      <c r="J119" s="33">
        <f ca="1">IF(OFFSET($C$3,MATCH(I117,$B$3:$B$42,0)-1,J$2-1)=$I119,1,0)</f>
        <v>0</v>
      </c>
      <c r="K119" s="34">
        <f ca="1">IF(OFFSET($C$3,MATCH(I117,$B$3:$B$42,0)-1,K$2-1)=$I119,1,0)</f>
        <v>0</v>
      </c>
      <c r="L119" s="34">
        <f ca="1">IF(OFFSET($C$3,MATCH(I117,$B$3:$B$42,0)-1,L$2-1)=$I119,1,0)</f>
        <v>0</v>
      </c>
      <c r="M119" s="34">
        <f ca="1">IF(OFFSET($C$3,MATCH(I117,$B$3:$B$42,0)-1,M$2-1)=$I119,1,0)</f>
        <v>0</v>
      </c>
      <c r="N119" s="35">
        <f ca="1">IF(OFFSET($C$3,MATCH(I117,$B$3:$B$42,0)-1,N$2-1)=$I119,1,0)</f>
        <v>0</v>
      </c>
    </row>
    <row r="120" spans="9:15" ht="15.75" thickBot="1" x14ac:dyDescent="0.3">
      <c r="I120" s="39">
        <v>2</v>
      </c>
      <c r="J120" s="36">
        <f ca="1">IF(OFFSET($C$3,MATCH(I117,$B$3:$B$42,0)-1,J$2-1)=$I120,1,0)</f>
        <v>0</v>
      </c>
      <c r="K120" s="37">
        <f ca="1">IF(OFFSET($C$3,MATCH(I117,$B$3:$B$42,0)-1,K$2-1)=$I120,1,0)</f>
        <v>1</v>
      </c>
      <c r="L120" s="37">
        <f ca="1">IF(OFFSET($C$3,MATCH(I117,$B$3:$B$42,0)-1,L$2-1)=$I120,1,0)</f>
        <v>1</v>
      </c>
      <c r="M120" s="37">
        <f ca="1">IF(OFFSET($C$3,MATCH(I117,$B$3:$B$42,0)-1,M$2-1)=$I120,1,0)</f>
        <v>1</v>
      </c>
      <c r="N120" s="38">
        <f ca="1">IF(OFFSET($C$3,MATCH(I117,$B$3:$B$42,0)-1,N$2-1)=$I120,1,0)</f>
        <v>0</v>
      </c>
    </row>
    <row r="122" spans="9:15" ht="15.75" thickBot="1" x14ac:dyDescent="0.3">
      <c r="I122" t="str">
        <f>MID(I117,1,5)&amp;MID(I117,6,2)+1</f>
        <v>Line_25</v>
      </c>
      <c r="O122" s="40">
        <f>VALUE(MID($I122,6,3))</f>
        <v>25</v>
      </c>
    </row>
    <row r="123" spans="9:15" x14ac:dyDescent="0.25">
      <c r="I123" s="39">
        <v>0</v>
      </c>
      <c r="J123" s="30">
        <f ca="1">IF(OFFSET($C$3,MATCH(I122,$B$3:$B$42,0)-1,J$2-1)=$I123,1,0)</f>
        <v>0</v>
      </c>
      <c r="K123" s="31">
        <f ca="1">IF(OFFSET($C$3,MATCH(I122,$B$3:$B$42,0)-1,K$2-1)=$I123,1,0)</f>
        <v>1</v>
      </c>
      <c r="L123" s="31">
        <f ca="1">IF(OFFSET($C$3,MATCH(I122,$B$3:$B$42,0)-1,L$2-1)=$I123,1,0)</f>
        <v>1</v>
      </c>
      <c r="M123" s="31">
        <f ca="1">IF(OFFSET($C$3,MATCH(I122,$B$3:$B$42,0)-1,M$2-1)=$I123,1,0)</f>
        <v>1</v>
      </c>
      <c r="N123" s="32">
        <f ca="1">IF(OFFSET($C$3,MATCH(I122,$B$3:$B$42,0)-1,N$2-1)=$I123,1,0)</f>
        <v>0</v>
      </c>
    </row>
    <row r="124" spans="9:15" x14ac:dyDescent="0.25">
      <c r="I124" s="39">
        <v>1</v>
      </c>
      <c r="J124" s="33">
        <f ca="1">IF(OFFSET($C$3,MATCH(I122,$B$3:$B$42,0)-1,J$2-1)=$I124,1,0)</f>
        <v>0</v>
      </c>
      <c r="K124" s="34">
        <f ca="1">IF(OFFSET($C$3,MATCH(I122,$B$3:$B$42,0)-1,K$2-1)=$I124,1,0)</f>
        <v>0</v>
      </c>
      <c r="L124" s="34">
        <f ca="1">IF(OFFSET($C$3,MATCH(I122,$B$3:$B$42,0)-1,L$2-1)=$I124,1,0)</f>
        <v>0</v>
      </c>
      <c r="M124" s="34">
        <f ca="1">IF(OFFSET($C$3,MATCH(I122,$B$3:$B$42,0)-1,M$2-1)=$I124,1,0)</f>
        <v>0</v>
      </c>
      <c r="N124" s="35">
        <f ca="1">IF(OFFSET($C$3,MATCH(I122,$B$3:$B$42,0)-1,N$2-1)=$I124,1,0)</f>
        <v>0</v>
      </c>
    </row>
    <row r="125" spans="9:15" ht="15.75" thickBot="1" x14ac:dyDescent="0.3">
      <c r="I125" s="39">
        <v>2</v>
      </c>
      <c r="J125" s="36">
        <f ca="1">IF(OFFSET($C$3,MATCH(I122,$B$3:$B$42,0)-1,J$2-1)=$I125,1,0)</f>
        <v>1</v>
      </c>
      <c r="K125" s="37">
        <f ca="1">IF(OFFSET($C$3,MATCH(I122,$B$3:$B$42,0)-1,K$2-1)=$I125,1,0)</f>
        <v>0</v>
      </c>
      <c r="L125" s="37">
        <f ca="1">IF(OFFSET($C$3,MATCH(I122,$B$3:$B$42,0)-1,L$2-1)=$I125,1,0)</f>
        <v>0</v>
      </c>
      <c r="M125" s="37">
        <f ca="1">IF(OFFSET($C$3,MATCH(I122,$B$3:$B$42,0)-1,M$2-1)=$I125,1,0)</f>
        <v>0</v>
      </c>
      <c r="N125" s="38">
        <f ca="1">IF(OFFSET($C$3,MATCH(I122,$B$3:$B$42,0)-1,N$2-1)=$I125,1,0)</f>
        <v>1</v>
      </c>
    </row>
    <row r="127" spans="9:15" ht="15.75" thickBot="1" x14ac:dyDescent="0.3">
      <c r="I127" t="str">
        <f>MID(I122,1,5)&amp;MID(I122,6,2)+1</f>
        <v>Line_26</v>
      </c>
      <c r="O127" s="40">
        <f>VALUE(MID($I127,6,3))</f>
        <v>26</v>
      </c>
    </row>
    <row r="128" spans="9:15" x14ac:dyDescent="0.25">
      <c r="I128" s="39">
        <v>0</v>
      </c>
      <c r="J128" s="30">
        <f ca="1">IF(OFFSET($C$3,MATCH(I127,$B$3:$B$42,0)-1,J$2-1)=$I128,1,0)</f>
        <v>1</v>
      </c>
      <c r="K128" s="31">
        <f ca="1">IF(OFFSET($C$3,MATCH(I127,$B$3:$B$42,0)-1,K$2-1)=$I128,1,0)</f>
        <v>1</v>
      </c>
      <c r="L128" s="31">
        <f ca="1">IF(OFFSET($C$3,MATCH(I127,$B$3:$B$42,0)-1,L$2-1)=$I128,1,0)</f>
        <v>0</v>
      </c>
      <c r="M128" s="31">
        <f ca="1">IF(OFFSET($C$3,MATCH(I127,$B$3:$B$42,0)-1,M$2-1)=$I128,1,0)</f>
        <v>1</v>
      </c>
      <c r="N128" s="32">
        <f ca="1">IF(OFFSET($C$3,MATCH(I127,$B$3:$B$42,0)-1,N$2-1)=$I128,1,0)</f>
        <v>1</v>
      </c>
    </row>
    <row r="129" spans="9:67" x14ac:dyDescent="0.25">
      <c r="I129" s="39">
        <v>1</v>
      </c>
      <c r="J129" s="33">
        <f ca="1">IF(OFFSET($C$3,MATCH(I127,$B$3:$B$42,0)-1,J$2-1)=$I129,1,0)</f>
        <v>0</v>
      </c>
      <c r="K129" s="34">
        <f ca="1">IF(OFFSET($C$3,MATCH(I127,$B$3:$B$42,0)-1,K$2-1)=$I129,1,0)</f>
        <v>0</v>
      </c>
      <c r="L129" s="34">
        <f ca="1">IF(OFFSET($C$3,MATCH(I127,$B$3:$B$42,0)-1,L$2-1)=$I129,1,0)</f>
        <v>1</v>
      </c>
      <c r="M129" s="34">
        <f ca="1">IF(OFFSET($C$3,MATCH(I127,$B$3:$B$42,0)-1,M$2-1)=$I129,1,0)</f>
        <v>0</v>
      </c>
      <c r="N129" s="35">
        <f ca="1">IF(OFFSET($C$3,MATCH(I127,$B$3:$B$42,0)-1,N$2-1)=$I129,1,0)</f>
        <v>0</v>
      </c>
    </row>
    <row r="130" spans="9:67" ht="15.75" thickBot="1" x14ac:dyDescent="0.3">
      <c r="I130" s="39">
        <v>2</v>
      </c>
      <c r="J130" s="36">
        <f ca="1">IF(OFFSET($C$3,MATCH(I127,$B$3:$B$42,0)-1,J$2-1)=$I130,1,0)</f>
        <v>0</v>
      </c>
      <c r="K130" s="37">
        <f ca="1">IF(OFFSET($C$3,MATCH(I127,$B$3:$B$42,0)-1,K$2-1)=$I130,1,0)</f>
        <v>0</v>
      </c>
      <c r="L130" s="37">
        <f ca="1">IF(OFFSET($C$3,MATCH(I127,$B$3:$B$42,0)-1,L$2-1)=$I130,1,0)</f>
        <v>0</v>
      </c>
      <c r="M130" s="37">
        <f ca="1">IF(OFFSET($C$3,MATCH(I127,$B$3:$B$42,0)-1,M$2-1)=$I130,1,0)</f>
        <v>0</v>
      </c>
      <c r="N130" s="38">
        <f ca="1">IF(OFFSET($C$3,MATCH(I127,$B$3:$B$42,0)-1,N$2-1)=$I130,1,0)</f>
        <v>0</v>
      </c>
    </row>
    <row r="132" spans="9:67" ht="15.75" thickBot="1" x14ac:dyDescent="0.3">
      <c r="I132" t="str">
        <f>MID(I127,1,5)&amp;MID(I127,6,2)+1</f>
        <v>Line_27</v>
      </c>
      <c r="O132" s="40">
        <f>VALUE(MID($I132,6,3))</f>
        <v>27</v>
      </c>
    </row>
    <row r="133" spans="9:67" x14ac:dyDescent="0.25">
      <c r="I133" s="39">
        <v>0</v>
      </c>
      <c r="J133" s="30">
        <f ca="1">IF(OFFSET($C$3,MATCH(I132,$B$3:$B$42,0)-1,J$2-1)=$I133,1,0)</f>
        <v>0</v>
      </c>
      <c r="K133" s="31">
        <f ca="1">IF(OFFSET($C$3,MATCH(I132,$B$3:$B$42,0)-1,K$2-1)=$I133,1,0)</f>
        <v>0</v>
      </c>
      <c r="L133" s="31">
        <f ca="1">IF(OFFSET($C$3,MATCH(I132,$B$3:$B$42,0)-1,L$2-1)=$I133,1,0)</f>
        <v>0</v>
      </c>
      <c r="M133" s="31">
        <f ca="1">IF(OFFSET($C$3,MATCH(I132,$B$3:$B$42,0)-1,M$2-1)=$I133,1,0)</f>
        <v>0</v>
      </c>
      <c r="N133" s="32">
        <f ca="1">IF(OFFSET($C$3,MATCH(I132,$B$3:$B$42,0)-1,N$2-1)=$I133,1,0)</f>
        <v>0</v>
      </c>
    </row>
    <row r="134" spans="9:67" x14ac:dyDescent="0.25">
      <c r="I134" s="39">
        <v>1</v>
      </c>
      <c r="J134" s="33">
        <f ca="1">IF(OFFSET($C$3,MATCH(I132,$B$3:$B$42,0)-1,J$2-1)=$I134,1,0)</f>
        <v>0</v>
      </c>
      <c r="K134" s="34">
        <f ca="1">IF(OFFSET($C$3,MATCH(I132,$B$3:$B$42,0)-1,K$2-1)=$I134,1,0)</f>
        <v>0</v>
      </c>
      <c r="L134" s="34">
        <f ca="1">IF(OFFSET($C$3,MATCH(I132,$B$3:$B$42,0)-1,L$2-1)=$I134,1,0)</f>
        <v>1</v>
      </c>
      <c r="M134" s="34">
        <f ca="1">IF(OFFSET($C$3,MATCH(I132,$B$3:$B$42,0)-1,M$2-1)=$I134,1,0)</f>
        <v>0</v>
      </c>
      <c r="N134" s="35">
        <f ca="1">IF(OFFSET($C$3,MATCH(I132,$B$3:$B$42,0)-1,N$2-1)=$I134,1,0)</f>
        <v>0</v>
      </c>
    </row>
    <row r="135" spans="9:67" ht="15.75" thickBot="1" x14ac:dyDescent="0.3">
      <c r="I135" s="39">
        <v>2</v>
      </c>
      <c r="J135" s="36">
        <f ca="1">IF(OFFSET($C$3,MATCH(I132,$B$3:$B$42,0)-1,J$2-1)=$I135,1,0)</f>
        <v>1</v>
      </c>
      <c r="K135" s="37">
        <f ca="1">IF(OFFSET($C$3,MATCH(I132,$B$3:$B$42,0)-1,K$2-1)=$I135,1,0)</f>
        <v>1</v>
      </c>
      <c r="L135" s="37">
        <f ca="1">IF(OFFSET($C$3,MATCH(I132,$B$3:$B$42,0)-1,L$2-1)=$I135,1,0)</f>
        <v>0</v>
      </c>
      <c r="M135" s="37">
        <f ca="1">IF(OFFSET($C$3,MATCH(I132,$B$3:$B$42,0)-1,M$2-1)=$I135,1,0)</f>
        <v>1</v>
      </c>
      <c r="N135" s="38">
        <f ca="1">IF(OFFSET($C$3,MATCH(I132,$B$3:$B$42,0)-1,N$2-1)=$I135,1,0)</f>
        <v>1</v>
      </c>
    </row>
    <row r="137" spans="9:67" ht="15.75" thickBot="1" x14ac:dyDescent="0.3">
      <c r="I137" t="str">
        <f>MID(I132,1,5)&amp;MID(I132,6,2)+1</f>
        <v>Line_28</v>
      </c>
      <c r="O137" s="40">
        <f>VALUE(MID($I137,6,3))</f>
        <v>28</v>
      </c>
    </row>
    <row r="138" spans="9:67" x14ac:dyDescent="0.25">
      <c r="I138" s="39">
        <v>0</v>
      </c>
      <c r="J138" s="30">
        <f ca="1">IF(OFFSET($C$3,MATCH(I137,$B$3:$B$42,0)-1,J$2-1)=$I138,1,0)</f>
        <v>1</v>
      </c>
      <c r="K138" s="31">
        <f ca="1">IF(OFFSET($C$3,MATCH(I137,$B$3:$B$42,0)-1,K$2-1)=$I138,1,0)</f>
        <v>0</v>
      </c>
      <c r="L138" s="31">
        <f ca="1">IF(OFFSET($C$3,MATCH(I137,$B$3:$B$42,0)-1,L$2-1)=$I138,1,0)</f>
        <v>0</v>
      </c>
      <c r="M138" s="31">
        <f ca="1">IF(OFFSET($C$3,MATCH(I137,$B$3:$B$42,0)-1,M$2-1)=$I138,1,0)</f>
        <v>0</v>
      </c>
      <c r="N138" s="32">
        <f ca="1">IF(OFFSET($C$3,MATCH(I137,$B$3:$B$42,0)-1,N$2-1)=$I138,1,0)</f>
        <v>1</v>
      </c>
    </row>
    <row r="139" spans="9:67" x14ac:dyDescent="0.25">
      <c r="I139" s="39">
        <v>1</v>
      </c>
      <c r="J139" s="33">
        <f ca="1">IF(OFFSET($C$3,MATCH(I137,$B$3:$B$42,0)-1,J$2-1)=$I139,1,0)</f>
        <v>0</v>
      </c>
      <c r="K139" s="34">
        <f ca="1">IF(OFFSET($C$3,MATCH(I137,$B$3:$B$42,0)-1,K$2-1)=$I139,1,0)</f>
        <v>0</v>
      </c>
      <c r="L139" s="34">
        <f ca="1">IF(OFFSET($C$3,MATCH(I137,$B$3:$B$42,0)-1,L$2-1)=$I139,1,0)</f>
        <v>1</v>
      </c>
      <c r="M139" s="34">
        <f ca="1">IF(OFFSET($C$3,MATCH(I137,$B$3:$B$42,0)-1,M$2-1)=$I139,1,0)</f>
        <v>0</v>
      </c>
      <c r="N139" s="35">
        <f ca="1">IF(OFFSET($C$3,MATCH(I137,$B$3:$B$42,0)-1,N$2-1)=$I139,1,0)</f>
        <v>0</v>
      </c>
    </row>
    <row r="140" spans="9:67" ht="15.75" thickBot="1" x14ac:dyDescent="0.3">
      <c r="I140" s="39">
        <v>2</v>
      </c>
      <c r="J140" s="36">
        <f ca="1">IF(OFFSET($C$3,MATCH(I137,$B$3:$B$42,0)-1,J$2-1)=$I140,1,0)</f>
        <v>0</v>
      </c>
      <c r="K140" s="37">
        <f ca="1">IF(OFFSET($C$3,MATCH(I137,$B$3:$B$42,0)-1,K$2-1)=$I140,1,0)</f>
        <v>1</v>
      </c>
      <c r="L140" s="37">
        <f ca="1">IF(OFFSET($C$3,MATCH(I137,$B$3:$B$42,0)-1,L$2-1)=$I140,1,0)</f>
        <v>0</v>
      </c>
      <c r="M140" s="37">
        <f ca="1">IF(OFFSET($C$3,MATCH(I137,$B$3:$B$42,0)-1,M$2-1)=$I140,1,0)</f>
        <v>1</v>
      </c>
      <c r="N140" s="38">
        <f ca="1">IF(OFFSET($C$3,MATCH(I137,$B$3:$B$42,0)-1,N$2-1)=$I140,1,0)</f>
        <v>0</v>
      </c>
    </row>
    <row r="141" spans="9:67" x14ac:dyDescent="0.25">
      <c r="S141" s="20"/>
      <c r="AD141" s="39"/>
      <c r="AE141" s="20"/>
      <c r="AF141" s="20"/>
      <c r="AG141" s="20"/>
      <c r="AH141" s="20"/>
      <c r="AI141" s="20"/>
      <c r="AT141" s="39"/>
      <c r="AU141" s="20"/>
      <c r="AV141" s="20"/>
      <c r="AW141" s="20"/>
      <c r="AX141" s="20"/>
      <c r="AY141" s="20"/>
      <c r="BJ141" s="39"/>
      <c r="BK141" s="20"/>
      <c r="BL141" s="20"/>
      <c r="BM141" s="20"/>
      <c r="BN141" s="20"/>
      <c r="BO141" s="32">
        <v>0</v>
      </c>
    </row>
    <row r="142" spans="9:67" ht="15.75" thickBot="1" x14ac:dyDescent="0.3">
      <c r="I142" t="str">
        <f>MID(I137,1,5)&amp;MID(I137,6,2)+1</f>
        <v>Line_29</v>
      </c>
      <c r="O142" s="40">
        <f>VALUE(MID($I142,6,3))</f>
        <v>29</v>
      </c>
      <c r="S142" s="42"/>
      <c r="AD142" s="39"/>
      <c r="AE142" s="42"/>
      <c r="AF142" s="42"/>
      <c r="AG142" s="42"/>
      <c r="AH142" s="42"/>
      <c r="AI142" s="42"/>
      <c r="AT142" s="39"/>
      <c r="AU142" s="42"/>
      <c r="AV142" s="42"/>
      <c r="AW142" s="42"/>
      <c r="AX142" s="42"/>
      <c r="AY142" s="42"/>
      <c r="BJ142" s="39"/>
      <c r="BK142" s="42"/>
      <c r="BL142" s="42"/>
      <c r="BM142" s="42"/>
      <c r="BN142" s="42"/>
      <c r="BO142" s="35">
        <v>0</v>
      </c>
    </row>
    <row r="143" spans="9:67" ht="15.75" thickBot="1" x14ac:dyDescent="0.3">
      <c r="I143" s="39">
        <v>0</v>
      </c>
      <c r="J143" s="30">
        <f ca="1">IF(OFFSET($C$3,MATCH(I142,$B$3:$B$42,0)-1,J$2-1)=$I143,1,0)</f>
        <v>0</v>
      </c>
      <c r="K143" s="31">
        <f ca="1">IF(OFFSET($C$3,MATCH(I142,$B$3:$B$42,0)-1,K$2-1)=$I143,1,0)</f>
        <v>1</v>
      </c>
      <c r="L143" s="31">
        <f ca="1">IF(OFFSET($C$3,MATCH(I142,$B$3:$B$42,0)-1,L$2-1)=$I143,1,0)</f>
        <v>0</v>
      </c>
      <c r="M143" s="31">
        <f ca="1">IF(OFFSET($C$3,MATCH(I142,$B$3:$B$42,0)-1,M$2-1)=$I143,1,0)</f>
        <v>1</v>
      </c>
      <c r="N143" s="32">
        <f ca="1">IF(OFFSET($C$3,MATCH(I142,$B$3:$B$42,0)-1,N$2-1)=$I143,1,0)</f>
        <v>0</v>
      </c>
      <c r="S143" s="20"/>
      <c r="AD143" s="39"/>
      <c r="AE143" s="20"/>
      <c r="AF143" s="20"/>
      <c r="AG143" s="20"/>
      <c r="AH143" s="20"/>
      <c r="AI143" s="20"/>
      <c r="AT143" s="39"/>
      <c r="AU143" s="20"/>
      <c r="AV143" s="20"/>
      <c r="AW143" s="20"/>
      <c r="AX143" s="20"/>
      <c r="AY143" s="20"/>
      <c r="BJ143" s="39"/>
      <c r="BK143" s="20"/>
      <c r="BL143" s="20"/>
      <c r="BM143" s="20"/>
      <c r="BN143" s="20"/>
      <c r="BO143" s="38">
        <v>1</v>
      </c>
    </row>
    <row r="144" spans="9:67" x14ac:dyDescent="0.25">
      <c r="I144" s="39">
        <v>1</v>
      </c>
      <c r="J144" s="33">
        <f ca="1">IF(OFFSET($C$3,MATCH(I142,$B$3:$B$42,0)-1,J$2-1)=$I144,1,0)</f>
        <v>0</v>
      </c>
      <c r="K144" s="34">
        <f ca="1">IF(OFFSET($C$3,MATCH(I142,$B$3:$B$42,0)-1,K$2-1)=$I144,1,0)</f>
        <v>0</v>
      </c>
      <c r="L144" s="34">
        <f ca="1">IF(OFFSET($C$3,MATCH(I142,$B$3:$B$42,0)-1,L$2-1)=$I144,1,0)</f>
        <v>1</v>
      </c>
      <c r="M144" s="34">
        <f ca="1">IF(OFFSET($C$3,MATCH(I142,$B$3:$B$42,0)-1,M$2-1)=$I144,1,0)</f>
        <v>0</v>
      </c>
      <c r="N144" s="35">
        <f ca="1">IF(OFFSET($C$3,MATCH(I142,$B$3:$B$42,0)-1,N$2-1)=$I144,1,0)</f>
        <v>0</v>
      </c>
    </row>
    <row r="145" spans="9:15" ht="15.75" thickBot="1" x14ac:dyDescent="0.3">
      <c r="I145" s="39">
        <v>2</v>
      </c>
      <c r="J145" s="36">
        <f ca="1">IF(OFFSET($C$3,MATCH(I142,$B$3:$B$42,0)-1,J$2-1)=$I145,1,0)</f>
        <v>1</v>
      </c>
      <c r="K145" s="37">
        <f ca="1">IF(OFFSET($C$3,MATCH(I142,$B$3:$B$42,0)-1,K$2-1)=$I145,1,0)</f>
        <v>0</v>
      </c>
      <c r="L145" s="37">
        <f ca="1">IF(OFFSET($C$3,MATCH(I142,$B$3:$B$42,0)-1,L$2-1)=$I145,1,0)</f>
        <v>0</v>
      </c>
      <c r="M145" s="37">
        <f ca="1">IF(OFFSET($C$3,MATCH(I142,$B$3:$B$42,0)-1,M$2-1)=$I145,1,0)</f>
        <v>0</v>
      </c>
      <c r="N145" s="38">
        <f ca="1">IF(OFFSET($C$3,MATCH(I142,$B$3:$B$42,0)-1,N$2-1)=$I145,1,0)</f>
        <v>1</v>
      </c>
    </row>
    <row r="147" spans="9:15" ht="15.75" thickBot="1" x14ac:dyDescent="0.3">
      <c r="I147" t="str">
        <f>MID(I142,1,5)&amp;MID(I142,6,2)+1</f>
        <v>Line_30</v>
      </c>
      <c r="O147" s="40">
        <f>VALUE(MID($I147,6,3))</f>
        <v>30</v>
      </c>
    </row>
    <row r="148" spans="9:15" x14ac:dyDescent="0.25">
      <c r="I148" s="39">
        <v>0</v>
      </c>
      <c r="J148" s="30">
        <f ca="1">IF(OFFSET($C$3,MATCH(I147,$B$3:$B$42,0)-1,J$2-1)=$I148,1,0)</f>
        <v>0</v>
      </c>
      <c r="K148" s="31">
        <f ca="1">IF(OFFSET($C$3,MATCH(I147,$B$3:$B$42,0)-1,K$2-1)=$I148,1,0)</f>
        <v>0</v>
      </c>
      <c r="L148" s="31">
        <f ca="1">IF(OFFSET($C$3,MATCH(I147,$B$3:$B$42,0)-1,L$2-1)=$I148,1,0)</f>
        <v>0</v>
      </c>
      <c r="M148" s="31">
        <f ca="1">IF(OFFSET($C$3,MATCH(I147,$B$3:$B$42,0)-1,M$2-1)=$I148,1,0)</f>
        <v>0</v>
      </c>
      <c r="N148" s="32">
        <f ca="1">IF(OFFSET($C$3,MATCH(I147,$B$3:$B$42,0)-1,N$2-1)=$I148,1,0)</f>
        <v>0</v>
      </c>
    </row>
    <row r="149" spans="9:15" x14ac:dyDescent="0.25">
      <c r="I149" s="39">
        <v>1</v>
      </c>
      <c r="J149" s="33">
        <f ca="1">IF(OFFSET($C$3,MATCH(I147,$B$3:$B$42,0)-1,J$2-1)=$I149,1,0)</f>
        <v>1</v>
      </c>
      <c r="K149" s="34">
        <f ca="1">IF(OFFSET($C$3,MATCH(I147,$B$3:$B$42,0)-1,K$2-1)=$I149,1,0)</f>
        <v>0</v>
      </c>
      <c r="L149" s="34">
        <f ca="1">IF(OFFSET($C$3,MATCH(I147,$B$3:$B$42,0)-1,L$2-1)=$I149,1,0)</f>
        <v>1</v>
      </c>
      <c r="M149" s="34">
        <f ca="1">IF(OFFSET($C$3,MATCH(I147,$B$3:$B$42,0)-1,M$2-1)=$I149,1,0)</f>
        <v>0</v>
      </c>
      <c r="N149" s="35">
        <f ca="1">IF(OFFSET($C$3,MATCH(I147,$B$3:$B$42,0)-1,N$2-1)=$I149,1,0)</f>
        <v>1</v>
      </c>
    </row>
    <row r="150" spans="9:15" ht="15.75" thickBot="1" x14ac:dyDescent="0.3">
      <c r="I150" s="39">
        <v>2</v>
      </c>
      <c r="J150" s="36">
        <f ca="1">IF(OFFSET($C$3,MATCH(I147,$B$3:$B$42,0)-1,J$2-1)=$I150,1,0)</f>
        <v>0</v>
      </c>
      <c r="K150" s="37">
        <f ca="1">IF(OFFSET($C$3,MATCH(I147,$B$3:$B$42,0)-1,K$2-1)=$I150,1,0)</f>
        <v>1</v>
      </c>
      <c r="L150" s="37">
        <f ca="1">IF(OFFSET($C$3,MATCH(I147,$B$3:$B$42,0)-1,L$2-1)=$I150,1,0)</f>
        <v>0</v>
      </c>
      <c r="M150" s="37">
        <f ca="1">IF(OFFSET($C$3,MATCH(I147,$B$3:$B$42,0)-1,M$2-1)=$I150,1,0)</f>
        <v>1</v>
      </c>
      <c r="N150" s="38">
        <f ca="1">IF(OFFSET($C$3,MATCH(I147,$B$3:$B$42,0)-1,N$2-1)=$I150,1,0)</f>
        <v>0</v>
      </c>
    </row>
    <row r="152" spans="9:15" ht="15.75" thickBot="1" x14ac:dyDescent="0.3">
      <c r="I152" t="str">
        <f>MID(I147,1,5)&amp;MID(I147,6,2)+1</f>
        <v>Line_31</v>
      </c>
      <c r="O152" s="40">
        <f>VALUE(MID($I152,6,3))</f>
        <v>31</v>
      </c>
    </row>
    <row r="153" spans="9:15" x14ac:dyDescent="0.25">
      <c r="I153" s="39">
        <v>0</v>
      </c>
      <c r="J153" s="30">
        <f ca="1">IF(OFFSET($C$3,MATCH(I152,$B$3:$B$42,0)-1,J$2-1)=$I153,1,0)</f>
        <v>1</v>
      </c>
      <c r="K153" s="31">
        <f ca="1">IF(OFFSET($C$3,MATCH(I152,$B$3:$B$42,0)-1,K$2-1)=$I153,1,0)</f>
        <v>1</v>
      </c>
      <c r="L153" s="31">
        <f ca="1">IF(OFFSET($C$3,MATCH(I152,$B$3:$B$42,0)-1,L$2-1)=$I153,1,0)</f>
        <v>1</v>
      </c>
      <c r="M153" s="31">
        <f ca="1">IF(OFFSET($C$3,MATCH(I152,$B$3:$B$42,0)-1,M$2-1)=$I153,1,0)</f>
        <v>1</v>
      </c>
      <c r="N153" s="32">
        <f ca="1">IF(OFFSET($C$3,MATCH(I152,$B$3:$B$42,0)-1,N$2-1)=$I153,1,0)</f>
        <v>1</v>
      </c>
    </row>
    <row r="154" spans="9:15" x14ac:dyDescent="0.25">
      <c r="I154" s="39">
        <v>1</v>
      </c>
      <c r="J154" s="33">
        <f ca="1">IF(OFFSET($C$3,MATCH(I152,$B$3:$B$42,0)-1,J$2-1)=$I154,1,0)</f>
        <v>0</v>
      </c>
      <c r="K154" s="34">
        <f ca="1">IF(OFFSET($C$3,MATCH(I152,$B$3:$B$42,0)-1,K$2-1)=$I154,1,0)</f>
        <v>0</v>
      </c>
      <c r="L154" s="34">
        <f ca="1">IF(OFFSET($C$3,MATCH(I152,$B$3:$B$42,0)-1,L$2-1)=$I154,1,0)</f>
        <v>0</v>
      </c>
      <c r="M154" s="34">
        <f ca="1">IF(OFFSET($C$3,MATCH(I152,$B$3:$B$42,0)-1,M$2-1)=$I154,1,0)</f>
        <v>0</v>
      </c>
      <c r="N154" s="35">
        <f ca="1">IF(OFFSET($C$3,MATCH(I152,$B$3:$B$42,0)-1,N$2-1)=$I154,1,0)</f>
        <v>0</v>
      </c>
    </row>
    <row r="155" spans="9:15" ht="15.75" thickBot="1" x14ac:dyDescent="0.3">
      <c r="I155" s="39">
        <v>2</v>
      </c>
      <c r="J155" s="36">
        <f ca="1">IF(OFFSET($C$3,MATCH(I152,$B$3:$B$42,0)-1,J$2-1)=$I155,1,0)</f>
        <v>0</v>
      </c>
      <c r="K155" s="37">
        <f ca="1">IF(OFFSET($C$3,MATCH(I152,$B$3:$B$42,0)-1,K$2-1)=$I155,1,0)</f>
        <v>0</v>
      </c>
      <c r="L155" s="37">
        <f ca="1">IF(OFFSET($C$3,MATCH(I152,$B$3:$B$42,0)-1,L$2-1)=$I155,1,0)</f>
        <v>0</v>
      </c>
      <c r="M155" s="37">
        <f ca="1">IF(OFFSET($C$3,MATCH(I152,$B$3:$B$42,0)-1,M$2-1)=$I155,1,0)</f>
        <v>0</v>
      </c>
      <c r="N155" s="38">
        <f ca="1">IF(OFFSET($C$3,MATCH(I152,$B$3:$B$42,0)-1,N$2-1)=$I155,1,0)</f>
        <v>0</v>
      </c>
    </row>
    <row r="157" spans="9:15" ht="15.75" thickBot="1" x14ac:dyDescent="0.3">
      <c r="I157" t="str">
        <f>MID(I152,1,5)&amp;MID(I152,6,2)+1</f>
        <v>Line_32</v>
      </c>
      <c r="O157" s="40">
        <f>VALUE(MID($I157,6,3))</f>
        <v>32</v>
      </c>
    </row>
    <row r="158" spans="9:15" x14ac:dyDescent="0.25">
      <c r="I158" s="39">
        <v>0</v>
      </c>
      <c r="J158" s="30">
        <f ca="1">IF(OFFSET($C$3,MATCH(I157,$B$3:$B$42,0)-1,J$2-1)=$I158,1,0)</f>
        <v>1</v>
      </c>
      <c r="K158" s="31">
        <f ca="1">IF(OFFSET($C$3,MATCH(I157,$B$3:$B$42,0)-1,K$2-1)=$I158,1,0)</f>
        <v>1</v>
      </c>
      <c r="L158" s="31">
        <f ca="1">IF(OFFSET($C$3,MATCH(I157,$B$3:$B$42,0)-1,L$2-1)=$I158,1,0)</f>
        <v>1</v>
      </c>
      <c r="M158" s="31">
        <f ca="1">IF(OFFSET($C$3,MATCH(I157,$B$3:$B$42,0)-1,M$2-1)=$I158,1,0)</f>
        <v>1</v>
      </c>
      <c r="N158" s="32">
        <f ca="1">IF(OFFSET($C$3,MATCH(I157,$B$3:$B$42,0)-1,N$2-1)=$I158,1,0)</f>
        <v>1</v>
      </c>
    </row>
    <row r="159" spans="9:15" x14ac:dyDescent="0.25">
      <c r="I159" s="39">
        <v>1</v>
      </c>
      <c r="J159" s="33">
        <f ca="1">IF(OFFSET($C$3,MATCH(I157,$B$3:$B$42,0)-1,J$2-1)=$I159,1,0)</f>
        <v>0</v>
      </c>
      <c r="K159" s="34">
        <f ca="1">IF(OFFSET($C$3,MATCH(I157,$B$3:$B$42,0)-1,K$2-1)=$I159,1,0)</f>
        <v>0</v>
      </c>
      <c r="L159" s="34">
        <f ca="1">IF(OFFSET($C$3,MATCH(I157,$B$3:$B$42,0)-1,L$2-1)=$I159,1,0)</f>
        <v>0</v>
      </c>
      <c r="M159" s="34">
        <f ca="1">IF(OFFSET($C$3,MATCH(I157,$B$3:$B$42,0)-1,M$2-1)=$I159,1,0)</f>
        <v>0</v>
      </c>
      <c r="N159" s="35">
        <f ca="1">IF(OFFSET($C$3,MATCH(I157,$B$3:$B$42,0)-1,N$2-1)=$I159,1,0)</f>
        <v>0</v>
      </c>
    </row>
    <row r="160" spans="9:15" ht="15.75" thickBot="1" x14ac:dyDescent="0.3">
      <c r="I160" s="39">
        <v>2</v>
      </c>
      <c r="J160" s="36">
        <f ca="1">IF(OFFSET($C$3,MATCH(I157,$B$3:$B$42,0)-1,J$2-1)=$I160,1,0)</f>
        <v>0</v>
      </c>
      <c r="K160" s="37">
        <f ca="1">IF(OFFSET($C$3,MATCH(I157,$B$3:$B$42,0)-1,K$2-1)=$I160,1,0)</f>
        <v>0</v>
      </c>
      <c r="L160" s="37">
        <f ca="1">IF(OFFSET($C$3,MATCH(I157,$B$3:$B$42,0)-1,L$2-1)=$I160,1,0)</f>
        <v>0</v>
      </c>
      <c r="M160" s="37">
        <f ca="1">IF(OFFSET($C$3,MATCH(I157,$B$3:$B$42,0)-1,M$2-1)=$I160,1,0)</f>
        <v>0</v>
      </c>
      <c r="N160" s="38">
        <f ca="1">IF(OFFSET($C$3,MATCH(I157,$B$3:$B$42,0)-1,N$2-1)=$I160,1,0)</f>
        <v>0</v>
      </c>
    </row>
    <row r="162" spans="9:15" ht="15.75" thickBot="1" x14ac:dyDescent="0.3">
      <c r="I162" t="str">
        <f>MID(I157,1,5)&amp;MID(I157,6,2)+1</f>
        <v>Line_33</v>
      </c>
      <c r="O162" s="40">
        <f>VALUE(MID($I162,6,3))</f>
        <v>33</v>
      </c>
    </row>
    <row r="163" spans="9:15" x14ac:dyDescent="0.25">
      <c r="I163" s="39">
        <v>0</v>
      </c>
      <c r="J163" s="30">
        <f ca="1">IF(OFFSET($C$3,MATCH(I162,$B$3:$B$42,0)-1,J$2-1)=$I163,1,0)</f>
        <v>1</v>
      </c>
      <c r="K163" s="31">
        <f ca="1">IF(OFFSET($C$3,MATCH(I162,$B$3:$B$42,0)-1,K$2-1)=$I163,1,0)</f>
        <v>1</v>
      </c>
      <c r="L163" s="31">
        <f ca="1">IF(OFFSET($C$3,MATCH(I162,$B$3:$B$42,0)-1,L$2-1)=$I163,1,0)</f>
        <v>1</v>
      </c>
      <c r="M163" s="31">
        <f ca="1">IF(OFFSET($C$3,MATCH(I162,$B$3:$B$42,0)-1,M$2-1)=$I163,1,0)</f>
        <v>1</v>
      </c>
      <c r="N163" s="32">
        <f ca="1">IF(OFFSET($C$3,MATCH(I162,$B$3:$B$42,0)-1,N$2-1)=$I163,1,0)</f>
        <v>1</v>
      </c>
    </row>
    <row r="164" spans="9:15" x14ac:dyDescent="0.25">
      <c r="I164" s="39">
        <v>1</v>
      </c>
      <c r="J164" s="33">
        <f ca="1">IF(OFFSET($C$3,MATCH(I162,$B$3:$B$42,0)-1,J$2-1)=$I164,1,0)</f>
        <v>0</v>
      </c>
      <c r="K164" s="34">
        <f ca="1">IF(OFFSET($C$3,MATCH(I162,$B$3:$B$42,0)-1,K$2-1)=$I164,1,0)</f>
        <v>0</v>
      </c>
      <c r="L164" s="34">
        <f ca="1">IF(OFFSET($C$3,MATCH(I162,$B$3:$B$42,0)-1,L$2-1)=$I164,1,0)</f>
        <v>0</v>
      </c>
      <c r="M164" s="34">
        <f ca="1">IF(OFFSET($C$3,MATCH(I162,$B$3:$B$42,0)-1,M$2-1)=$I164,1,0)</f>
        <v>0</v>
      </c>
      <c r="N164" s="35">
        <f ca="1">IF(OFFSET($C$3,MATCH(I162,$B$3:$B$42,0)-1,N$2-1)=$I164,1,0)</f>
        <v>0</v>
      </c>
    </row>
    <row r="165" spans="9:15" ht="15.75" thickBot="1" x14ac:dyDescent="0.3">
      <c r="I165" s="39">
        <v>2</v>
      </c>
      <c r="J165" s="36">
        <f ca="1">IF(OFFSET($C$3,MATCH(I162,$B$3:$B$42,0)-1,J$2-1)=$I165,1,0)</f>
        <v>0</v>
      </c>
      <c r="K165" s="37">
        <f ca="1">IF(OFFSET($C$3,MATCH(I162,$B$3:$B$42,0)-1,K$2-1)=$I165,1,0)</f>
        <v>0</v>
      </c>
      <c r="L165" s="37">
        <f ca="1">IF(OFFSET($C$3,MATCH(I162,$B$3:$B$42,0)-1,L$2-1)=$I165,1,0)</f>
        <v>0</v>
      </c>
      <c r="M165" s="37">
        <f ca="1">IF(OFFSET($C$3,MATCH(I162,$B$3:$B$42,0)-1,M$2-1)=$I165,1,0)</f>
        <v>0</v>
      </c>
      <c r="N165" s="38">
        <f ca="1">IF(OFFSET($C$3,MATCH(I162,$B$3:$B$42,0)-1,N$2-1)=$I165,1,0)</f>
        <v>0</v>
      </c>
    </row>
    <row r="167" spans="9:15" ht="15.75" thickBot="1" x14ac:dyDescent="0.3">
      <c r="I167" t="str">
        <f>MID(I162,1,5)&amp;MID(I162,6,2)+1</f>
        <v>Line_34</v>
      </c>
      <c r="O167" s="40">
        <f>VALUE(MID($I167,6,3))</f>
        <v>34</v>
      </c>
    </row>
    <row r="168" spans="9:15" x14ac:dyDescent="0.25">
      <c r="I168" s="39">
        <v>0</v>
      </c>
      <c r="J168" s="30">
        <f ca="1">IF(OFFSET($C$3,MATCH(I167,$B$3:$B$42,0)-1,J$2-1)=$I168,1,0)</f>
        <v>1</v>
      </c>
      <c r="K168" s="31">
        <f ca="1">IF(OFFSET($C$3,MATCH(I167,$B$3:$B$42,0)-1,K$2-1)=$I168,1,0)</f>
        <v>1</v>
      </c>
      <c r="L168" s="31">
        <f ca="1">IF(OFFSET($C$3,MATCH(I167,$B$3:$B$42,0)-1,L$2-1)=$I168,1,0)</f>
        <v>1</v>
      </c>
      <c r="M168" s="31">
        <f ca="1">IF(OFFSET($C$3,MATCH(I167,$B$3:$B$42,0)-1,M$2-1)=$I168,1,0)</f>
        <v>1</v>
      </c>
      <c r="N168" s="32">
        <f ca="1">IF(OFFSET($C$3,MATCH(I167,$B$3:$B$42,0)-1,N$2-1)=$I168,1,0)</f>
        <v>1</v>
      </c>
    </row>
    <row r="169" spans="9:15" x14ac:dyDescent="0.25">
      <c r="I169" s="39">
        <v>1</v>
      </c>
      <c r="J169" s="33">
        <f ca="1">IF(OFFSET($C$3,MATCH(I167,$B$3:$B$42,0)-1,J$2-1)=$I169,1,0)</f>
        <v>0</v>
      </c>
      <c r="K169" s="34">
        <f ca="1">IF(OFFSET($C$3,MATCH(I167,$B$3:$B$42,0)-1,K$2-1)=$I169,1,0)</f>
        <v>0</v>
      </c>
      <c r="L169" s="34">
        <f ca="1">IF(OFFSET($C$3,MATCH(I167,$B$3:$B$42,0)-1,L$2-1)=$I169,1,0)</f>
        <v>0</v>
      </c>
      <c r="M169" s="34">
        <f ca="1">IF(OFFSET($C$3,MATCH(I167,$B$3:$B$42,0)-1,M$2-1)=$I169,1,0)</f>
        <v>0</v>
      </c>
      <c r="N169" s="35">
        <f ca="1">IF(OFFSET($C$3,MATCH(I167,$B$3:$B$42,0)-1,N$2-1)=$I169,1,0)</f>
        <v>0</v>
      </c>
    </row>
    <row r="170" spans="9:15" ht="15.75" thickBot="1" x14ac:dyDescent="0.3">
      <c r="I170" s="39">
        <v>2</v>
      </c>
      <c r="J170" s="36">
        <f ca="1">IF(OFFSET($C$3,MATCH(I167,$B$3:$B$42,0)-1,J$2-1)=$I170,1,0)</f>
        <v>0</v>
      </c>
      <c r="K170" s="37">
        <f ca="1">IF(OFFSET($C$3,MATCH(I167,$B$3:$B$42,0)-1,K$2-1)=$I170,1,0)</f>
        <v>0</v>
      </c>
      <c r="L170" s="37">
        <f ca="1">IF(OFFSET($C$3,MATCH(I167,$B$3:$B$42,0)-1,L$2-1)=$I170,1,0)</f>
        <v>0</v>
      </c>
      <c r="M170" s="37">
        <f ca="1">IF(OFFSET($C$3,MATCH(I167,$B$3:$B$42,0)-1,M$2-1)=$I170,1,0)</f>
        <v>0</v>
      </c>
      <c r="N170" s="38">
        <f ca="1">IF(OFFSET($C$3,MATCH(I167,$B$3:$B$42,0)-1,N$2-1)=$I170,1,0)</f>
        <v>0</v>
      </c>
    </row>
    <row r="172" spans="9:15" ht="15.75" thickBot="1" x14ac:dyDescent="0.3">
      <c r="I172" t="str">
        <f>MID(I167,1,5)&amp;MID(I167,6,2)+1</f>
        <v>Line_35</v>
      </c>
      <c r="O172" s="40">
        <f>VALUE(MID($I172,6,3))</f>
        <v>35</v>
      </c>
    </row>
    <row r="173" spans="9:15" x14ac:dyDescent="0.25">
      <c r="I173" s="39">
        <v>0</v>
      </c>
      <c r="J173" s="30">
        <f ca="1">IF(OFFSET($C$3,MATCH(I172,$B$3:$B$42,0)-1,J$2-1)=$I173,1,0)</f>
        <v>1</v>
      </c>
      <c r="K173" s="31">
        <f ca="1">IF(OFFSET($C$3,MATCH(I172,$B$3:$B$42,0)-1,K$2-1)=$I173,1,0)</f>
        <v>1</v>
      </c>
      <c r="L173" s="31">
        <f ca="1">IF(OFFSET($C$3,MATCH(I172,$B$3:$B$42,0)-1,L$2-1)=$I173,1,0)</f>
        <v>1</v>
      </c>
      <c r="M173" s="31">
        <f ca="1">IF(OFFSET($C$3,MATCH(I172,$B$3:$B$42,0)-1,M$2-1)=$I173,1,0)</f>
        <v>1</v>
      </c>
      <c r="N173" s="32">
        <f ca="1">IF(OFFSET($C$3,MATCH(I172,$B$3:$B$42,0)-1,N$2-1)=$I173,1,0)</f>
        <v>1</v>
      </c>
    </row>
    <row r="174" spans="9:15" x14ac:dyDescent="0.25">
      <c r="I174" s="39">
        <v>1</v>
      </c>
      <c r="J174" s="33">
        <f ca="1">IF(OFFSET($C$3,MATCH(I172,$B$3:$B$42,0)-1,J$2-1)=$I174,1,0)</f>
        <v>0</v>
      </c>
      <c r="K174" s="34">
        <f ca="1">IF(OFFSET($C$3,MATCH(I172,$B$3:$B$42,0)-1,K$2-1)=$I174,1,0)</f>
        <v>0</v>
      </c>
      <c r="L174" s="34">
        <f ca="1">IF(OFFSET($C$3,MATCH(I172,$B$3:$B$42,0)-1,L$2-1)=$I174,1,0)</f>
        <v>0</v>
      </c>
      <c r="M174" s="34">
        <f ca="1">IF(OFFSET($C$3,MATCH(I172,$B$3:$B$42,0)-1,M$2-1)=$I174,1,0)</f>
        <v>0</v>
      </c>
      <c r="N174" s="35">
        <f ca="1">IF(OFFSET($C$3,MATCH(I172,$B$3:$B$42,0)-1,N$2-1)=$I174,1,0)</f>
        <v>0</v>
      </c>
    </row>
    <row r="175" spans="9:15" ht="15.75" thickBot="1" x14ac:dyDescent="0.3">
      <c r="I175" s="39">
        <v>2</v>
      </c>
      <c r="J175" s="36">
        <f ca="1">IF(OFFSET($C$3,MATCH(I172,$B$3:$B$42,0)-1,J$2-1)=$I175,1,0)</f>
        <v>0</v>
      </c>
      <c r="K175" s="37">
        <f ca="1">IF(OFFSET($C$3,MATCH(I172,$B$3:$B$42,0)-1,K$2-1)=$I175,1,0)</f>
        <v>0</v>
      </c>
      <c r="L175" s="37">
        <f ca="1">IF(OFFSET($C$3,MATCH(I172,$B$3:$B$42,0)-1,L$2-1)=$I175,1,0)</f>
        <v>0</v>
      </c>
      <c r="M175" s="37">
        <f ca="1">IF(OFFSET($C$3,MATCH(I172,$B$3:$B$42,0)-1,M$2-1)=$I175,1,0)</f>
        <v>0</v>
      </c>
      <c r="N175" s="38">
        <f ca="1">IF(OFFSET($C$3,MATCH(I172,$B$3:$B$42,0)-1,N$2-1)=$I175,1,0)</f>
        <v>0</v>
      </c>
    </row>
    <row r="177" spans="9:15" ht="15.75" thickBot="1" x14ac:dyDescent="0.3">
      <c r="I177" t="str">
        <f>MID(I172,1,5)&amp;MID(I172,6,2)+1</f>
        <v>Line_36</v>
      </c>
      <c r="O177" s="40">
        <f>VALUE(MID($I177,6,3))</f>
        <v>36</v>
      </c>
    </row>
    <row r="178" spans="9:15" x14ac:dyDescent="0.25">
      <c r="I178" s="39">
        <v>0</v>
      </c>
      <c r="J178" s="30">
        <f ca="1">IF(OFFSET($C$3,MATCH(I177,$B$3:$B$42,0)-1,J$2-1)=$I178,1,0)</f>
        <v>1</v>
      </c>
      <c r="K178" s="31">
        <f ca="1">IF(OFFSET($C$3,MATCH(I177,$B$3:$B$42,0)-1,K$2-1)=$I178,1,0)</f>
        <v>1</v>
      </c>
      <c r="L178" s="31">
        <f ca="1">IF(OFFSET($C$3,MATCH(I177,$B$3:$B$42,0)-1,L$2-1)=$I178,1,0)</f>
        <v>1</v>
      </c>
      <c r="M178" s="31">
        <f ca="1">IF(OFFSET($C$3,MATCH(I177,$B$3:$B$42,0)-1,M$2-1)=$I178,1,0)</f>
        <v>1</v>
      </c>
      <c r="N178" s="32">
        <f ca="1">IF(OFFSET($C$3,MATCH(I177,$B$3:$B$42,0)-1,N$2-1)=$I178,1,0)</f>
        <v>1</v>
      </c>
    </row>
    <row r="179" spans="9:15" x14ac:dyDescent="0.25">
      <c r="I179" s="39">
        <v>1</v>
      </c>
      <c r="J179" s="33">
        <f ca="1">IF(OFFSET($C$3,MATCH(I177,$B$3:$B$42,0)-1,J$2-1)=$I179,1,0)</f>
        <v>0</v>
      </c>
      <c r="K179" s="34">
        <f ca="1">IF(OFFSET($C$3,MATCH(I177,$B$3:$B$42,0)-1,K$2-1)=$I179,1,0)</f>
        <v>0</v>
      </c>
      <c r="L179" s="34">
        <f ca="1">IF(OFFSET($C$3,MATCH(I177,$B$3:$B$42,0)-1,L$2-1)=$I179,1,0)</f>
        <v>0</v>
      </c>
      <c r="M179" s="34">
        <f ca="1">IF(OFFSET($C$3,MATCH(I177,$B$3:$B$42,0)-1,M$2-1)=$I179,1,0)</f>
        <v>0</v>
      </c>
      <c r="N179" s="35">
        <f ca="1">IF(OFFSET($C$3,MATCH(I177,$B$3:$B$42,0)-1,N$2-1)=$I179,1,0)</f>
        <v>0</v>
      </c>
    </row>
    <row r="180" spans="9:15" ht="15.75" thickBot="1" x14ac:dyDescent="0.3">
      <c r="I180" s="39">
        <v>2</v>
      </c>
      <c r="J180" s="36">
        <f ca="1">IF(OFFSET($C$3,MATCH(I177,$B$3:$B$42,0)-1,J$2-1)=$I180,1,0)</f>
        <v>0</v>
      </c>
      <c r="K180" s="37">
        <f ca="1">IF(OFFSET($C$3,MATCH(I177,$B$3:$B$42,0)-1,K$2-1)=$I180,1,0)</f>
        <v>0</v>
      </c>
      <c r="L180" s="37">
        <f ca="1">IF(OFFSET($C$3,MATCH(I177,$B$3:$B$42,0)-1,L$2-1)=$I180,1,0)</f>
        <v>0</v>
      </c>
      <c r="M180" s="37">
        <f ca="1">IF(OFFSET($C$3,MATCH(I177,$B$3:$B$42,0)-1,M$2-1)=$I180,1,0)</f>
        <v>0</v>
      </c>
      <c r="N180" s="38">
        <f ca="1">IF(OFFSET($C$3,MATCH(I177,$B$3:$B$42,0)-1,N$2-1)=$I180,1,0)</f>
        <v>0</v>
      </c>
    </row>
    <row r="182" spans="9:15" ht="15.75" thickBot="1" x14ac:dyDescent="0.3">
      <c r="I182" t="str">
        <f>MID(I177,1,5)&amp;MID(I177,6,2)+1</f>
        <v>Line_37</v>
      </c>
      <c r="O182" s="40">
        <f>VALUE(MID($I182,6,3))</f>
        <v>37</v>
      </c>
    </row>
    <row r="183" spans="9:15" x14ac:dyDescent="0.25">
      <c r="I183" s="39">
        <v>0</v>
      </c>
      <c r="J183" s="30">
        <f ca="1">IF(OFFSET($C$3,MATCH(I182,$B$3:$B$42,0)-1,J$2-1)=$I183,1,0)</f>
        <v>1</v>
      </c>
      <c r="K183" s="31">
        <f ca="1">IF(OFFSET($C$3,MATCH(I182,$B$3:$B$42,0)-1,K$2-1)=$I183,1,0)</f>
        <v>1</v>
      </c>
      <c r="L183" s="31">
        <f ca="1">IF(OFFSET($C$3,MATCH(I182,$B$3:$B$42,0)-1,L$2-1)=$I183,1,0)</f>
        <v>1</v>
      </c>
      <c r="M183" s="31">
        <f ca="1">IF(OFFSET($C$3,MATCH(I182,$B$3:$B$42,0)-1,M$2-1)=$I183,1,0)</f>
        <v>1</v>
      </c>
      <c r="N183" s="32">
        <f ca="1">IF(OFFSET($C$3,MATCH(I182,$B$3:$B$42,0)-1,N$2-1)=$I183,1,0)</f>
        <v>1</v>
      </c>
    </row>
    <row r="184" spans="9:15" x14ac:dyDescent="0.25">
      <c r="I184" s="39">
        <v>1</v>
      </c>
      <c r="J184" s="33">
        <f ca="1">IF(OFFSET($C$3,MATCH(I182,$B$3:$B$42,0)-1,J$2-1)=$I184,1,0)</f>
        <v>0</v>
      </c>
      <c r="K184" s="34">
        <f ca="1">IF(OFFSET($C$3,MATCH(I182,$B$3:$B$42,0)-1,K$2-1)=$I184,1,0)</f>
        <v>0</v>
      </c>
      <c r="L184" s="34">
        <f ca="1">IF(OFFSET($C$3,MATCH(I182,$B$3:$B$42,0)-1,L$2-1)=$I184,1,0)</f>
        <v>0</v>
      </c>
      <c r="M184" s="34">
        <f ca="1">IF(OFFSET($C$3,MATCH(I182,$B$3:$B$42,0)-1,M$2-1)=$I184,1,0)</f>
        <v>0</v>
      </c>
      <c r="N184" s="35">
        <f ca="1">IF(OFFSET($C$3,MATCH(I182,$B$3:$B$42,0)-1,N$2-1)=$I184,1,0)</f>
        <v>0</v>
      </c>
    </row>
    <row r="185" spans="9:15" ht="15.75" thickBot="1" x14ac:dyDescent="0.3">
      <c r="I185" s="39">
        <v>2</v>
      </c>
      <c r="J185" s="36">
        <f ca="1">IF(OFFSET($C$3,MATCH(I182,$B$3:$B$42,0)-1,J$2-1)=$I185,1,0)</f>
        <v>0</v>
      </c>
      <c r="K185" s="37">
        <f ca="1">IF(OFFSET($C$3,MATCH(I182,$B$3:$B$42,0)-1,K$2-1)=$I185,1,0)</f>
        <v>0</v>
      </c>
      <c r="L185" s="37">
        <f ca="1">IF(OFFSET($C$3,MATCH(I182,$B$3:$B$42,0)-1,L$2-1)=$I185,1,0)</f>
        <v>0</v>
      </c>
      <c r="M185" s="37">
        <f ca="1">IF(OFFSET($C$3,MATCH(I182,$B$3:$B$42,0)-1,M$2-1)=$I185,1,0)</f>
        <v>0</v>
      </c>
      <c r="N185" s="38">
        <f ca="1">IF(OFFSET($C$3,MATCH(I182,$B$3:$B$42,0)-1,N$2-1)=$I185,1,0)</f>
        <v>0</v>
      </c>
    </row>
    <row r="187" spans="9:15" ht="15.75" thickBot="1" x14ac:dyDescent="0.3">
      <c r="I187" t="str">
        <f>MID(I182,1,5)&amp;MID(I182,6,2)+1</f>
        <v>Line_38</v>
      </c>
      <c r="O187" s="40">
        <f>VALUE(MID($I187,6,3))</f>
        <v>38</v>
      </c>
    </row>
    <row r="188" spans="9:15" x14ac:dyDescent="0.25">
      <c r="I188" s="39">
        <v>0</v>
      </c>
      <c r="J188" s="30">
        <f ca="1">IF(OFFSET($C$3,MATCH(I187,$B$3:$B$42,0)-1,J$2-1)=$I188,1,0)</f>
        <v>1</v>
      </c>
      <c r="K188" s="31">
        <f ca="1">IF(OFFSET($C$3,MATCH(I187,$B$3:$B$42,0)-1,K$2-1)=$I188,1,0)</f>
        <v>1</v>
      </c>
      <c r="L188" s="31">
        <f ca="1">IF(OFFSET($C$3,MATCH(I187,$B$3:$B$42,0)-1,L$2-1)=$I188,1,0)</f>
        <v>1</v>
      </c>
      <c r="M188" s="31">
        <f ca="1">IF(OFFSET($C$3,MATCH(I187,$B$3:$B$42,0)-1,M$2-1)=$I188,1,0)</f>
        <v>1</v>
      </c>
      <c r="N188" s="32">
        <f ca="1">IF(OFFSET($C$3,MATCH(I187,$B$3:$B$42,0)-1,N$2-1)=$I188,1,0)</f>
        <v>1</v>
      </c>
    </row>
    <row r="189" spans="9:15" x14ac:dyDescent="0.25">
      <c r="I189" s="39">
        <v>1</v>
      </c>
      <c r="J189" s="33">
        <f ca="1">IF(OFFSET($C$3,MATCH(I187,$B$3:$B$42,0)-1,J$2-1)=$I189,1,0)</f>
        <v>0</v>
      </c>
      <c r="K189" s="34">
        <f ca="1">IF(OFFSET($C$3,MATCH(I187,$B$3:$B$42,0)-1,K$2-1)=$I189,1,0)</f>
        <v>0</v>
      </c>
      <c r="L189" s="34">
        <f ca="1">IF(OFFSET($C$3,MATCH(I187,$B$3:$B$42,0)-1,L$2-1)=$I189,1,0)</f>
        <v>0</v>
      </c>
      <c r="M189" s="34">
        <f ca="1">IF(OFFSET($C$3,MATCH(I187,$B$3:$B$42,0)-1,M$2-1)=$I189,1,0)</f>
        <v>0</v>
      </c>
      <c r="N189" s="35">
        <f ca="1">IF(OFFSET($C$3,MATCH(I187,$B$3:$B$42,0)-1,N$2-1)=$I189,1,0)</f>
        <v>0</v>
      </c>
    </row>
    <row r="190" spans="9:15" ht="15.75" thickBot="1" x14ac:dyDescent="0.3">
      <c r="I190" s="39">
        <v>2</v>
      </c>
      <c r="J190" s="36">
        <f ca="1">IF(OFFSET($C$3,MATCH(I187,$B$3:$B$42,0)-1,J$2-1)=$I190,1,0)</f>
        <v>0</v>
      </c>
      <c r="K190" s="37">
        <f ca="1">IF(OFFSET($C$3,MATCH(I187,$B$3:$B$42,0)-1,K$2-1)=$I190,1,0)</f>
        <v>0</v>
      </c>
      <c r="L190" s="37">
        <f ca="1">IF(OFFSET($C$3,MATCH(I187,$B$3:$B$42,0)-1,L$2-1)=$I190,1,0)</f>
        <v>0</v>
      </c>
      <c r="M190" s="37">
        <f ca="1">IF(OFFSET($C$3,MATCH(I187,$B$3:$B$42,0)-1,M$2-1)=$I190,1,0)</f>
        <v>0</v>
      </c>
      <c r="N190" s="38">
        <f ca="1">IF(OFFSET($C$3,MATCH(I187,$B$3:$B$42,0)-1,N$2-1)=$I190,1,0)</f>
        <v>0</v>
      </c>
    </row>
    <row r="192" spans="9:15" ht="15.75" thickBot="1" x14ac:dyDescent="0.3">
      <c r="I192" t="str">
        <f>MID(I187,1,5)&amp;MID(I187,6,2)+1</f>
        <v>Line_39</v>
      </c>
      <c r="O192" s="40">
        <f>VALUE(MID($I192,6,3))</f>
        <v>39</v>
      </c>
    </row>
    <row r="193" spans="2:16" x14ac:dyDescent="0.25">
      <c r="I193" s="39">
        <v>0</v>
      </c>
      <c r="J193" s="30">
        <f ca="1">IF(OFFSET($C$3,MATCH(I192,$B$3:$B$42,0)-1,J$2-1)=$I193,1,0)</f>
        <v>1</v>
      </c>
      <c r="K193" s="31">
        <f ca="1">IF(OFFSET($C$3,MATCH(I192,$B$3:$B$42,0)-1,K$2-1)=$I193,1,0)</f>
        <v>1</v>
      </c>
      <c r="L193" s="31">
        <f ca="1">IF(OFFSET($C$3,MATCH(I192,$B$3:$B$42,0)-1,L$2-1)=$I193,1,0)</f>
        <v>1</v>
      </c>
      <c r="M193" s="31">
        <f ca="1">IF(OFFSET($C$3,MATCH(I192,$B$3:$B$42,0)-1,M$2-1)=$I193,1,0)</f>
        <v>1</v>
      </c>
      <c r="N193" s="32">
        <f ca="1">IF(OFFSET($C$3,MATCH(I192,$B$3:$B$42,0)-1,N$2-1)=$I193,1,0)</f>
        <v>1</v>
      </c>
    </row>
    <row r="194" spans="2:16" x14ac:dyDescent="0.25">
      <c r="I194" s="39">
        <v>1</v>
      </c>
      <c r="J194" s="33">
        <f ca="1">IF(OFFSET($C$3,MATCH(I192,$B$3:$B$42,0)-1,J$2-1)=$I194,1,0)</f>
        <v>0</v>
      </c>
      <c r="K194" s="34">
        <f ca="1">IF(OFFSET($C$3,MATCH(I192,$B$3:$B$42,0)-1,K$2-1)=$I194,1,0)</f>
        <v>0</v>
      </c>
      <c r="L194" s="34">
        <f ca="1">IF(OFFSET($C$3,MATCH(I192,$B$3:$B$42,0)-1,L$2-1)=$I194,1,0)</f>
        <v>0</v>
      </c>
      <c r="M194" s="34">
        <f ca="1">IF(OFFSET($C$3,MATCH(I192,$B$3:$B$42,0)-1,M$2-1)=$I194,1,0)</f>
        <v>0</v>
      </c>
      <c r="N194" s="35">
        <f ca="1">IF(OFFSET($C$3,MATCH(I192,$B$3:$B$42,0)-1,N$2-1)=$I194,1,0)</f>
        <v>0</v>
      </c>
    </row>
    <row r="195" spans="2:16" ht="15.75" thickBot="1" x14ac:dyDescent="0.3">
      <c r="I195" s="39">
        <v>2</v>
      </c>
      <c r="J195" s="36">
        <f ca="1">IF(OFFSET($C$3,MATCH(I192,$B$3:$B$42,0)-1,J$2-1)=$I195,1,0)</f>
        <v>0</v>
      </c>
      <c r="K195" s="37">
        <f ca="1">IF(OFFSET($C$3,MATCH(I192,$B$3:$B$42,0)-1,K$2-1)=$I195,1,0)</f>
        <v>0</v>
      </c>
      <c r="L195" s="37">
        <f ca="1">IF(OFFSET($C$3,MATCH(I192,$B$3:$B$42,0)-1,L$2-1)=$I195,1,0)</f>
        <v>0</v>
      </c>
      <c r="M195" s="37">
        <f ca="1">IF(OFFSET($C$3,MATCH(I192,$B$3:$B$42,0)-1,M$2-1)=$I195,1,0)</f>
        <v>0</v>
      </c>
      <c r="N195" s="38">
        <f ca="1">IF(OFFSET($C$3,MATCH(I192,$B$3:$B$42,0)-1,N$2-1)=$I195,1,0)</f>
        <v>0</v>
      </c>
    </row>
    <row r="197" spans="2:16" ht="15.75" thickBot="1" x14ac:dyDescent="0.3">
      <c r="I197" t="str">
        <f>MID(I192,1,5)&amp;MID(I192,6,2)+1</f>
        <v>Line_40</v>
      </c>
      <c r="O197" s="40">
        <f>VALUE(MID($I197,6,3))</f>
        <v>40</v>
      </c>
    </row>
    <row r="198" spans="2:16" x14ac:dyDescent="0.25">
      <c r="I198" s="39">
        <v>0</v>
      </c>
      <c r="J198" s="30">
        <f ca="1">IF(OFFSET($C$3,MATCH(I197,$B$3:$B$42,0)-1,J$2-1)=$I198,1,0)</f>
        <v>1</v>
      </c>
      <c r="K198" s="31">
        <f ca="1">IF(OFFSET($C$3,MATCH(I197,$B$3:$B$42,0)-1,K$2-1)=$I198,1,0)</f>
        <v>1</v>
      </c>
      <c r="L198" s="31">
        <f ca="1">IF(OFFSET($C$3,MATCH(I197,$B$3:$B$42,0)-1,L$2-1)=$I198,1,0)</f>
        <v>1</v>
      </c>
      <c r="M198" s="31">
        <f ca="1">IF(OFFSET($C$3,MATCH(I197,$B$3:$B$42,0)-1,M$2-1)=$I198,1,0)</f>
        <v>1</v>
      </c>
      <c r="N198" s="32">
        <f ca="1">IF(OFFSET($C$3,MATCH(I197,$B$3:$B$42,0)-1,N$2-1)=$I198,1,0)</f>
        <v>1</v>
      </c>
    </row>
    <row r="199" spans="2:16" x14ac:dyDescent="0.25">
      <c r="I199" s="39">
        <v>1</v>
      </c>
      <c r="J199" s="33">
        <f ca="1">IF(OFFSET($C$3,MATCH(I197,$B$3:$B$42,0)-1,J$2-1)=$I199,1,0)</f>
        <v>0</v>
      </c>
      <c r="K199" s="34">
        <f ca="1">IF(OFFSET($C$3,MATCH(I197,$B$3:$B$42,0)-1,K$2-1)=$I199,1,0)</f>
        <v>0</v>
      </c>
      <c r="L199" s="34">
        <f ca="1">IF(OFFSET($C$3,MATCH(I197,$B$3:$B$42,0)-1,L$2-1)=$I199,1,0)</f>
        <v>0</v>
      </c>
      <c r="M199" s="34">
        <f ca="1">IF(OFFSET($C$3,MATCH(I197,$B$3:$B$42,0)-1,M$2-1)=$I199,1,0)</f>
        <v>0</v>
      </c>
      <c r="N199" s="35">
        <f ca="1">IF(OFFSET($C$3,MATCH(I197,$B$3:$B$42,0)-1,N$2-1)=$I199,1,0)</f>
        <v>0</v>
      </c>
    </row>
    <row r="200" spans="2:16" ht="15.75" thickBot="1" x14ac:dyDescent="0.3">
      <c r="I200" s="39">
        <v>2</v>
      </c>
      <c r="J200" s="36">
        <f ca="1">IF(OFFSET($C$3,MATCH(I197,$B$3:$B$42,0)-1,J$2-1)=$I200,1,0)</f>
        <v>0</v>
      </c>
      <c r="K200" s="37">
        <f ca="1">IF(OFFSET($C$3,MATCH(I197,$B$3:$B$42,0)-1,K$2-1)=$I200,1,0)</f>
        <v>0</v>
      </c>
      <c r="L200" s="37">
        <f ca="1">IF(OFFSET($C$3,MATCH(I197,$B$3:$B$42,0)-1,L$2-1)=$I200,1,0)</f>
        <v>0</v>
      </c>
      <c r="M200" s="37">
        <f ca="1">IF(OFFSET($C$3,MATCH(I197,$B$3:$B$42,0)-1,M$2-1)=$I200,1,0)</f>
        <v>0</v>
      </c>
      <c r="N200" s="38">
        <f ca="1">IF(OFFSET($C$3,MATCH(I197,$B$3:$B$42,0)-1,N$2-1)=$I200,1,0)</f>
        <v>0</v>
      </c>
    </row>
    <row r="202" spans="2:16" x14ac:dyDescent="0.25">
      <c r="B202" s="66" t="s">
        <v>126</v>
      </c>
    </row>
    <row r="203" spans="2:16" ht="15.75" thickBot="1" x14ac:dyDescent="0.3">
      <c r="I203" s="41" t="s">
        <v>18</v>
      </c>
      <c r="J203" s="40">
        <v>1</v>
      </c>
      <c r="K203" s="40">
        <v>2</v>
      </c>
      <c r="L203" s="40">
        <v>3</v>
      </c>
      <c r="M203" s="40">
        <v>4</v>
      </c>
      <c r="N203" s="40">
        <v>5</v>
      </c>
      <c r="O203" s="40">
        <f>VALUE(MID($I203,6,3))</f>
        <v>1</v>
      </c>
    </row>
    <row r="204" spans="2:16" x14ac:dyDescent="0.25">
      <c r="B204" s="20" t="s">
        <v>18</v>
      </c>
      <c r="C204" s="21">
        <v>1</v>
      </c>
      <c r="D204" s="22">
        <v>1</v>
      </c>
      <c r="E204" s="22">
        <v>1</v>
      </c>
      <c r="F204" s="22">
        <v>1</v>
      </c>
      <c r="G204" s="23">
        <v>1</v>
      </c>
      <c r="I204" s="39">
        <v>0</v>
      </c>
      <c r="J204" s="30">
        <f ca="1">IF(OFFSET($C$3,MATCH(I203,$B$3:$B$102,0)-1,J$2-1)=$I204,1,0)</f>
        <v>0</v>
      </c>
      <c r="K204" s="31">
        <f ca="1">IF(OFFSET($C$3,MATCH(I203,$B$3:$B$102,0)-1,K$2-1)=$I204,1,0)</f>
        <v>0</v>
      </c>
      <c r="L204" s="31">
        <f ca="1">IF(OFFSET($C$3,MATCH(I203,$B$3:$B$102,0)-1,L$2-1)=$I204,1,0)</f>
        <v>0</v>
      </c>
      <c r="M204" s="31">
        <f ca="1">IF(OFFSET($C$3,MATCH(I203,$B$3:$B$102,0)-1,M$2-1)=$I204,1,0)</f>
        <v>0</v>
      </c>
      <c r="N204" s="32">
        <f ca="1">IF(OFFSET($C$3,MATCH(I203,$B$3:$B$102,0)-1,N$2-1)=$I204,1,0)</f>
        <v>0</v>
      </c>
      <c r="P204" s="40">
        <v>0</v>
      </c>
    </row>
    <row r="205" spans="2:16" x14ac:dyDescent="0.25">
      <c r="B205" s="20" t="s">
        <v>19</v>
      </c>
      <c r="C205" s="24">
        <v>2</v>
      </c>
      <c r="D205" s="25">
        <v>2</v>
      </c>
      <c r="E205" s="25">
        <v>2</v>
      </c>
      <c r="F205" s="25">
        <v>2</v>
      </c>
      <c r="G205" s="26">
        <v>2</v>
      </c>
      <c r="I205" s="39">
        <v>1</v>
      </c>
      <c r="J205" s="33">
        <f ca="1">IF(OFFSET($C$3,MATCH(I203,$B$3:$B$102,0)-1,J$2-1)=$I205,1,0)</f>
        <v>1</v>
      </c>
      <c r="K205" s="34">
        <f ca="1">IF(OFFSET($C$3,MATCH(I203,$B$3:$B$102,0)-1,K$2-1)=$I205,1,0)</f>
        <v>1</v>
      </c>
      <c r="L205" s="34">
        <f ca="1">IF(OFFSET($C$3,MATCH(I203,$B$3:$B$102,0)-1,L$2-1)=$I205,1,0)</f>
        <v>1</v>
      </c>
      <c r="M205" s="34">
        <f ca="1">IF(OFFSET($C$3,MATCH(I203,$B$3:$B$102,0)-1,M$2-1)=$I205,1,0)</f>
        <v>1</v>
      </c>
      <c r="N205" s="35">
        <f ca="1">IF(OFFSET($C$3,MATCH(I203,$B$3:$B$102,0)-1,N$2-1)=$I205,1,0)</f>
        <v>1</v>
      </c>
      <c r="P205" s="40">
        <v>1</v>
      </c>
    </row>
    <row r="206" spans="2:16" x14ac:dyDescent="0.25">
      <c r="B206" s="20" t="s">
        <v>20</v>
      </c>
      <c r="C206" s="24">
        <v>0</v>
      </c>
      <c r="D206" s="25">
        <v>0</v>
      </c>
      <c r="E206" s="25">
        <v>0</v>
      </c>
      <c r="F206" s="25">
        <v>0</v>
      </c>
      <c r="G206" s="26">
        <v>0</v>
      </c>
      <c r="I206" s="39">
        <v>2</v>
      </c>
      <c r="J206" s="43">
        <f ca="1">IF(OFFSET($C$3,MATCH(I203,$B$3:$B$102,0)-1,J$2-1)=$I206,1,0)</f>
        <v>0</v>
      </c>
      <c r="K206" s="44">
        <f ca="1">IF(OFFSET($C$3,MATCH(I203,$B$3:$B$102,0)-1,K$2-1)=$I206,1,0)</f>
        <v>0</v>
      </c>
      <c r="L206" s="44">
        <f ca="1">IF(OFFSET($C$3,MATCH(I203,$B$3:$B$102,0)-1,L$2-1)=$I206,1,0)</f>
        <v>0</v>
      </c>
      <c r="M206" s="44">
        <f ca="1">IF(OFFSET($C$3,MATCH(I203,$B$3:$B$102,0)-1,M$2-1)=$I206,1,0)</f>
        <v>0</v>
      </c>
      <c r="N206" s="45">
        <f ca="1">IF(OFFSET($C$3,MATCH(I203,$B$3:$B$102,0)-1,N$2-1)=$I206,1,0)</f>
        <v>0</v>
      </c>
      <c r="P206" s="40">
        <v>2</v>
      </c>
    </row>
    <row r="207" spans="2:16" ht="15.75" thickBot="1" x14ac:dyDescent="0.3">
      <c r="B207" s="20" t="s">
        <v>21</v>
      </c>
      <c r="C207" s="24">
        <v>3</v>
      </c>
      <c r="D207" s="25">
        <v>3</v>
      </c>
      <c r="E207" s="25">
        <v>3</v>
      </c>
      <c r="F207" s="25">
        <v>3</v>
      </c>
      <c r="G207" s="26">
        <v>3</v>
      </c>
      <c r="I207" s="39">
        <v>3</v>
      </c>
      <c r="J207" s="36">
        <f ca="1">IF(OFFSET($C$3,MATCH(I203,$B$3:$B$102,0)-1,J$2-1)=$I207,1,0)</f>
        <v>0</v>
      </c>
      <c r="K207" s="37">
        <f ca="1">IF(OFFSET($C$3,MATCH(I203,$B$3:$B$102,0)-1,K$2-1)=$I207,1,0)</f>
        <v>0</v>
      </c>
      <c r="L207" s="37">
        <f ca="1">IF(OFFSET($C$3,MATCH(I203,$B$3:$B$102,0)-1,L$2-1)=$I207,1,0)</f>
        <v>0</v>
      </c>
      <c r="M207" s="37">
        <f ca="1">IF(OFFSET($C$3,MATCH(I203,$B$3:$B$102,0)-1,M$2-1)=$I207,1,0)</f>
        <v>0</v>
      </c>
      <c r="N207" s="38">
        <f ca="1">IF(OFFSET($C$3,MATCH(I203,$B$3:$B$102,0)-1,N$2-1)=$I207,1,0)</f>
        <v>0</v>
      </c>
      <c r="P207" s="40">
        <v>3</v>
      </c>
    </row>
    <row r="208" spans="2:16" x14ac:dyDescent="0.25">
      <c r="B208" s="20" t="s">
        <v>22</v>
      </c>
      <c r="C208" s="27">
        <v>1</v>
      </c>
      <c r="D208" s="28">
        <v>2</v>
      </c>
      <c r="E208" s="28">
        <v>3</v>
      </c>
      <c r="F208" s="28">
        <v>2</v>
      </c>
      <c r="G208" s="29">
        <v>1</v>
      </c>
    </row>
    <row r="209" spans="2:15" ht="15.75" thickBot="1" x14ac:dyDescent="0.3">
      <c r="B209" s="20" t="s">
        <v>23</v>
      </c>
      <c r="C209" s="24">
        <v>2</v>
      </c>
      <c r="D209" s="25">
        <v>1</v>
      </c>
      <c r="E209" s="25">
        <v>0</v>
      </c>
      <c r="F209" s="25">
        <v>1</v>
      </c>
      <c r="G209" s="26">
        <v>2</v>
      </c>
      <c r="I209" t="str">
        <f>MID(I203,1,5)&amp;MID(I203,6,2)+1</f>
        <v>Line_2</v>
      </c>
      <c r="O209" s="40">
        <f>VALUE(MID($I209,6,3))</f>
        <v>2</v>
      </c>
    </row>
    <row r="210" spans="2:15" x14ac:dyDescent="0.25">
      <c r="B210" s="20" t="s">
        <v>24</v>
      </c>
      <c r="C210" s="24">
        <v>0</v>
      </c>
      <c r="D210" s="25">
        <v>0</v>
      </c>
      <c r="E210" s="25">
        <v>1</v>
      </c>
      <c r="F210" s="25">
        <v>2</v>
      </c>
      <c r="G210" s="26">
        <v>3</v>
      </c>
      <c r="I210" s="39">
        <v>0</v>
      </c>
      <c r="J210" s="30">
        <f ca="1">IF(OFFSET($C$3,MATCH(I209,$B$3:$B$102,0)-1,J$2-1)=$I210,1,0)</f>
        <v>1</v>
      </c>
      <c r="K210" s="31">
        <f ca="1">IF(OFFSET($C$3,MATCH(I209,$B$3:$B$102,0)-1,K$2-1)=$I210,1,0)</f>
        <v>1</v>
      </c>
      <c r="L210" s="31">
        <f ca="1">IF(OFFSET($C$3,MATCH(I209,$B$3:$B$102,0)-1,L$2-1)=$I210,1,0)</f>
        <v>1</v>
      </c>
      <c r="M210" s="31">
        <f ca="1">IF(OFFSET($C$3,MATCH(I209,$B$3:$B$102,0)-1,M$2-1)=$I210,1,0)</f>
        <v>1</v>
      </c>
      <c r="N210" s="32">
        <f ca="1">IF(OFFSET($C$3,MATCH(I209,$B$3:$B$102,0)-1,N$2-1)=$I210,1,0)</f>
        <v>1</v>
      </c>
    </row>
    <row r="211" spans="2:15" x14ac:dyDescent="0.25">
      <c r="B211" s="20" t="s">
        <v>25</v>
      </c>
      <c r="C211" s="24">
        <v>3</v>
      </c>
      <c r="D211" s="25">
        <v>3</v>
      </c>
      <c r="E211" s="25">
        <v>2</v>
      </c>
      <c r="F211" s="25">
        <v>1</v>
      </c>
      <c r="G211" s="26">
        <v>0</v>
      </c>
      <c r="I211" s="39">
        <v>1</v>
      </c>
      <c r="J211" s="33">
        <f ca="1">IF(OFFSET($C$3,MATCH(I209,$B$3:$B$102,0)-1,J$2-1)=$I211,1,0)</f>
        <v>0</v>
      </c>
      <c r="K211" s="34">
        <f ca="1">IF(OFFSET($C$3,MATCH(I209,$B$3:$B$102,0)-1,K$2-1)=$I211,1,0)</f>
        <v>0</v>
      </c>
      <c r="L211" s="34">
        <f ca="1">IF(OFFSET($C$3,MATCH(I209,$B$3:$B$102,0)-1,L$2-1)=$I211,1,0)</f>
        <v>0</v>
      </c>
      <c r="M211" s="34">
        <f ca="1">IF(OFFSET($C$3,MATCH(I209,$B$3:$B$102,0)-1,M$2-1)=$I211,1,0)</f>
        <v>0</v>
      </c>
      <c r="N211" s="35">
        <f ca="1">IF(OFFSET($C$3,MATCH(I209,$B$3:$B$102,0)-1,N$2-1)=$I211,1,0)</f>
        <v>0</v>
      </c>
    </row>
    <row r="212" spans="2:15" x14ac:dyDescent="0.25">
      <c r="B212" s="20" t="s">
        <v>26</v>
      </c>
      <c r="C212" s="24">
        <v>2</v>
      </c>
      <c r="D212" s="25">
        <v>3</v>
      </c>
      <c r="E212" s="25">
        <v>3</v>
      </c>
      <c r="F212" s="25">
        <v>3</v>
      </c>
      <c r="G212" s="26">
        <v>2</v>
      </c>
      <c r="I212" s="39">
        <v>2</v>
      </c>
      <c r="J212" s="43">
        <f ca="1">IF(OFFSET($C$3,MATCH(I209,$B$3:$B$102,0)-1,J$2-1)=$I212,1,0)</f>
        <v>0</v>
      </c>
      <c r="K212" s="44">
        <f ca="1">IF(OFFSET($C$3,MATCH(I209,$B$3:$B$102,0)-1,K$2-1)=$I212,1,0)</f>
        <v>0</v>
      </c>
      <c r="L212" s="44">
        <f ca="1">IF(OFFSET($C$3,MATCH(I209,$B$3:$B$102,0)-1,L$2-1)=$I212,1,0)</f>
        <v>0</v>
      </c>
      <c r="M212" s="44">
        <f ca="1">IF(OFFSET($C$3,MATCH(I209,$B$3:$B$102,0)-1,M$2-1)=$I212,1,0)</f>
        <v>0</v>
      </c>
      <c r="N212" s="45">
        <f ca="1">IF(OFFSET($C$3,MATCH(I209,$B$3:$B$102,0)-1,N$2-1)=$I212,1,0)</f>
        <v>0</v>
      </c>
    </row>
    <row r="213" spans="2:15" ht="15.75" thickBot="1" x14ac:dyDescent="0.3">
      <c r="B213" s="20" t="s">
        <v>27</v>
      </c>
      <c r="C213" s="27">
        <v>1</v>
      </c>
      <c r="D213" s="28">
        <v>0</v>
      </c>
      <c r="E213" s="28">
        <v>0</v>
      </c>
      <c r="F213" s="28">
        <v>0</v>
      </c>
      <c r="G213" s="29">
        <v>1</v>
      </c>
      <c r="I213" s="39">
        <v>3</v>
      </c>
      <c r="J213" s="36">
        <f ca="1">IF(OFFSET($C$3,MATCH(I209,$B$3:$B$102,0)-1,J$2-1)=$I213,1,0)</f>
        <v>0</v>
      </c>
      <c r="K213" s="37">
        <f ca="1">IF(OFFSET($C$3,MATCH(I209,$B$3:$B$102,0)-1,K$2-1)=$I213,1,0)</f>
        <v>0</v>
      </c>
      <c r="L213" s="37">
        <f ca="1">IF(OFFSET($C$3,MATCH(I209,$B$3:$B$102,0)-1,L$2-1)=$I213,1,0)</f>
        <v>0</v>
      </c>
      <c r="M213" s="37">
        <f ca="1">IF(OFFSET($C$3,MATCH(I209,$B$3:$B$102,0)-1,M$2-1)=$I213,1,0)</f>
        <v>0</v>
      </c>
      <c r="N213" s="38">
        <f ca="1">IF(OFFSET($C$3,MATCH(I209,$B$3:$B$102,0)-1,N$2-1)=$I213,1,0)</f>
        <v>0</v>
      </c>
    </row>
    <row r="214" spans="2:15" x14ac:dyDescent="0.25">
      <c r="B214" s="20" t="s">
        <v>28</v>
      </c>
      <c r="C214" s="24">
        <v>0</v>
      </c>
      <c r="D214" s="25">
        <v>1</v>
      </c>
      <c r="E214" s="25">
        <v>2</v>
      </c>
      <c r="F214" s="25">
        <v>3</v>
      </c>
      <c r="G214" s="26">
        <v>3</v>
      </c>
    </row>
    <row r="215" spans="2:15" ht="15.75" thickBot="1" x14ac:dyDescent="0.3">
      <c r="B215" s="20" t="s">
        <v>29</v>
      </c>
      <c r="C215" s="24">
        <v>3</v>
      </c>
      <c r="D215" s="25">
        <v>2</v>
      </c>
      <c r="E215" s="25">
        <v>1</v>
      </c>
      <c r="F215" s="25">
        <v>0</v>
      </c>
      <c r="G215" s="26">
        <v>0</v>
      </c>
      <c r="I215" t="str">
        <f>MID(I209,1,5)&amp;MID(I209,6,2)+1</f>
        <v>Line_3</v>
      </c>
      <c r="O215" s="40">
        <f>VALUE(MID($I215,6,3))</f>
        <v>3</v>
      </c>
    </row>
    <row r="216" spans="2:15" x14ac:dyDescent="0.25">
      <c r="B216" s="20" t="s">
        <v>30</v>
      </c>
      <c r="C216" s="24">
        <v>2</v>
      </c>
      <c r="D216" s="25">
        <v>3</v>
      </c>
      <c r="E216" s="25">
        <v>2</v>
      </c>
      <c r="F216" s="25">
        <v>1</v>
      </c>
      <c r="G216" s="26">
        <v>2</v>
      </c>
      <c r="I216" s="39">
        <v>0</v>
      </c>
      <c r="J216" s="30">
        <f ca="1">IF(OFFSET($C$3,MATCH(I215,$B$3:$B$102,0)-1,J$2-1)=$I216,1,0)</f>
        <v>0</v>
      </c>
      <c r="K216" s="31">
        <f ca="1">IF(OFFSET($C$3,MATCH(I215,$B$3:$B$102,0)-1,K$2-1)=$I216,1,0)</f>
        <v>0</v>
      </c>
      <c r="L216" s="31">
        <f ca="1">IF(OFFSET($C$3,MATCH(I215,$B$3:$B$102,0)-1,L$2-1)=$I216,1,0)</f>
        <v>0</v>
      </c>
      <c r="M216" s="31">
        <f ca="1">IF(OFFSET($C$3,MATCH(I215,$B$3:$B$102,0)-1,M$2-1)=$I216,1,0)</f>
        <v>0</v>
      </c>
      <c r="N216" s="32">
        <f ca="1">IF(OFFSET($C$3,MATCH(I215,$B$3:$B$102,0)-1,N$2-1)=$I216,1,0)</f>
        <v>0</v>
      </c>
    </row>
    <row r="217" spans="2:15" x14ac:dyDescent="0.25">
      <c r="B217" s="20" t="s">
        <v>31</v>
      </c>
      <c r="C217" s="24">
        <v>1</v>
      </c>
      <c r="D217" s="25">
        <v>0</v>
      </c>
      <c r="E217" s="25">
        <v>1</v>
      </c>
      <c r="F217" s="25">
        <v>2</v>
      </c>
      <c r="G217" s="26">
        <v>1</v>
      </c>
      <c r="I217" s="39">
        <v>1</v>
      </c>
      <c r="J217" s="33">
        <f ca="1">IF(OFFSET($C$3,MATCH(I215,$B$3:$B$102,0)-1,J$2-1)=$I217,1,0)</f>
        <v>0</v>
      </c>
      <c r="K217" s="34">
        <f ca="1">IF(OFFSET($C$3,MATCH(I215,$B$3:$B$102,0)-1,K$2-1)=$I217,1,0)</f>
        <v>0</v>
      </c>
      <c r="L217" s="34">
        <f ca="1">IF(OFFSET($C$3,MATCH(I215,$B$3:$B$102,0)-1,L$2-1)=$I217,1,0)</f>
        <v>0</v>
      </c>
      <c r="M217" s="34">
        <f ca="1">IF(OFFSET($C$3,MATCH(I215,$B$3:$B$102,0)-1,M$2-1)=$I217,1,0)</f>
        <v>0</v>
      </c>
      <c r="N217" s="35">
        <f ca="1">IF(OFFSET($C$3,MATCH(I215,$B$3:$B$102,0)-1,N$2-1)=$I217,1,0)</f>
        <v>0</v>
      </c>
    </row>
    <row r="218" spans="2:15" x14ac:dyDescent="0.25">
      <c r="B218" s="20" t="s">
        <v>32</v>
      </c>
      <c r="C218" s="27">
        <v>0</v>
      </c>
      <c r="D218" s="28">
        <v>1</v>
      </c>
      <c r="E218" s="28">
        <v>0</v>
      </c>
      <c r="F218" s="28">
        <v>1</v>
      </c>
      <c r="G218" s="29">
        <v>0</v>
      </c>
      <c r="I218" s="39">
        <v>2</v>
      </c>
      <c r="J218" s="43">
        <f ca="1">IF(OFFSET($C$3,MATCH(I215,$B$3:$B$102,0)-1,J$2-1)=$I218,1,0)</f>
        <v>1</v>
      </c>
      <c r="K218" s="44">
        <f ca="1">IF(OFFSET($C$3,MATCH(I215,$B$3:$B$102,0)-1,K$2-1)=$I218,1,0)</f>
        <v>1</v>
      </c>
      <c r="L218" s="44">
        <f ca="1">IF(OFFSET($C$3,MATCH(I215,$B$3:$B$102,0)-1,L$2-1)=$I218,1,0)</f>
        <v>1</v>
      </c>
      <c r="M218" s="44">
        <f ca="1">IF(OFFSET($C$3,MATCH(I215,$B$3:$B$102,0)-1,M$2-1)=$I218,1,0)</f>
        <v>1</v>
      </c>
      <c r="N218" s="45">
        <f ca="1">IF(OFFSET($C$3,MATCH(I215,$B$3:$B$102,0)-1,N$2-1)=$I218,1,0)</f>
        <v>1</v>
      </c>
    </row>
    <row r="219" spans="2:15" ht="15.75" thickBot="1" x14ac:dyDescent="0.3">
      <c r="B219" s="20" t="s">
        <v>33</v>
      </c>
      <c r="C219" s="24">
        <v>3</v>
      </c>
      <c r="D219" s="25">
        <v>2</v>
      </c>
      <c r="E219" s="25">
        <v>3</v>
      </c>
      <c r="F219" s="25">
        <v>2</v>
      </c>
      <c r="G219" s="26">
        <v>3</v>
      </c>
      <c r="I219" s="39">
        <v>3</v>
      </c>
      <c r="J219" s="36">
        <f ca="1">IF(OFFSET($C$3,MATCH(I215,$B$3:$B$102,0)-1,J$2-1)=$I219,1,0)</f>
        <v>0</v>
      </c>
      <c r="K219" s="37">
        <f ca="1">IF(OFFSET($C$3,MATCH(I215,$B$3:$B$102,0)-1,K$2-1)=$I219,1,0)</f>
        <v>0</v>
      </c>
      <c r="L219" s="37">
        <f ca="1">IF(OFFSET($C$3,MATCH(I215,$B$3:$B$102,0)-1,L$2-1)=$I219,1,0)</f>
        <v>0</v>
      </c>
      <c r="M219" s="37">
        <f ca="1">IF(OFFSET($C$3,MATCH(I215,$B$3:$B$102,0)-1,M$2-1)=$I219,1,0)</f>
        <v>0</v>
      </c>
      <c r="N219" s="38">
        <f ca="1">IF(OFFSET($C$3,MATCH(I215,$B$3:$B$102,0)-1,N$2-1)=$I219,1,0)</f>
        <v>0</v>
      </c>
    </row>
    <row r="220" spans="2:15" x14ac:dyDescent="0.25">
      <c r="B220" s="20" t="s">
        <v>34</v>
      </c>
      <c r="C220" s="24">
        <v>1</v>
      </c>
      <c r="D220" s="25">
        <v>2</v>
      </c>
      <c r="E220" s="25">
        <v>1</v>
      </c>
      <c r="F220" s="25">
        <v>0</v>
      </c>
      <c r="G220" s="26">
        <v>1</v>
      </c>
      <c r="I220" s="39"/>
      <c r="J220" s="20"/>
      <c r="K220" s="20"/>
      <c r="L220" s="20"/>
      <c r="M220" s="20"/>
      <c r="N220" s="20"/>
    </row>
    <row r="221" spans="2:15" ht="15.75" thickBot="1" x14ac:dyDescent="0.3">
      <c r="B221" s="20" t="s">
        <v>35</v>
      </c>
      <c r="C221" s="24">
        <v>2</v>
      </c>
      <c r="D221" s="25">
        <v>1</v>
      </c>
      <c r="E221" s="25">
        <v>2</v>
      </c>
      <c r="F221" s="25">
        <v>3</v>
      </c>
      <c r="G221" s="26">
        <v>2</v>
      </c>
      <c r="I221" t="str">
        <f>MID(I215,1,5)&amp;MID(I215,6,2)+1</f>
        <v>Line_4</v>
      </c>
      <c r="O221" s="40">
        <f>VALUE(MID($I221,6,3))</f>
        <v>4</v>
      </c>
    </row>
    <row r="222" spans="2:15" x14ac:dyDescent="0.25">
      <c r="B222" s="20" t="s">
        <v>36</v>
      </c>
      <c r="C222" s="24">
        <v>0</v>
      </c>
      <c r="D222" s="25">
        <v>1</v>
      </c>
      <c r="E222" s="25">
        <v>1</v>
      </c>
      <c r="F222" s="25">
        <v>1</v>
      </c>
      <c r="G222" s="26">
        <v>0</v>
      </c>
      <c r="I222" s="39">
        <v>0</v>
      </c>
      <c r="J222" s="30">
        <f ca="1">IF(OFFSET($C$3,MATCH(I221,$B$3:$B$102,0)-1,J$2-1)=$I222,1,0)</f>
        <v>1</v>
      </c>
      <c r="K222" s="31">
        <f ca="1">IF(OFFSET($C$3,MATCH(I221,$B$3:$B$102,0)-1,K$2-1)=$I222,1,0)</f>
        <v>0</v>
      </c>
      <c r="L222" s="31">
        <f ca="1">IF(OFFSET($C$3,MATCH(I221,$B$3:$B$102,0)-1,L$2-1)=$I222,1,0)</f>
        <v>0</v>
      </c>
      <c r="M222" s="31">
        <f ca="1">IF(OFFSET($C$3,MATCH(I221,$B$3:$B$102,0)-1,M$2-1)=$I222,1,0)</f>
        <v>0</v>
      </c>
      <c r="N222" s="32">
        <f ca="1">IF(OFFSET($C$3,MATCH(I221,$B$3:$B$102,0)-1,N$2-1)=$I222,1,0)</f>
        <v>1</v>
      </c>
    </row>
    <row r="223" spans="2:15" x14ac:dyDescent="0.25">
      <c r="B223" s="20" t="s">
        <v>37</v>
      </c>
      <c r="C223" s="27">
        <v>3</v>
      </c>
      <c r="D223" s="28">
        <v>2</v>
      </c>
      <c r="E223" s="28">
        <v>2</v>
      </c>
      <c r="F223" s="28">
        <v>2</v>
      </c>
      <c r="G223" s="29">
        <v>3</v>
      </c>
      <c r="I223" s="39">
        <v>1</v>
      </c>
      <c r="J223" s="33">
        <f ca="1">IF(OFFSET($C$3,MATCH(I221,$B$3:$B$102,0)-1,J$2-1)=$I223,1,0)</f>
        <v>0</v>
      </c>
      <c r="K223" s="34">
        <f ca="1">IF(OFFSET($C$3,MATCH(I221,$B$3:$B$102,0)-1,K$2-1)=$I223,1,0)</f>
        <v>1</v>
      </c>
      <c r="L223" s="34">
        <f ca="1">IF(OFFSET($C$3,MATCH(I221,$B$3:$B$102,0)-1,L$2-1)=$I223,1,0)</f>
        <v>0</v>
      </c>
      <c r="M223" s="34">
        <f ca="1">IF(OFFSET($C$3,MATCH(I221,$B$3:$B$102,0)-1,M$2-1)=$I223,1,0)</f>
        <v>1</v>
      </c>
      <c r="N223" s="35">
        <f ca="1">IF(OFFSET($C$3,MATCH(I221,$B$3:$B$102,0)-1,N$2-1)=$I223,1,0)</f>
        <v>0</v>
      </c>
    </row>
    <row r="224" spans="2:15" x14ac:dyDescent="0.25">
      <c r="B224" s="20" t="s">
        <v>38</v>
      </c>
      <c r="C224" s="24">
        <v>1</v>
      </c>
      <c r="D224" s="25">
        <v>1</v>
      </c>
      <c r="E224" s="25">
        <v>2</v>
      </c>
      <c r="F224" s="25">
        <v>3</v>
      </c>
      <c r="G224" s="26">
        <v>3</v>
      </c>
      <c r="I224" s="39">
        <v>2</v>
      </c>
      <c r="J224" s="43">
        <f ca="1">IF(OFFSET($C$3,MATCH(I221,$B$3:$B$102,0)-1,J$2-1)=$I224,1,0)</f>
        <v>0</v>
      </c>
      <c r="K224" s="44">
        <f ca="1">IF(OFFSET($C$3,MATCH(I221,$B$3:$B$102,0)-1,K$2-1)=$I224,1,0)</f>
        <v>0</v>
      </c>
      <c r="L224" s="44">
        <f ca="1">IF(OFFSET($C$3,MATCH(I221,$B$3:$B$102,0)-1,L$2-1)=$I224,1,0)</f>
        <v>1</v>
      </c>
      <c r="M224" s="44">
        <f ca="1">IF(OFFSET($C$3,MATCH(I221,$B$3:$B$102,0)-1,M$2-1)=$I224,1,0)</f>
        <v>0</v>
      </c>
      <c r="N224" s="45">
        <f ca="1">IF(OFFSET($C$3,MATCH(I221,$B$3:$B$102,0)-1,N$2-1)=$I224,1,0)</f>
        <v>0</v>
      </c>
    </row>
    <row r="225" spans="2:15" ht="15.75" thickBot="1" x14ac:dyDescent="0.3">
      <c r="B225" s="20" t="s">
        <v>39</v>
      </c>
      <c r="C225" s="24">
        <v>2</v>
      </c>
      <c r="D225" s="25">
        <v>2</v>
      </c>
      <c r="E225" s="25">
        <v>1</v>
      </c>
      <c r="F225" s="25">
        <v>0</v>
      </c>
      <c r="G225" s="26">
        <v>0</v>
      </c>
      <c r="I225" s="39">
        <v>3</v>
      </c>
      <c r="J225" s="36">
        <f ca="1">IF(OFFSET($C$3,MATCH(I221,$B$3:$B$102,0)-1,J$2-1)=$I225,1,0)</f>
        <v>0</v>
      </c>
      <c r="K225" s="37">
        <f ca="1">IF(OFFSET($C$3,MATCH(I221,$B$3:$B$102,0)-1,K$2-1)=$I225,1,0)</f>
        <v>0</v>
      </c>
      <c r="L225" s="37">
        <f ca="1">IF(OFFSET($C$3,MATCH(I221,$B$3:$B$102,0)-1,L$2-1)=$I225,1,0)</f>
        <v>0</v>
      </c>
      <c r="M225" s="37">
        <f ca="1">IF(OFFSET($C$3,MATCH(I221,$B$3:$B$102,0)-1,M$2-1)=$I225,1,0)</f>
        <v>0</v>
      </c>
      <c r="N225" s="38">
        <f ca="1">IF(OFFSET($C$3,MATCH(I221,$B$3:$B$102,0)-1,N$2-1)=$I225,1,0)</f>
        <v>0</v>
      </c>
    </row>
    <row r="226" spans="2:15" x14ac:dyDescent="0.25">
      <c r="B226" s="20" t="s">
        <v>40</v>
      </c>
      <c r="C226" s="24">
        <v>0</v>
      </c>
      <c r="D226" s="25">
        <v>1</v>
      </c>
      <c r="E226" s="25">
        <v>2</v>
      </c>
      <c r="F226" s="25">
        <v>2</v>
      </c>
      <c r="G226" s="26">
        <v>3</v>
      </c>
      <c r="I226" s="39"/>
      <c r="J226" s="42"/>
      <c r="K226" s="42"/>
      <c r="L226" s="42"/>
      <c r="M226" s="42"/>
      <c r="N226" s="42"/>
    </row>
    <row r="227" spans="2:15" ht="15.75" thickBot="1" x14ac:dyDescent="0.3">
      <c r="B227" s="20" t="s">
        <v>41</v>
      </c>
      <c r="C227" s="24">
        <v>3</v>
      </c>
      <c r="D227" s="25">
        <v>2</v>
      </c>
      <c r="E227" s="25">
        <v>1</v>
      </c>
      <c r="F227" s="25">
        <v>1</v>
      </c>
      <c r="G227" s="26">
        <v>0</v>
      </c>
      <c r="I227" t="str">
        <f>MID(I221,1,5)&amp;MID(I221,6,2)+1</f>
        <v>Line_5</v>
      </c>
      <c r="O227" s="40">
        <f>VALUE(MID($I227,6,3))</f>
        <v>5</v>
      </c>
    </row>
    <row r="228" spans="2:15" x14ac:dyDescent="0.25">
      <c r="B228" s="20" t="s">
        <v>42</v>
      </c>
      <c r="C228" s="27">
        <v>1</v>
      </c>
      <c r="D228" s="28">
        <v>2</v>
      </c>
      <c r="E228" s="28">
        <v>2</v>
      </c>
      <c r="F228" s="28">
        <v>2</v>
      </c>
      <c r="G228" s="29">
        <v>3</v>
      </c>
      <c r="I228" s="39">
        <v>0</v>
      </c>
      <c r="J228" s="30">
        <f ca="1">IF(OFFSET($C$3,MATCH(I227,$B$3:$B$102,0)-1,J$2-1)=$I228,1,0)</f>
        <v>0</v>
      </c>
      <c r="K228" s="31">
        <f ca="1">IF(OFFSET($C$3,MATCH(I227,$B$3:$B$102,0)-1,K$2-1)=$I228,1,0)</f>
        <v>0</v>
      </c>
      <c r="L228" s="31">
        <f ca="1">IF(OFFSET($C$3,MATCH(I227,$B$3:$B$102,0)-1,L$2-1)=$I228,1,0)</f>
        <v>1</v>
      </c>
      <c r="M228" s="31">
        <f ca="1">IF(OFFSET($C$3,MATCH(I227,$B$3:$B$102,0)-1,M$2-1)=$I228,1,0)</f>
        <v>0</v>
      </c>
      <c r="N228" s="32">
        <f ca="1">IF(OFFSET($C$3,MATCH(I227,$B$3:$B$102,0)-1,N$2-1)=$I228,1,0)</f>
        <v>0</v>
      </c>
    </row>
    <row r="229" spans="2:15" x14ac:dyDescent="0.25">
      <c r="B229" s="20" t="s">
        <v>43</v>
      </c>
      <c r="C229" s="24">
        <v>2</v>
      </c>
      <c r="D229" s="25">
        <v>1</v>
      </c>
      <c r="E229" s="25">
        <v>1</v>
      </c>
      <c r="F229" s="25">
        <v>1</v>
      </c>
      <c r="G229" s="26">
        <v>0</v>
      </c>
      <c r="I229" s="39">
        <v>1</v>
      </c>
      <c r="J229" s="33">
        <f ca="1">IF(OFFSET($C$3,MATCH(I227,$B$3:$B$102,0)-1,J$2-1)=$I229,1,0)</f>
        <v>0</v>
      </c>
      <c r="K229" s="34">
        <f ca="1">IF(OFFSET($C$3,MATCH(I227,$B$3:$B$102,0)-1,K$2-1)=$I229,1,0)</f>
        <v>1</v>
      </c>
      <c r="L229" s="34">
        <f ca="1">IF(OFFSET($C$3,MATCH(I227,$B$3:$B$102,0)-1,L$2-1)=$I229,1,0)</f>
        <v>0</v>
      </c>
      <c r="M229" s="34">
        <f ca="1">IF(OFFSET($C$3,MATCH(I227,$B$3:$B$102,0)-1,M$2-1)=$I229,1,0)</f>
        <v>1</v>
      </c>
      <c r="N229" s="35">
        <f ca="1">IF(OFFSET($C$3,MATCH(I227,$B$3:$B$102,0)-1,N$2-1)=$I229,1,0)</f>
        <v>0</v>
      </c>
    </row>
    <row r="230" spans="2:15" x14ac:dyDescent="0.25">
      <c r="B230" s="20" t="s">
        <v>44</v>
      </c>
      <c r="C230" s="24">
        <v>0</v>
      </c>
      <c r="D230" s="25">
        <v>0</v>
      </c>
      <c r="E230" s="25">
        <v>1</v>
      </c>
      <c r="F230" s="25">
        <v>0</v>
      </c>
      <c r="G230" s="26">
        <v>0</v>
      </c>
      <c r="I230" s="39">
        <v>2</v>
      </c>
      <c r="J230" s="43">
        <f ca="1">IF(OFFSET($C$3,MATCH(I227,$B$3:$B$102,0)-1,J$2-1)=$I230,1,0)</f>
        <v>1</v>
      </c>
      <c r="K230" s="44">
        <f ca="1">IF(OFFSET($C$3,MATCH(I227,$B$3:$B$102,0)-1,K$2-1)=$I230,1,0)</f>
        <v>0</v>
      </c>
      <c r="L230" s="44">
        <f ca="1">IF(OFFSET($C$3,MATCH(I227,$B$3:$B$102,0)-1,L$2-1)=$I230,1,0)</f>
        <v>0</v>
      </c>
      <c r="M230" s="44">
        <f ca="1">IF(OFFSET($C$3,MATCH(I227,$B$3:$B$102,0)-1,M$2-1)=$I230,1,0)</f>
        <v>0</v>
      </c>
      <c r="N230" s="45">
        <f ca="1">IF(OFFSET($C$3,MATCH(I227,$B$3:$B$102,0)-1,N$2-1)=$I230,1,0)</f>
        <v>1</v>
      </c>
    </row>
    <row r="231" spans="2:15" ht="15.75" thickBot="1" x14ac:dyDescent="0.3">
      <c r="B231" s="20" t="s">
        <v>45</v>
      </c>
      <c r="C231" s="24">
        <v>3</v>
      </c>
      <c r="D231" s="25">
        <v>3</v>
      </c>
      <c r="E231" s="25">
        <v>2</v>
      </c>
      <c r="F231" s="25">
        <v>3</v>
      </c>
      <c r="G231" s="26">
        <v>3</v>
      </c>
      <c r="I231" s="39">
        <v>3</v>
      </c>
      <c r="J231" s="36">
        <f ca="1">IF(OFFSET($C$3,MATCH(I227,$B$3:$B$102,0)-1,J$2-1)=$I231,1,0)</f>
        <v>0</v>
      </c>
      <c r="K231" s="37">
        <f ca="1">IF(OFFSET($C$3,MATCH(I227,$B$3:$B$102,0)-1,K$2-1)=$I231,1,0)</f>
        <v>0</v>
      </c>
      <c r="L231" s="37">
        <f ca="1">IF(OFFSET($C$3,MATCH(I227,$B$3:$B$102,0)-1,L$2-1)=$I231,1,0)</f>
        <v>0</v>
      </c>
      <c r="M231" s="37">
        <f ca="1">IF(OFFSET($C$3,MATCH(I227,$B$3:$B$102,0)-1,M$2-1)=$I231,1,0)</f>
        <v>0</v>
      </c>
      <c r="N231" s="38">
        <f ca="1">IF(OFFSET($C$3,MATCH(I227,$B$3:$B$102,0)-1,N$2-1)=$I231,1,0)</f>
        <v>0</v>
      </c>
    </row>
    <row r="232" spans="2:15" x14ac:dyDescent="0.25">
      <c r="B232" s="20" t="s">
        <v>46</v>
      </c>
      <c r="C232" s="24">
        <v>2</v>
      </c>
      <c r="D232" s="25">
        <v>2</v>
      </c>
      <c r="E232" s="25">
        <v>3</v>
      </c>
      <c r="F232" s="25">
        <v>2</v>
      </c>
      <c r="G232" s="26">
        <v>2</v>
      </c>
      <c r="I232" s="39"/>
      <c r="J232" s="20"/>
      <c r="K232" s="20"/>
      <c r="L232" s="20"/>
      <c r="M232" s="20"/>
      <c r="N232" s="20"/>
    </row>
    <row r="233" spans="2:15" ht="15.75" thickBot="1" x14ac:dyDescent="0.3">
      <c r="B233" s="20" t="s">
        <v>47</v>
      </c>
      <c r="C233" s="27">
        <v>1</v>
      </c>
      <c r="D233" s="28">
        <v>1</v>
      </c>
      <c r="E233" s="28">
        <v>0</v>
      </c>
      <c r="F233" s="28">
        <v>1</v>
      </c>
      <c r="G233" s="29">
        <v>1</v>
      </c>
      <c r="I233" t="str">
        <f>MID(I227,1,5)&amp;MID(I227,6,2)+1</f>
        <v>Line_6</v>
      </c>
      <c r="O233" s="40">
        <f>VALUE(MID($I233,6,3))</f>
        <v>6</v>
      </c>
    </row>
    <row r="234" spans="2:15" x14ac:dyDescent="0.25">
      <c r="B234" s="20" t="s">
        <v>48</v>
      </c>
      <c r="C234" s="24">
        <v>0</v>
      </c>
      <c r="D234" s="25">
        <v>0</v>
      </c>
      <c r="E234" s="25">
        <v>0</v>
      </c>
      <c r="F234" s="25">
        <v>1</v>
      </c>
      <c r="G234" s="26">
        <v>2</v>
      </c>
      <c r="I234" s="39">
        <v>0</v>
      </c>
      <c r="J234" s="30">
        <f ca="1">IF(OFFSET($C$3,MATCH(I233,$B$3:$B$102,0)-1,J$2-1)=$I234,1,0)</f>
        <v>1</v>
      </c>
      <c r="K234" s="31">
        <f ca="1">IF(OFFSET($C$3,MATCH(I233,$B$3:$B$102,0)-1,K$2-1)=$I234,1,0)</f>
        <v>1</v>
      </c>
      <c r="L234" s="31">
        <f ca="1">IF(OFFSET($C$3,MATCH(I233,$B$3:$B$102,0)-1,L$2-1)=$I234,1,0)</f>
        <v>0</v>
      </c>
      <c r="M234" s="31">
        <f ca="1">IF(OFFSET($C$3,MATCH(I233,$B$3:$B$102,0)-1,M$2-1)=$I234,1,0)</f>
        <v>0</v>
      </c>
      <c r="N234" s="32">
        <f ca="1">IF(OFFSET($C$3,MATCH(I233,$B$3:$B$102,0)-1,N$2-1)=$I234,1,0)</f>
        <v>0</v>
      </c>
    </row>
    <row r="235" spans="2:15" x14ac:dyDescent="0.25">
      <c r="B235" s="20" t="s">
        <v>49</v>
      </c>
      <c r="C235" s="24">
        <v>3</v>
      </c>
      <c r="D235" s="25">
        <v>3</v>
      </c>
      <c r="E235" s="25">
        <v>3</v>
      </c>
      <c r="F235" s="25">
        <v>2</v>
      </c>
      <c r="G235" s="26">
        <v>1</v>
      </c>
      <c r="I235" s="39">
        <v>1</v>
      </c>
      <c r="J235" s="33">
        <f ca="1">IF(OFFSET($C$3,MATCH(I233,$B$3:$B$102,0)-1,J$2-1)=$I235,1,0)</f>
        <v>0</v>
      </c>
      <c r="K235" s="34">
        <f ca="1">IF(OFFSET($C$3,MATCH(I233,$B$3:$B$102,0)-1,K$2-1)=$I235,1,0)</f>
        <v>0</v>
      </c>
      <c r="L235" s="34">
        <f ca="1">IF(OFFSET($C$3,MATCH(I233,$B$3:$B$102,0)-1,L$2-1)=$I235,1,0)</f>
        <v>1</v>
      </c>
      <c r="M235" s="34">
        <f ca="1">IF(OFFSET($C$3,MATCH(I233,$B$3:$B$102,0)-1,M$2-1)=$I235,1,0)</f>
        <v>0</v>
      </c>
      <c r="N235" s="35">
        <f ca="1">IF(OFFSET($C$3,MATCH(I233,$B$3:$B$102,0)-1,N$2-1)=$I235,1,0)</f>
        <v>0</v>
      </c>
    </row>
    <row r="236" spans="2:15" x14ac:dyDescent="0.25">
      <c r="B236" s="20" t="s">
        <v>50</v>
      </c>
      <c r="C236" s="24">
        <v>2</v>
      </c>
      <c r="D236" s="25">
        <v>3</v>
      </c>
      <c r="E236" s="25">
        <v>3</v>
      </c>
      <c r="F236" s="25">
        <v>2</v>
      </c>
      <c r="G236" s="26">
        <v>1</v>
      </c>
      <c r="I236" s="39">
        <v>2</v>
      </c>
      <c r="J236" s="43">
        <f ca="1">IF(OFFSET($C$3,MATCH(I233,$B$3:$B$102,0)-1,J$2-1)=$I236,1,0)</f>
        <v>0</v>
      </c>
      <c r="K236" s="44">
        <f ca="1">IF(OFFSET($C$3,MATCH(I233,$B$3:$B$102,0)-1,K$2-1)=$I236,1,0)</f>
        <v>0</v>
      </c>
      <c r="L236" s="44">
        <f ca="1">IF(OFFSET($C$3,MATCH(I233,$B$3:$B$102,0)-1,L$2-1)=$I236,1,0)</f>
        <v>0</v>
      </c>
      <c r="M236" s="44">
        <f ca="1">IF(OFFSET($C$3,MATCH(I233,$B$3:$B$102,0)-1,M$2-1)=$I236,1,0)</f>
        <v>1</v>
      </c>
      <c r="N236" s="45">
        <f ca="1">IF(OFFSET($C$3,MATCH(I233,$B$3:$B$102,0)-1,N$2-1)=$I236,1,0)</f>
        <v>1</v>
      </c>
    </row>
    <row r="237" spans="2:15" ht="15.75" thickBot="1" x14ac:dyDescent="0.3">
      <c r="B237" s="20" t="s">
        <v>51</v>
      </c>
      <c r="C237" s="24">
        <v>1</v>
      </c>
      <c r="D237" s="25">
        <v>0</v>
      </c>
      <c r="E237" s="25">
        <v>0</v>
      </c>
      <c r="F237" s="25">
        <v>1</v>
      </c>
      <c r="G237" s="26">
        <v>2</v>
      </c>
      <c r="I237" s="39">
        <v>3</v>
      </c>
      <c r="J237" s="36">
        <f ca="1">IF(OFFSET($C$3,MATCH(I233,$B$3:$B$102,0)-1,J$2-1)=$I237,1,0)</f>
        <v>0</v>
      </c>
      <c r="K237" s="37">
        <f ca="1">IF(OFFSET($C$3,MATCH(I233,$B$3:$B$102,0)-1,K$2-1)=$I237,1,0)</f>
        <v>0</v>
      </c>
      <c r="L237" s="37">
        <f ca="1">IF(OFFSET($C$3,MATCH(I233,$B$3:$B$102,0)-1,L$2-1)=$I237,1,0)</f>
        <v>0</v>
      </c>
      <c r="M237" s="37">
        <f ca="1">IF(OFFSET($C$3,MATCH(I233,$B$3:$B$102,0)-1,M$2-1)=$I237,1,0)</f>
        <v>0</v>
      </c>
      <c r="N237" s="38">
        <f ca="1">IF(OFFSET($C$3,MATCH(I233,$B$3:$B$102,0)-1,N$2-1)=$I237,1,0)</f>
        <v>0</v>
      </c>
    </row>
    <row r="238" spans="2:15" x14ac:dyDescent="0.25">
      <c r="B238" s="20" t="s">
        <v>52</v>
      </c>
      <c r="C238" s="27">
        <v>0</v>
      </c>
      <c r="D238" s="28">
        <v>1</v>
      </c>
      <c r="E238" s="28">
        <v>1</v>
      </c>
      <c r="F238" s="28">
        <v>2</v>
      </c>
      <c r="G238" s="29">
        <v>3</v>
      </c>
    </row>
    <row r="239" spans="2:15" ht="15.75" thickBot="1" x14ac:dyDescent="0.3">
      <c r="B239" s="20" t="s">
        <v>53</v>
      </c>
      <c r="C239" s="24">
        <v>3</v>
      </c>
      <c r="D239" s="25">
        <v>2</v>
      </c>
      <c r="E239" s="25">
        <v>2</v>
      </c>
      <c r="F239" s="25">
        <v>1</v>
      </c>
      <c r="G239" s="26">
        <v>0</v>
      </c>
      <c r="I239" t="str">
        <f>MID(I233,1,5)&amp;MID(I233,6,2)+1</f>
        <v>Line_7</v>
      </c>
      <c r="O239" s="40">
        <f>VALUE(MID($I239,6,3))</f>
        <v>7</v>
      </c>
    </row>
    <row r="240" spans="2:15" x14ac:dyDescent="0.25">
      <c r="B240" s="20" t="s">
        <v>54</v>
      </c>
      <c r="C240" s="24">
        <v>2</v>
      </c>
      <c r="D240" s="25">
        <v>3</v>
      </c>
      <c r="E240" s="25">
        <v>2</v>
      </c>
      <c r="F240" s="25">
        <v>1</v>
      </c>
      <c r="G240" s="26">
        <v>0</v>
      </c>
      <c r="I240" s="39">
        <v>0</v>
      </c>
      <c r="J240" s="30">
        <f ca="1">IF(OFFSET($C$3,MATCH(I239,$B$3:$B$102,0)-1,J$2-1)=$I240,1,0)</f>
        <v>0</v>
      </c>
      <c r="K240" s="31">
        <f ca="1">IF(OFFSET($C$3,MATCH(I239,$B$3:$B$102,0)-1,K$2-1)=$I240,1,0)</f>
        <v>0</v>
      </c>
      <c r="L240" s="31">
        <f ca="1">IF(OFFSET($C$3,MATCH(I239,$B$3:$B$102,0)-1,L$2-1)=$I240,1,0)</f>
        <v>0</v>
      </c>
      <c r="M240" s="31">
        <f ca="1">IF(OFFSET($C$3,MATCH(I239,$B$3:$B$102,0)-1,M$2-1)=$I240,1,0)</f>
        <v>1</v>
      </c>
      <c r="N240" s="32">
        <f ca="1">IF(OFFSET($C$3,MATCH(I239,$B$3:$B$102,0)-1,N$2-1)=$I240,1,0)</f>
        <v>1</v>
      </c>
    </row>
    <row r="241" spans="2:67" x14ac:dyDescent="0.25">
      <c r="B241" s="20" t="s">
        <v>55</v>
      </c>
      <c r="C241" s="24">
        <v>1</v>
      </c>
      <c r="D241" s="25">
        <v>0</v>
      </c>
      <c r="E241" s="25">
        <v>1</v>
      </c>
      <c r="F241" s="25">
        <v>2</v>
      </c>
      <c r="G241" s="26">
        <v>3</v>
      </c>
      <c r="I241" s="39">
        <v>1</v>
      </c>
      <c r="J241" s="33">
        <f ca="1">IF(OFFSET($C$3,MATCH(I239,$B$3:$B$102,0)-1,J$2-1)=$I241,1,0)</f>
        <v>0</v>
      </c>
      <c r="K241" s="34">
        <f ca="1">IF(OFFSET($C$3,MATCH(I239,$B$3:$B$102,0)-1,K$2-1)=$I241,1,0)</f>
        <v>0</v>
      </c>
      <c r="L241" s="34">
        <f ca="1">IF(OFFSET($C$3,MATCH(I239,$B$3:$B$102,0)-1,L$2-1)=$I241,1,0)</f>
        <v>1</v>
      </c>
      <c r="M241" s="34">
        <f ca="1">IF(OFFSET($C$3,MATCH(I239,$B$3:$B$102,0)-1,M$2-1)=$I241,1,0)</f>
        <v>0</v>
      </c>
      <c r="N241" s="35">
        <f ca="1">IF(OFFSET($C$3,MATCH(I239,$B$3:$B$102,0)-1,N$2-1)=$I241,1,0)</f>
        <v>0</v>
      </c>
    </row>
    <row r="242" spans="2:67" x14ac:dyDescent="0.25">
      <c r="B242" s="20" t="s">
        <v>56</v>
      </c>
      <c r="C242" s="24">
        <v>0</v>
      </c>
      <c r="D242" s="25">
        <v>1</v>
      </c>
      <c r="E242" s="25">
        <v>2</v>
      </c>
      <c r="F242" s="25">
        <v>3</v>
      </c>
      <c r="G242" s="26">
        <v>2</v>
      </c>
      <c r="I242" s="39">
        <v>2</v>
      </c>
      <c r="J242" s="43">
        <f ca="1">IF(OFFSET($C$3,MATCH(I239,$B$3:$B$102,0)-1,J$2-1)=$I242,1,0)</f>
        <v>1</v>
      </c>
      <c r="K242" s="44">
        <f ca="1">IF(OFFSET($C$3,MATCH(I239,$B$3:$B$102,0)-1,K$2-1)=$I242,1,0)</f>
        <v>1</v>
      </c>
      <c r="L242" s="44">
        <f ca="1">IF(OFFSET($C$3,MATCH(I239,$B$3:$B$102,0)-1,L$2-1)=$I242,1,0)</f>
        <v>0</v>
      </c>
      <c r="M242" s="44">
        <f ca="1">IF(OFFSET($C$3,MATCH(I239,$B$3:$B$102,0)-1,M$2-1)=$I242,1,0)</f>
        <v>0</v>
      </c>
      <c r="N242" s="45">
        <f ca="1">IF(OFFSET($C$3,MATCH(I239,$B$3:$B$102,0)-1,N$2-1)=$I242,1,0)</f>
        <v>0</v>
      </c>
    </row>
    <row r="243" spans="2:67" ht="15.75" thickBot="1" x14ac:dyDescent="0.3">
      <c r="B243" s="20" t="s">
        <v>57</v>
      </c>
      <c r="C243" s="27">
        <v>3</v>
      </c>
      <c r="D243" s="28">
        <v>2</v>
      </c>
      <c r="E243" s="28">
        <v>1</v>
      </c>
      <c r="F243" s="28">
        <v>0</v>
      </c>
      <c r="G243" s="29">
        <v>1</v>
      </c>
      <c r="I243" s="39">
        <v>3</v>
      </c>
      <c r="J243" s="36">
        <f ca="1">IF(OFFSET($C$3,MATCH(I239,$B$3:$B$102,0)-1,J$2-1)=$I243,1,0)</f>
        <v>0</v>
      </c>
      <c r="K243" s="37">
        <f ca="1">IF(OFFSET($C$3,MATCH(I239,$B$3:$B$102,0)-1,K$2-1)=$I243,1,0)</f>
        <v>0</v>
      </c>
      <c r="L243" s="37">
        <f ca="1">IF(OFFSET($C$3,MATCH(I239,$B$3:$B$102,0)-1,L$2-1)=$I243,1,0)</f>
        <v>0</v>
      </c>
      <c r="M243" s="37">
        <f ca="1">IF(OFFSET($C$3,MATCH(I239,$B$3:$B$102,0)-1,M$2-1)=$I243,1,0)</f>
        <v>0</v>
      </c>
      <c r="N243" s="38">
        <f ca="1">IF(OFFSET($C$3,MATCH(I239,$B$3:$B$102,0)-1,N$2-1)=$I243,1,0)</f>
        <v>0</v>
      </c>
    </row>
    <row r="244" spans="2:67" x14ac:dyDescent="0.25">
      <c r="B244" s="20" t="s">
        <v>66</v>
      </c>
      <c r="C244" s="21"/>
      <c r="D244" s="22"/>
      <c r="E244" s="22"/>
      <c r="F244" s="22"/>
      <c r="G244" s="23"/>
    </row>
    <row r="245" spans="2:67" ht="15.75" thickBot="1" x14ac:dyDescent="0.3">
      <c r="B245" s="20" t="s">
        <v>67</v>
      </c>
      <c r="C245" s="24"/>
      <c r="D245" s="25"/>
      <c r="E245" s="25"/>
      <c r="F245" s="25"/>
      <c r="G245" s="26"/>
      <c r="I245" t="str">
        <f>MID(I239,1,5)&amp;MID(I239,6,2)+1</f>
        <v>Line_8</v>
      </c>
      <c r="O245" s="40">
        <f>VALUE(MID($I245,6,3))</f>
        <v>8</v>
      </c>
    </row>
    <row r="246" spans="2:67" ht="15.75" thickBot="1" x14ac:dyDescent="0.3">
      <c r="B246" s="20" t="s">
        <v>68</v>
      </c>
      <c r="C246" s="24"/>
      <c r="D246" s="25"/>
      <c r="E246" s="25"/>
      <c r="F246" s="25"/>
      <c r="G246" s="26"/>
      <c r="I246" s="39">
        <v>0</v>
      </c>
      <c r="J246" s="30">
        <f ca="1">IF(OFFSET($C$3,MATCH(I245,$B$3:$B$102,0)-1,J$2-1)=$I246,1,0)</f>
        <v>0</v>
      </c>
      <c r="K246" s="31">
        <f ca="1">IF(OFFSET($C$3,MATCH(I245,$B$3:$B$102,0)-1,K$2-1)=$I246,1,0)</f>
        <v>0</v>
      </c>
      <c r="L246" s="31">
        <f ca="1">IF(OFFSET($C$3,MATCH(I245,$B$3:$B$102,0)-1,L$2-1)=$I246,1,0)</f>
        <v>0</v>
      </c>
      <c r="M246" s="31">
        <f ca="1">IF(OFFSET($C$3,MATCH(I245,$B$3:$B$102,0)-1,M$2-1)=$I246,1,0)</f>
        <v>0</v>
      </c>
      <c r="N246" s="32">
        <f ca="1">IF(OFFSET($C$3,MATCH(I245,$B$3:$B$102,0)-1,N$2-1)=$I246,1,0)</f>
        <v>0</v>
      </c>
    </row>
    <row r="247" spans="2:67" x14ac:dyDescent="0.25">
      <c r="B247" s="20" t="s">
        <v>69</v>
      </c>
      <c r="C247" s="24"/>
      <c r="D247" s="25"/>
      <c r="E247" s="25"/>
      <c r="F247" s="25"/>
      <c r="G247" s="26"/>
      <c r="I247" s="39">
        <v>1</v>
      </c>
      <c r="J247" s="33">
        <f ca="1">IF(OFFSET($C$3,MATCH(I245,$B$3:$B$102,0)-1,J$2-1)=$I247,1,0)</f>
        <v>1</v>
      </c>
      <c r="K247" s="34">
        <f ca="1">IF(OFFSET($C$3,MATCH(I245,$B$3:$B$102,0)-1,K$2-1)=$I247,1,0)</f>
        <v>0</v>
      </c>
      <c r="L247" s="34">
        <f ca="1">IF(OFFSET($C$3,MATCH(I245,$B$3:$B$102,0)-1,L$2-1)=$I247,1,0)</f>
        <v>0</v>
      </c>
      <c r="M247" s="34">
        <f ca="1">IF(OFFSET($C$3,MATCH(I245,$B$3:$B$102,0)-1,M$2-1)=$I247,1,0)</f>
        <v>0</v>
      </c>
      <c r="N247" s="35">
        <f ca="1">IF(OFFSET($C$3,MATCH(I245,$B$3:$B$102,0)-1,N$2-1)=$I247,1,0)</f>
        <v>1</v>
      </c>
      <c r="S247" s="20"/>
      <c r="AD247" s="39"/>
      <c r="AE247" s="20"/>
      <c r="AF247" s="20"/>
      <c r="AG247" s="20"/>
      <c r="AH247" s="20"/>
      <c r="AI247" s="20"/>
      <c r="AT247" s="39"/>
      <c r="AU247" s="20"/>
      <c r="AV247" s="20"/>
      <c r="AW247" s="20"/>
      <c r="AX247" s="20"/>
      <c r="AY247" s="20"/>
      <c r="BJ247" s="39"/>
      <c r="BK247" s="20"/>
      <c r="BL247" s="20"/>
      <c r="BM247" s="20"/>
      <c r="BN247" s="20"/>
      <c r="BO247" s="32">
        <v>0</v>
      </c>
    </row>
    <row r="248" spans="2:67" x14ac:dyDescent="0.25">
      <c r="B248" s="20" t="s">
        <v>70</v>
      </c>
      <c r="C248" s="27"/>
      <c r="D248" s="28"/>
      <c r="E248" s="28"/>
      <c r="F248" s="28"/>
      <c r="G248" s="29"/>
      <c r="I248" s="39">
        <v>2</v>
      </c>
      <c r="J248" s="43">
        <f ca="1">IF(OFFSET($C$3,MATCH(I245,$B$3:$B$102,0)-1,J$2-1)=$I248,1,0)</f>
        <v>0</v>
      </c>
      <c r="K248" s="44">
        <f ca="1">IF(OFFSET($C$3,MATCH(I245,$B$3:$B$102,0)-1,K$2-1)=$I248,1,0)</f>
        <v>1</v>
      </c>
      <c r="L248" s="44">
        <f ca="1">IF(OFFSET($C$3,MATCH(I245,$B$3:$B$102,0)-1,L$2-1)=$I248,1,0)</f>
        <v>1</v>
      </c>
      <c r="M248" s="44">
        <f ca="1">IF(OFFSET($C$3,MATCH(I245,$B$3:$B$102,0)-1,M$2-1)=$I248,1,0)</f>
        <v>1</v>
      </c>
      <c r="N248" s="45">
        <f ca="1">IF(OFFSET($C$3,MATCH(I245,$B$3:$B$102,0)-1,N$2-1)=$I248,1,0)</f>
        <v>0</v>
      </c>
      <c r="S248" s="42"/>
      <c r="AD248" s="39"/>
      <c r="AE248" s="42"/>
      <c r="AF248" s="42"/>
      <c r="AG248" s="42"/>
      <c r="AH248" s="42"/>
      <c r="AI248" s="42"/>
      <c r="AT248" s="39"/>
      <c r="AU248" s="42"/>
      <c r="AV248" s="42"/>
      <c r="AW248" s="42"/>
      <c r="AX248" s="42"/>
      <c r="AY248" s="42"/>
      <c r="BJ248" s="39"/>
      <c r="BK248" s="42"/>
      <c r="BL248" s="42"/>
      <c r="BM248" s="42"/>
      <c r="BN248" s="42"/>
      <c r="BO248" s="35">
        <v>0</v>
      </c>
    </row>
    <row r="249" spans="2:67" ht="15.75" thickBot="1" x14ac:dyDescent="0.3">
      <c r="B249" s="20" t="s">
        <v>71</v>
      </c>
      <c r="C249" s="24"/>
      <c r="D249" s="25"/>
      <c r="E249" s="25"/>
      <c r="F249" s="25"/>
      <c r="G249" s="26"/>
      <c r="I249" s="39">
        <v>3</v>
      </c>
      <c r="J249" s="36">
        <f ca="1">IF(OFFSET($C$3,MATCH(I245,$B$3:$B$102,0)-1,J$2-1)=$I249,1,0)</f>
        <v>0</v>
      </c>
      <c r="K249" s="37">
        <f ca="1">IF(OFFSET($C$3,MATCH(I245,$B$3:$B$102,0)-1,K$2-1)=$I249,1,0)</f>
        <v>0</v>
      </c>
      <c r="L249" s="37">
        <f ca="1">IF(OFFSET($C$3,MATCH(I245,$B$3:$B$102,0)-1,L$2-1)=$I249,1,0)</f>
        <v>0</v>
      </c>
      <c r="M249" s="37">
        <f ca="1">IF(OFFSET($C$3,MATCH(I245,$B$3:$B$102,0)-1,M$2-1)=$I249,1,0)</f>
        <v>0</v>
      </c>
      <c r="N249" s="38">
        <f ca="1">IF(OFFSET($C$3,MATCH(I245,$B$3:$B$102,0)-1,N$2-1)=$I249,1,0)</f>
        <v>0</v>
      </c>
      <c r="S249" s="20"/>
      <c r="AD249" s="39"/>
      <c r="AE249" s="20"/>
      <c r="AF249" s="20"/>
      <c r="AG249" s="20"/>
      <c r="AH249" s="20"/>
      <c r="AI249" s="20"/>
      <c r="AT249" s="39"/>
      <c r="AU249" s="20"/>
      <c r="AV249" s="20"/>
      <c r="AW249" s="20"/>
      <c r="AX249" s="20"/>
      <c r="AY249" s="20"/>
      <c r="BJ249" s="39"/>
      <c r="BK249" s="20"/>
      <c r="BL249" s="20"/>
      <c r="BM249" s="20"/>
      <c r="BN249" s="20"/>
      <c r="BO249" s="38">
        <v>1</v>
      </c>
    </row>
    <row r="250" spans="2:67" x14ac:dyDescent="0.25">
      <c r="B250" s="20" t="s">
        <v>72</v>
      </c>
      <c r="C250" s="24"/>
      <c r="D250" s="25"/>
      <c r="E250" s="25"/>
      <c r="F250" s="25"/>
      <c r="G250" s="26"/>
      <c r="I250" s="39"/>
      <c r="J250" s="20"/>
      <c r="K250" s="20"/>
      <c r="L250" s="20"/>
      <c r="M250" s="20"/>
      <c r="N250" s="20"/>
    </row>
    <row r="251" spans="2:67" ht="15.75" thickBot="1" x14ac:dyDescent="0.3">
      <c r="B251" s="20" t="s">
        <v>73</v>
      </c>
      <c r="C251" s="24"/>
      <c r="D251" s="25"/>
      <c r="E251" s="25"/>
      <c r="F251" s="25"/>
      <c r="G251" s="26"/>
      <c r="I251" t="str">
        <f>MID(I245,1,5)&amp;MID(I245,6,2)+1</f>
        <v>Line_9</v>
      </c>
      <c r="O251" s="40">
        <f>VALUE(MID($I251,6,3))</f>
        <v>9</v>
      </c>
    </row>
    <row r="252" spans="2:67" x14ac:dyDescent="0.25">
      <c r="B252" s="20" t="s">
        <v>74</v>
      </c>
      <c r="C252" s="24"/>
      <c r="D252" s="25"/>
      <c r="E252" s="25"/>
      <c r="F252" s="25"/>
      <c r="G252" s="26"/>
      <c r="I252" s="39">
        <v>0</v>
      </c>
      <c r="J252" s="30">
        <f ca="1">IF(OFFSET($C$3,MATCH(I251,$B$3:$B$102,0)-1,J$2-1)=$I252,1,0)</f>
        <v>0</v>
      </c>
      <c r="K252" s="31">
        <f ca="1">IF(OFFSET($C$3,MATCH(I251,$B$3:$B$102,0)-1,K$2-1)=$I252,1,0)</f>
        <v>1</v>
      </c>
      <c r="L252" s="31">
        <f ca="1">IF(OFFSET($C$3,MATCH(I251,$B$3:$B$102,0)-1,L$2-1)=$I252,1,0)</f>
        <v>1</v>
      </c>
      <c r="M252" s="31">
        <f ca="1">IF(OFFSET($C$3,MATCH(I251,$B$3:$B$102,0)-1,M$2-1)=$I252,1,0)</f>
        <v>1</v>
      </c>
      <c r="N252" s="32">
        <f ca="1">IF(OFFSET($C$3,MATCH(I251,$B$3:$B$102,0)-1,N$2-1)=$I252,1,0)</f>
        <v>0</v>
      </c>
    </row>
    <row r="253" spans="2:67" x14ac:dyDescent="0.25">
      <c r="B253" s="20" t="s">
        <v>75</v>
      </c>
      <c r="C253" s="27"/>
      <c r="D253" s="28"/>
      <c r="E253" s="28"/>
      <c r="F253" s="28"/>
      <c r="G253" s="29"/>
      <c r="I253" s="39">
        <v>1</v>
      </c>
      <c r="J253" s="33">
        <f ca="1">IF(OFFSET($C$3,MATCH(I251,$B$3:$B$102,0)-1,J$2-1)=$I253,1,0)</f>
        <v>1</v>
      </c>
      <c r="K253" s="34">
        <f ca="1">IF(OFFSET($C$3,MATCH(I251,$B$3:$B$102,0)-1,K$2-1)=$I253,1,0)</f>
        <v>0</v>
      </c>
      <c r="L253" s="34">
        <f ca="1">IF(OFFSET($C$3,MATCH(I251,$B$3:$B$102,0)-1,L$2-1)=$I253,1,0)</f>
        <v>0</v>
      </c>
      <c r="M253" s="34">
        <f ca="1">IF(OFFSET($C$3,MATCH(I251,$B$3:$B$102,0)-1,M$2-1)=$I253,1,0)</f>
        <v>0</v>
      </c>
      <c r="N253" s="35">
        <f ca="1">IF(OFFSET($C$3,MATCH(I251,$B$3:$B$102,0)-1,N$2-1)=$I253,1,0)</f>
        <v>1</v>
      </c>
    </row>
    <row r="254" spans="2:67" x14ac:dyDescent="0.25">
      <c r="B254" s="20" t="s">
        <v>76</v>
      </c>
      <c r="C254" s="24"/>
      <c r="D254" s="25"/>
      <c r="E254" s="25"/>
      <c r="F254" s="25"/>
      <c r="G254" s="26"/>
      <c r="I254" s="39">
        <v>2</v>
      </c>
      <c r="J254" s="43">
        <f ca="1">IF(OFFSET($C$3,MATCH(I251,$B$3:$B$102,0)-1,J$2-1)=$I254,1,0)</f>
        <v>0</v>
      </c>
      <c r="K254" s="44">
        <f ca="1">IF(OFFSET($C$3,MATCH(I251,$B$3:$B$102,0)-1,K$2-1)=$I254,1,0)</f>
        <v>0</v>
      </c>
      <c r="L254" s="44">
        <f ca="1">IF(OFFSET($C$3,MATCH(I251,$B$3:$B$102,0)-1,L$2-1)=$I254,1,0)</f>
        <v>0</v>
      </c>
      <c r="M254" s="44">
        <f ca="1">IF(OFFSET($C$3,MATCH(I251,$B$3:$B$102,0)-1,M$2-1)=$I254,1,0)</f>
        <v>0</v>
      </c>
      <c r="N254" s="45">
        <f ca="1">IF(OFFSET($C$3,MATCH(I251,$B$3:$B$102,0)-1,N$2-1)=$I254,1,0)</f>
        <v>0</v>
      </c>
    </row>
    <row r="255" spans="2:67" ht="15.75" thickBot="1" x14ac:dyDescent="0.3">
      <c r="B255" s="20" t="s">
        <v>77</v>
      </c>
      <c r="C255" s="24"/>
      <c r="D255" s="25"/>
      <c r="E255" s="25"/>
      <c r="F255" s="25"/>
      <c r="G255" s="26"/>
      <c r="I255" s="39">
        <v>3</v>
      </c>
      <c r="J255" s="36">
        <f ca="1">IF(OFFSET($C$3,MATCH(I251,$B$3:$B$102,0)-1,J$2-1)=$I255,1,0)</f>
        <v>0</v>
      </c>
      <c r="K255" s="37">
        <f ca="1">IF(OFFSET($C$3,MATCH(I251,$B$3:$B$102,0)-1,K$2-1)=$I255,1,0)</f>
        <v>0</v>
      </c>
      <c r="L255" s="37">
        <f ca="1">IF(OFFSET($C$3,MATCH(I251,$B$3:$B$102,0)-1,L$2-1)=$I255,1,0)</f>
        <v>0</v>
      </c>
      <c r="M255" s="37">
        <f ca="1">IF(OFFSET($C$3,MATCH(I251,$B$3:$B$102,0)-1,M$2-1)=$I255,1,0)</f>
        <v>0</v>
      </c>
      <c r="N255" s="38">
        <f ca="1">IF(OFFSET($C$3,MATCH(I251,$B$3:$B$102,0)-1,N$2-1)=$I255,1,0)</f>
        <v>0</v>
      </c>
    </row>
    <row r="256" spans="2:67" x14ac:dyDescent="0.25">
      <c r="B256" s="20" t="s">
        <v>78</v>
      </c>
      <c r="C256" s="24"/>
      <c r="D256" s="25"/>
      <c r="E256" s="25"/>
      <c r="F256" s="25"/>
      <c r="G256" s="26"/>
    </row>
    <row r="257" spans="2:15" ht="15.75" thickBot="1" x14ac:dyDescent="0.3">
      <c r="B257" s="20" t="s">
        <v>79</v>
      </c>
      <c r="C257" s="24"/>
      <c r="D257" s="25"/>
      <c r="E257" s="25"/>
      <c r="F257" s="25"/>
      <c r="G257" s="26"/>
      <c r="I257" t="str">
        <f>MID(I251,1,5)&amp;MID(I251,6,2)+1</f>
        <v>Line_10</v>
      </c>
      <c r="O257" s="40">
        <f>VALUE(MID($I257,6,3))</f>
        <v>10</v>
      </c>
    </row>
    <row r="258" spans="2:15" x14ac:dyDescent="0.25">
      <c r="B258" s="20" t="s">
        <v>80</v>
      </c>
      <c r="C258" s="27"/>
      <c r="D258" s="28"/>
      <c r="E258" s="28"/>
      <c r="F258" s="28"/>
      <c r="G258" s="29"/>
      <c r="I258" s="39">
        <v>0</v>
      </c>
      <c r="J258" s="30">
        <f ca="1">IF(OFFSET($C$3,MATCH(I257,$B$3:$B$102,0)-1,J$2-1)=$I258,1,0)</f>
        <v>1</v>
      </c>
      <c r="K258" s="31">
        <f ca="1">IF(OFFSET($C$3,MATCH(I257,$B$3:$B$102,0)-1,K$2-1)=$I258,1,0)</f>
        <v>0</v>
      </c>
      <c r="L258" s="31">
        <f ca="1">IF(OFFSET($C$3,MATCH(I257,$B$3:$B$102,0)-1,L$2-1)=$I258,1,0)</f>
        <v>0</v>
      </c>
      <c r="M258" s="31">
        <f ca="1">IF(OFFSET($C$3,MATCH(I257,$B$3:$B$102,0)-1,M$2-1)=$I258,1,0)</f>
        <v>0</v>
      </c>
      <c r="N258" s="32">
        <f ca="1">IF(OFFSET($C$3,MATCH(I257,$B$3:$B$102,0)-1,N$2-1)=$I258,1,0)</f>
        <v>1</v>
      </c>
    </row>
    <row r="259" spans="2:15" x14ac:dyDescent="0.25">
      <c r="B259" s="20" t="s">
        <v>81</v>
      </c>
      <c r="C259" s="24"/>
      <c r="D259" s="25"/>
      <c r="E259" s="25"/>
      <c r="F259" s="25"/>
      <c r="G259" s="26"/>
      <c r="I259" s="39">
        <v>1</v>
      </c>
      <c r="J259" s="33">
        <f ca="1">IF(OFFSET($C$3,MATCH(I257,$B$3:$B$102,0)-1,J$2-1)=$I259,1,0)</f>
        <v>0</v>
      </c>
      <c r="K259" s="34">
        <f ca="1">IF(OFFSET($C$3,MATCH(I257,$B$3:$B$102,0)-1,K$2-1)=$I259,1,0)</f>
        <v>1</v>
      </c>
      <c r="L259" s="34">
        <f ca="1">IF(OFFSET($C$3,MATCH(I257,$B$3:$B$102,0)-1,L$2-1)=$I259,1,0)</f>
        <v>1</v>
      </c>
      <c r="M259" s="34">
        <f ca="1">IF(OFFSET($C$3,MATCH(I257,$B$3:$B$102,0)-1,M$2-1)=$I259,1,0)</f>
        <v>1</v>
      </c>
      <c r="N259" s="35">
        <f ca="1">IF(OFFSET($C$3,MATCH(I257,$B$3:$B$102,0)-1,N$2-1)=$I259,1,0)</f>
        <v>0</v>
      </c>
    </row>
    <row r="260" spans="2:15" x14ac:dyDescent="0.25">
      <c r="B260" s="20" t="s">
        <v>82</v>
      </c>
      <c r="C260" s="24"/>
      <c r="D260" s="25"/>
      <c r="E260" s="25"/>
      <c r="F260" s="25"/>
      <c r="G260" s="26"/>
      <c r="I260" s="39">
        <v>2</v>
      </c>
      <c r="J260" s="43">
        <f ca="1">IF(OFFSET($C$3,MATCH(I257,$B$3:$B$102,0)-1,J$2-1)=$I260,1,0)</f>
        <v>0</v>
      </c>
      <c r="K260" s="44">
        <f ca="1">IF(OFFSET($C$3,MATCH(I257,$B$3:$B$102,0)-1,K$2-1)=$I260,1,0)</f>
        <v>0</v>
      </c>
      <c r="L260" s="44">
        <f ca="1">IF(OFFSET($C$3,MATCH(I257,$B$3:$B$102,0)-1,L$2-1)=$I260,1,0)</f>
        <v>0</v>
      </c>
      <c r="M260" s="44">
        <f ca="1">IF(OFFSET($C$3,MATCH(I257,$B$3:$B$102,0)-1,M$2-1)=$I260,1,0)</f>
        <v>0</v>
      </c>
      <c r="N260" s="45">
        <f ca="1">IF(OFFSET($C$3,MATCH(I257,$B$3:$B$102,0)-1,N$2-1)=$I260,1,0)</f>
        <v>0</v>
      </c>
    </row>
    <row r="261" spans="2:15" ht="15.75" thickBot="1" x14ac:dyDescent="0.3">
      <c r="B261" s="20" t="s">
        <v>83</v>
      </c>
      <c r="C261" s="24"/>
      <c r="D261" s="25"/>
      <c r="E261" s="25"/>
      <c r="F261" s="25"/>
      <c r="G261" s="26"/>
      <c r="I261" s="39">
        <v>3</v>
      </c>
      <c r="J261" s="36">
        <f ca="1">IF(OFFSET($C$3,MATCH(I257,$B$3:$B$102,0)-1,J$2-1)=$I261,1,0)</f>
        <v>0</v>
      </c>
      <c r="K261" s="37">
        <f ca="1">IF(OFFSET($C$3,MATCH(I257,$B$3:$B$102,0)-1,K$2-1)=$I261,1,0)</f>
        <v>0</v>
      </c>
      <c r="L261" s="37">
        <f ca="1">IF(OFFSET($C$3,MATCH(I257,$B$3:$B$102,0)-1,L$2-1)=$I261,1,0)</f>
        <v>0</v>
      </c>
      <c r="M261" s="37">
        <f ca="1">IF(OFFSET($C$3,MATCH(I257,$B$3:$B$102,0)-1,M$2-1)=$I261,1,0)</f>
        <v>0</v>
      </c>
      <c r="N261" s="38">
        <f ca="1">IF(OFFSET($C$3,MATCH(I257,$B$3:$B$102,0)-1,N$2-1)=$I261,1,0)</f>
        <v>0</v>
      </c>
    </row>
    <row r="262" spans="2:15" x14ac:dyDescent="0.25">
      <c r="B262" s="20" t="s">
        <v>84</v>
      </c>
      <c r="C262" s="24"/>
      <c r="D262" s="25"/>
      <c r="E262" s="25"/>
      <c r="F262" s="25"/>
      <c r="G262" s="26"/>
      <c r="I262" s="39"/>
      <c r="J262" s="20"/>
      <c r="K262" s="20"/>
      <c r="L262" s="20"/>
      <c r="M262" s="20"/>
      <c r="N262" s="20"/>
    </row>
    <row r="263" spans="2:15" ht="15.75" thickBot="1" x14ac:dyDescent="0.3">
      <c r="B263" s="20" t="s">
        <v>85</v>
      </c>
      <c r="C263" s="27"/>
      <c r="D263" s="28"/>
      <c r="E263" s="28"/>
      <c r="F263" s="28"/>
      <c r="G263" s="29"/>
      <c r="I263" t="str">
        <f>MID(I257,1,5)&amp;MID(I257,6,2)+1</f>
        <v>Line_11</v>
      </c>
      <c r="O263" s="40">
        <f>VALUE(MID($I263,6,3))</f>
        <v>11</v>
      </c>
    </row>
    <row r="264" spans="2:15" x14ac:dyDescent="0.25">
      <c r="B264" s="20" t="s">
        <v>86</v>
      </c>
      <c r="C264" s="24"/>
      <c r="D264" s="25"/>
      <c r="E264" s="25"/>
      <c r="F264" s="25"/>
      <c r="G264" s="26"/>
      <c r="I264" s="39">
        <v>0</v>
      </c>
      <c r="J264" s="30">
        <f ca="1">IF(OFFSET($C$3,MATCH(I263,$B$3:$B$102,0)-1,J$2-1)=$I264,1,0)</f>
        <v>0</v>
      </c>
      <c r="K264" s="31">
        <f ca="1">IF(OFFSET($C$3,MATCH(I263,$B$3:$B$102,0)-1,K$2-1)=$I264,1,0)</f>
        <v>0</v>
      </c>
      <c r="L264" s="31">
        <f ca="1">IF(OFFSET($C$3,MATCH(I263,$B$3:$B$102,0)-1,L$2-1)=$I264,1,0)</f>
        <v>0</v>
      </c>
      <c r="M264" s="31">
        <f ca="1">IF(OFFSET($C$3,MATCH(I263,$B$3:$B$102,0)-1,M$2-1)=$I264,1,0)</f>
        <v>0</v>
      </c>
      <c r="N264" s="32">
        <f ca="1">IF(OFFSET($C$3,MATCH(I263,$B$3:$B$102,0)-1,N$2-1)=$I264,1,0)</f>
        <v>0</v>
      </c>
    </row>
    <row r="265" spans="2:15" x14ac:dyDescent="0.25">
      <c r="B265" s="20" t="s">
        <v>87</v>
      </c>
      <c r="C265" s="24"/>
      <c r="D265" s="25"/>
      <c r="E265" s="25"/>
      <c r="F265" s="25"/>
      <c r="G265" s="26"/>
      <c r="I265" s="39">
        <v>1</v>
      </c>
      <c r="J265" s="33">
        <f ca="1">IF(OFFSET($C$3,MATCH(I263,$B$3:$B$102,0)-1,J$2-1)=$I265,1,0)</f>
        <v>0</v>
      </c>
      <c r="K265" s="34">
        <f ca="1">IF(OFFSET($C$3,MATCH(I263,$B$3:$B$102,0)-1,K$2-1)=$I265,1,0)</f>
        <v>1</v>
      </c>
      <c r="L265" s="34">
        <f ca="1">IF(OFFSET($C$3,MATCH(I263,$B$3:$B$102,0)-1,L$2-1)=$I265,1,0)</f>
        <v>1</v>
      </c>
      <c r="M265" s="34">
        <f ca="1">IF(OFFSET($C$3,MATCH(I263,$B$3:$B$102,0)-1,M$2-1)=$I265,1,0)</f>
        <v>1</v>
      </c>
      <c r="N265" s="35">
        <f ca="1">IF(OFFSET($C$3,MATCH(I263,$B$3:$B$102,0)-1,N$2-1)=$I265,1,0)</f>
        <v>0</v>
      </c>
    </row>
    <row r="266" spans="2:15" x14ac:dyDescent="0.25">
      <c r="B266" s="20" t="s">
        <v>88</v>
      </c>
      <c r="C266" s="24"/>
      <c r="D266" s="25"/>
      <c r="E266" s="25"/>
      <c r="F266" s="25"/>
      <c r="G266" s="26"/>
      <c r="I266" s="39">
        <v>2</v>
      </c>
      <c r="J266" s="43">
        <f ca="1">IF(OFFSET($C$3,MATCH(I263,$B$3:$B$102,0)-1,J$2-1)=$I266,1,0)</f>
        <v>1</v>
      </c>
      <c r="K266" s="44">
        <f ca="1">IF(OFFSET($C$3,MATCH(I263,$B$3:$B$102,0)-1,K$2-1)=$I266,1,0)</f>
        <v>0</v>
      </c>
      <c r="L266" s="44">
        <f ca="1">IF(OFFSET($C$3,MATCH(I263,$B$3:$B$102,0)-1,L$2-1)=$I266,1,0)</f>
        <v>0</v>
      </c>
      <c r="M266" s="44">
        <f ca="1">IF(OFFSET($C$3,MATCH(I263,$B$3:$B$102,0)-1,M$2-1)=$I266,1,0)</f>
        <v>0</v>
      </c>
      <c r="N266" s="45">
        <f ca="1">IF(OFFSET($C$3,MATCH(I263,$B$3:$B$102,0)-1,N$2-1)=$I266,1,0)</f>
        <v>1</v>
      </c>
    </row>
    <row r="267" spans="2:15" ht="15.75" thickBot="1" x14ac:dyDescent="0.3">
      <c r="B267" s="20" t="s">
        <v>89</v>
      </c>
      <c r="C267" s="24"/>
      <c r="D267" s="25"/>
      <c r="E267" s="25"/>
      <c r="F267" s="25"/>
      <c r="G267" s="26"/>
      <c r="I267" s="39">
        <v>3</v>
      </c>
      <c r="J267" s="36">
        <f ca="1">IF(OFFSET($C$3,MATCH(I263,$B$3:$B$102,0)-1,J$2-1)=$I267,1,0)</f>
        <v>0</v>
      </c>
      <c r="K267" s="37">
        <f ca="1">IF(OFFSET($C$3,MATCH(I263,$B$3:$B$102,0)-1,K$2-1)=$I267,1,0)</f>
        <v>0</v>
      </c>
      <c r="L267" s="37">
        <f ca="1">IF(OFFSET($C$3,MATCH(I263,$B$3:$B$102,0)-1,L$2-1)=$I267,1,0)</f>
        <v>0</v>
      </c>
      <c r="M267" s="37">
        <f ca="1">IF(OFFSET($C$3,MATCH(I263,$B$3:$B$102,0)-1,M$2-1)=$I267,1,0)</f>
        <v>0</v>
      </c>
      <c r="N267" s="38">
        <f ca="1">IF(OFFSET($C$3,MATCH(I263,$B$3:$B$102,0)-1,N$2-1)=$I267,1,0)</f>
        <v>0</v>
      </c>
    </row>
    <row r="268" spans="2:15" x14ac:dyDescent="0.25">
      <c r="B268" s="20" t="s">
        <v>90</v>
      </c>
      <c r="C268" s="27"/>
      <c r="D268" s="28"/>
      <c r="E268" s="28"/>
      <c r="F268" s="28"/>
      <c r="G268" s="29"/>
      <c r="I268" s="39"/>
      <c r="J268" s="42"/>
      <c r="K268" s="42"/>
      <c r="L268" s="42"/>
      <c r="M268" s="42"/>
      <c r="N268" s="42"/>
    </row>
    <row r="269" spans="2:15" ht="15.75" thickBot="1" x14ac:dyDescent="0.3">
      <c r="B269" s="20" t="s">
        <v>91</v>
      </c>
      <c r="C269" s="24"/>
      <c r="D269" s="25"/>
      <c r="E269" s="25"/>
      <c r="F269" s="25"/>
      <c r="G269" s="26"/>
      <c r="I269" t="str">
        <f>MID(I263,1,5)&amp;MID(I263,6,2)+1</f>
        <v>Line_12</v>
      </c>
      <c r="O269" s="40">
        <f>VALUE(MID($I269,6,3))</f>
        <v>12</v>
      </c>
    </row>
    <row r="270" spans="2:15" x14ac:dyDescent="0.25">
      <c r="B270" s="20" t="s">
        <v>92</v>
      </c>
      <c r="C270" s="24"/>
      <c r="D270" s="25"/>
      <c r="E270" s="25"/>
      <c r="F270" s="25"/>
      <c r="G270" s="26"/>
      <c r="I270" s="39">
        <v>0</v>
      </c>
      <c r="J270" s="30">
        <f ca="1">IF(OFFSET($C$3,MATCH(I269,$B$3:$B$102,0)-1,J$2-1)=$I270,1,0)</f>
        <v>0</v>
      </c>
      <c r="K270" s="31">
        <f ca="1">IF(OFFSET($C$3,MATCH(I269,$B$3:$B$102,0)-1,K$2-1)=$I270,1,0)</f>
        <v>0</v>
      </c>
      <c r="L270" s="31">
        <f ca="1">IF(OFFSET($C$3,MATCH(I269,$B$3:$B$102,0)-1,L$2-1)=$I270,1,0)</f>
        <v>0</v>
      </c>
      <c r="M270" s="31">
        <f ca="1">IF(OFFSET($C$3,MATCH(I269,$B$3:$B$102,0)-1,M$2-1)=$I270,1,0)</f>
        <v>1</v>
      </c>
      <c r="N270" s="32">
        <f ca="1">IF(OFFSET($C$3,MATCH(I269,$B$3:$B$102,0)-1,N$2-1)=$I270,1,0)</f>
        <v>0</v>
      </c>
    </row>
    <row r="271" spans="2:15" x14ac:dyDescent="0.25">
      <c r="B271" s="20" t="s">
        <v>93</v>
      </c>
      <c r="C271" s="24"/>
      <c r="D271" s="25"/>
      <c r="E271" s="25"/>
      <c r="F271" s="25"/>
      <c r="G271" s="26"/>
      <c r="I271" s="39">
        <v>1</v>
      </c>
      <c r="J271" s="33">
        <f ca="1">IF(OFFSET($C$3,MATCH(I269,$B$3:$B$102,0)-1,J$2-1)=$I271,1,0)</f>
        <v>1</v>
      </c>
      <c r="K271" s="34">
        <f ca="1">IF(OFFSET($C$3,MATCH(I269,$B$3:$B$102,0)-1,K$2-1)=$I271,1,0)</f>
        <v>0</v>
      </c>
      <c r="L271" s="34">
        <f ca="1">IF(OFFSET($C$3,MATCH(I269,$B$3:$B$102,0)-1,L$2-1)=$I271,1,0)</f>
        <v>1</v>
      </c>
      <c r="M271" s="34">
        <f ca="1">IF(OFFSET($C$3,MATCH(I269,$B$3:$B$102,0)-1,M$2-1)=$I271,1,0)</f>
        <v>0</v>
      </c>
      <c r="N271" s="35">
        <f ca="1">IF(OFFSET($C$3,MATCH(I269,$B$3:$B$102,0)-1,N$2-1)=$I271,1,0)</f>
        <v>1</v>
      </c>
    </row>
    <row r="272" spans="2:15" x14ac:dyDescent="0.25">
      <c r="B272" s="20" t="s">
        <v>94</v>
      </c>
      <c r="C272" s="24"/>
      <c r="D272" s="25"/>
      <c r="E272" s="25"/>
      <c r="F272" s="25"/>
      <c r="G272" s="26"/>
      <c r="I272" s="39">
        <v>2</v>
      </c>
      <c r="J272" s="43">
        <f ca="1">IF(OFFSET($C$3,MATCH(I269,$B$3:$B$102,0)-1,J$2-1)=$I272,1,0)</f>
        <v>0</v>
      </c>
      <c r="K272" s="44">
        <f ca="1">IF(OFFSET($C$3,MATCH(I269,$B$3:$B$102,0)-1,K$2-1)=$I272,1,0)</f>
        <v>1</v>
      </c>
      <c r="L272" s="44">
        <f ca="1">IF(OFFSET($C$3,MATCH(I269,$B$3:$B$102,0)-1,L$2-1)=$I272,1,0)</f>
        <v>0</v>
      </c>
      <c r="M272" s="44">
        <f ca="1">IF(OFFSET($C$3,MATCH(I269,$B$3:$B$102,0)-1,M$2-1)=$I272,1,0)</f>
        <v>0</v>
      </c>
      <c r="N272" s="45">
        <f ca="1">IF(OFFSET($C$3,MATCH(I269,$B$3:$B$102,0)-1,N$2-1)=$I272,1,0)</f>
        <v>0</v>
      </c>
    </row>
    <row r="273" spans="2:15" ht="15.75" thickBot="1" x14ac:dyDescent="0.3">
      <c r="B273" s="20" t="s">
        <v>95</v>
      </c>
      <c r="C273" s="27"/>
      <c r="D273" s="28"/>
      <c r="E273" s="28"/>
      <c r="F273" s="28"/>
      <c r="G273" s="29"/>
      <c r="I273" s="39">
        <v>3</v>
      </c>
      <c r="J273" s="36">
        <f ca="1">IF(OFFSET($C$3,MATCH(I269,$B$3:$B$102,0)-1,J$2-1)=$I273,1,0)</f>
        <v>0</v>
      </c>
      <c r="K273" s="37">
        <f ca="1">IF(OFFSET($C$3,MATCH(I269,$B$3:$B$102,0)-1,K$2-1)=$I273,1,0)</f>
        <v>0</v>
      </c>
      <c r="L273" s="37">
        <f ca="1">IF(OFFSET($C$3,MATCH(I269,$B$3:$B$102,0)-1,L$2-1)=$I273,1,0)</f>
        <v>0</v>
      </c>
      <c r="M273" s="37">
        <f ca="1">IF(OFFSET($C$3,MATCH(I269,$B$3:$B$102,0)-1,M$2-1)=$I273,1,0)</f>
        <v>0</v>
      </c>
      <c r="N273" s="38">
        <f ca="1">IF(OFFSET($C$3,MATCH(I269,$B$3:$B$102,0)-1,N$2-1)=$I273,1,0)</f>
        <v>0</v>
      </c>
    </row>
    <row r="274" spans="2:15" x14ac:dyDescent="0.25">
      <c r="B274" s="20" t="s">
        <v>96</v>
      </c>
      <c r="C274" s="24"/>
      <c r="D274" s="25"/>
      <c r="E274" s="25"/>
      <c r="F274" s="25"/>
      <c r="G274" s="26"/>
      <c r="J274" s="20"/>
      <c r="K274" s="20"/>
      <c r="L274" s="20"/>
      <c r="M274" s="20"/>
      <c r="N274" s="20"/>
    </row>
    <row r="275" spans="2:15" ht="15.75" thickBot="1" x14ac:dyDescent="0.3">
      <c r="B275" s="20" t="s">
        <v>97</v>
      </c>
      <c r="C275" s="24"/>
      <c r="D275" s="25"/>
      <c r="E275" s="25"/>
      <c r="F275" s="25"/>
      <c r="G275" s="26"/>
      <c r="I275" t="str">
        <f>MID(I269,1,5)&amp;MID(I269,6,2)+1</f>
        <v>Line_13</v>
      </c>
      <c r="O275" s="40">
        <f>VALUE(MID($I275,6,3))</f>
        <v>13</v>
      </c>
    </row>
    <row r="276" spans="2:15" x14ac:dyDescent="0.25">
      <c r="B276" s="20" t="s">
        <v>98</v>
      </c>
      <c r="C276" s="24"/>
      <c r="D276" s="25"/>
      <c r="E276" s="25"/>
      <c r="F276" s="25"/>
      <c r="G276" s="26"/>
      <c r="I276" s="39">
        <v>0</v>
      </c>
      <c r="J276" s="30">
        <f ca="1">IF(OFFSET($C$3,MATCH(I275,$B$3:$B$102,0)-1,J$2-1)=$I276,1,0)</f>
        <v>0</v>
      </c>
      <c r="K276" s="31">
        <f ca="1">IF(OFFSET($C$3,MATCH(I275,$B$3:$B$102,0)-1,K$2-1)=$I276,1,0)</f>
        <v>1</v>
      </c>
      <c r="L276" s="31">
        <f ca="1">IF(OFFSET($C$3,MATCH(I275,$B$3:$B$102,0)-1,L$2-1)=$I276,1,0)</f>
        <v>0</v>
      </c>
      <c r="M276" s="31">
        <f ca="1">IF(OFFSET($C$3,MATCH(I275,$B$3:$B$102,0)-1,M$2-1)=$I276,1,0)</f>
        <v>0</v>
      </c>
      <c r="N276" s="32">
        <f ca="1">IF(OFFSET($C$3,MATCH(I275,$B$3:$B$102,0)-1,N$2-1)=$I276,1,0)</f>
        <v>0</v>
      </c>
    </row>
    <row r="277" spans="2:15" x14ac:dyDescent="0.25">
      <c r="B277" s="20" t="s">
        <v>99</v>
      </c>
      <c r="C277" s="24"/>
      <c r="D277" s="25"/>
      <c r="E277" s="25"/>
      <c r="F277" s="25"/>
      <c r="G277" s="26"/>
      <c r="I277" s="39">
        <v>1</v>
      </c>
      <c r="J277" s="33">
        <f ca="1">IF(OFFSET($C$3,MATCH(I275,$B$3:$B$102,0)-1,J$2-1)=$I277,1,0)</f>
        <v>1</v>
      </c>
      <c r="K277" s="34">
        <f ca="1">IF(OFFSET($C$3,MATCH(I275,$B$3:$B$102,0)-1,K$2-1)=$I277,1,0)</f>
        <v>0</v>
      </c>
      <c r="L277" s="34">
        <f ca="1">IF(OFFSET($C$3,MATCH(I275,$B$3:$B$102,0)-1,L$2-1)=$I277,1,0)</f>
        <v>1</v>
      </c>
      <c r="M277" s="34">
        <f ca="1">IF(OFFSET($C$3,MATCH(I275,$B$3:$B$102,0)-1,M$2-1)=$I277,1,0)</f>
        <v>0</v>
      </c>
      <c r="N277" s="35">
        <f ca="1">IF(OFFSET($C$3,MATCH(I275,$B$3:$B$102,0)-1,N$2-1)=$I277,1,0)</f>
        <v>1</v>
      </c>
    </row>
    <row r="278" spans="2:15" x14ac:dyDescent="0.25">
      <c r="B278" s="20" t="s">
        <v>100</v>
      </c>
      <c r="C278" s="27"/>
      <c r="D278" s="28"/>
      <c r="E278" s="28"/>
      <c r="F278" s="28"/>
      <c r="G278" s="29"/>
      <c r="I278" s="39">
        <v>2</v>
      </c>
      <c r="J278" s="43">
        <f ca="1">IF(OFFSET($C$3,MATCH(I275,$B$3:$B$102,0)-1,J$2-1)=$I278,1,0)</f>
        <v>0</v>
      </c>
      <c r="K278" s="44">
        <f ca="1">IF(OFFSET($C$3,MATCH(I275,$B$3:$B$102,0)-1,K$2-1)=$I278,1,0)</f>
        <v>0</v>
      </c>
      <c r="L278" s="44">
        <f ca="1">IF(OFFSET($C$3,MATCH(I275,$B$3:$B$102,0)-1,L$2-1)=$I278,1,0)</f>
        <v>0</v>
      </c>
      <c r="M278" s="44">
        <f ca="1">IF(OFFSET($C$3,MATCH(I275,$B$3:$B$102,0)-1,M$2-1)=$I278,1,0)</f>
        <v>1</v>
      </c>
      <c r="N278" s="45">
        <f ca="1">IF(OFFSET($C$3,MATCH(I275,$B$3:$B$102,0)-1,N$2-1)=$I278,1,0)</f>
        <v>0</v>
      </c>
    </row>
    <row r="279" spans="2:15" ht="15.75" thickBot="1" x14ac:dyDescent="0.3">
      <c r="B279" s="20" t="s">
        <v>101</v>
      </c>
      <c r="C279" s="24"/>
      <c r="D279" s="25"/>
      <c r="E279" s="25"/>
      <c r="F279" s="25"/>
      <c r="G279" s="26"/>
      <c r="I279" s="39">
        <v>3</v>
      </c>
      <c r="J279" s="36">
        <f ca="1">IF(OFFSET($C$3,MATCH(I275,$B$3:$B$102,0)-1,J$2-1)=$I279,1,0)</f>
        <v>0</v>
      </c>
      <c r="K279" s="37">
        <f ca="1">IF(OFFSET($C$3,MATCH(I275,$B$3:$B$102,0)-1,K$2-1)=$I279,1,0)</f>
        <v>0</v>
      </c>
      <c r="L279" s="37">
        <f ca="1">IF(OFFSET($C$3,MATCH(I275,$B$3:$B$102,0)-1,L$2-1)=$I279,1,0)</f>
        <v>0</v>
      </c>
      <c r="M279" s="37">
        <f ca="1">IF(OFFSET($C$3,MATCH(I275,$B$3:$B$102,0)-1,M$2-1)=$I279,1,0)</f>
        <v>0</v>
      </c>
      <c r="N279" s="38">
        <f ca="1">IF(OFFSET($C$3,MATCH(I275,$B$3:$B$102,0)-1,N$2-1)=$I279,1,0)</f>
        <v>0</v>
      </c>
    </row>
    <row r="280" spans="2:15" x14ac:dyDescent="0.25">
      <c r="B280" s="20" t="s">
        <v>102</v>
      </c>
      <c r="C280" s="24"/>
      <c r="D280" s="25"/>
      <c r="E280" s="25"/>
      <c r="F280" s="25"/>
      <c r="G280" s="26"/>
      <c r="I280" s="39"/>
    </row>
    <row r="281" spans="2:15" ht="15.75" thickBot="1" x14ac:dyDescent="0.3">
      <c r="B281" s="20" t="s">
        <v>103</v>
      </c>
      <c r="C281" s="24"/>
      <c r="D281" s="25"/>
      <c r="E281" s="25"/>
      <c r="F281" s="25"/>
      <c r="G281" s="26"/>
      <c r="I281" t="str">
        <f>MID(I275,1,5)&amp;MID(I275,6,2)+1</f>
        <v>Line_14</v>
      </c>
      <c r="O281" s="40">
        <f>VALUE(MID($I281,6,3))</f>
        <v>14</v>
      </c>
    </row>
    <row r="282" spans="2:15" x14ac:dyDescent="0.25">
      <c r="B282" s="20" t="s">
        <v>104</v>
      </c>
      <c r="C282" s="24"/>
      <c r="D282" s="25"/>
      <c r="E282" s="25"/>
      <c r="F282" s="25"/>
      <c r="G282" s="26"/>
      <c r="I282" s="39">
        <v>0</v>
      </c>
      <c r="J282" s="30">
        <f ca="1">IF(OFFSET($C$3,MATCH(I281,$B$3:$B$102,0)-1,J$2-1)=$I282,1,0)</f>
        <v>1</v>
      </c>
      <c r="K282" s="31">
        <f ca="1">IF(OFFSET($C$3,MATCH(I281,$B$3:$B$102,0)-1,K$2-1)=$I282,1,0)</f>
        <v>0</v>
      </c>
      <c r="L282" s="31">
        <f ca="1">IF(OFFSET($C$3,MATCH(I281,$B$3:$B$102,0)-1,L$2-1)=$I282,1,0)</f>
        <v>1</v>
      </c>
      <c r="M282" s="31">
        <f ca="1">IF(OFFSET($C$3,MATCH(I281,$B$3:$B$102,0)-1,M$2-1)=$I282,1,0)</f>
        <v>0</v>
      </c>
      <c r="N282" s="32">
        <f ca="1">IF(OFFSET($C$3,MATCH(I281,$B$3:$B$102,0)-1,N$2-1)=$I282,1,0)</f>
        <v>1</v>
      </c>
    </row>
    <row r="283" spans="2:15" x14ac:dyDescent="0.25">
      <c r="B283" s="20" t="s">
        <v>105</v>
      </c>
      <c r="C283" s="27"/>
      <c r="D283" s="28"/>
      <c r="E283" s="28"/>
      <c r="F283" s="28"/>
      <c r="G283" s="29"/>
      <c r="I283" s="39">
        <v>1</v>
      </c>
      <c r="J283" s="33">
        <f ca="1">IF(OFFSET($C$3,MATCH(I281,$B$3:$B$102,0)-1,J$2-1)=$I283,1,0)</f>
        <v>0</v>
      </c>
      <c r="K283" s="34">
        <f ca="1">IF(OFFSET($C$3,MATCH(I281,$B$3:$B$102,0)-1,K$2-1)=$I283,1,0)</f>
        <v>1</v>
      </c>
      <c r="L283" s="34">
        <f ca="1">IF(OFFSET($C$3,MATCH(I281,$B$3:$B$102,0)-1,L$2-1)=$I283,1,0)</f>
        <v>0</v>
      </c>
      <c r="M283" s="34">
        <f ca="1">IF(OFFSET($C$3,MATCH(I281,$B$3:$B$102,0)-1,M$2-1)=$I283,1,0)</f>
        <v>1</v>
      </c>
      <c r="N283" s="35">
        <f ca="1">IF(OFFSET($C$3,MATCH(I281,$B$3:$B$102,0)-1,N$2-1)=$I283,1,0)</f>
        <v>0</v>
      </c>
    </row>
    <row r="284" spans="2:15" x14ac:dyDescent="0.25">
      <c r="B284" s="20" t="s">
        <v>106</v>
      </c>
      <c r="C284" s="21"/>
      <c r="D284" s="22"/>
      <c r="E284" s="22"/>
      <c r="F284" s="22"/>
      <c r="G284" s="23"/>
      <c r="I284" s="39">
        <v>2</v>
      </c>
      <c r="J284" s="43">
        <f ca="1">IF(OFFSET($C$3,MATCH(I281,$B$3:$B$102,0)-1,J$2-1)=$I284,1,0)</f>
        <v>0</v>
      </c>
      <c r="K284" s="44">
        <f ca="1">IF(OFFSET($C$3,MATCH(I281,$B$3:$B$102,0)-1,K$2-1)=$I284,1,0)</f>
        <v>0</v>
      </c>
      <c r="L284" s="44">
        <f ca="1">IF(OFFSET($C$3,MATCH(I281,$B$3:$B$102,0)-1,L$2-1)=$I284,1,0)</f>
        <v>0</v>
      </c>
      <c r="M284" s="44">
        <f ca="1">IF(OFFSET($C$3,MATCH(I281,$B$3:$B$102,0)-1,M$2-1)=$I284,1,0)</f>
        <v>0</v>
      </c>
      <c r="N284" s="45">
        <f ca="1">IF(OFFSET($C$3,MATCH(I281,$B$3:$B$102,0)-1,N$2-1)=$I284,1,0)</f>
        <v>0</v>
      </c>
    </row>
    <row r="285" spans="2:15" ht="15.75" thickBot="1" x14ac:dyDescent="0.3">
      <c r="B285" s="20" t="s">
        <v>107</v>
      </c>
      <c r="C285" s="24"/>
      <c r="D285" s="25"/>
      <c r="E285" s="25"/>
      <c r="F285" s="25"/>
      <c r="G285" s="26"/>
      <c r="I285" s="39">
        <v>3</v>
      </c>
      <c r="J285" s="36">
        <f ca="1">IF(OFFSET($C$3,MATCH(I281,$B$3:$B$102,0)-1,J$2-1)=$I285,1,0)</f>
        <v>0</v>
      </c>
      <c r="K285" s="37">
        <f ca="1">IF(OFFSET($C$3,MATCH(I281,$B$3:$B$102,0)-1,K$2-1)=$I285,1,0)</f>
        <v>0</v>
      </c>
      <c r="L285" s="37">
        <f ca="1">IF(OFFSET($C$3,MATCH(I281,$B$3:$B$102,0)-1,L$2-1)=$I285,1,0)</f>
        <v>0</v>
      </c>
      <c r="M285" s="37">
        <f ca="1">IF(OFFSET($C$3,MATCH(I281,$B$3:$B$102,0)-1,M$2-1)=$I285,1,0)</f>
        <v>0</v>
      </c>
      <c r="N285" s="38">
        <f ca="1">IF(OFFSET($C$3,MATCH(I281,$B$3:$B$102,0)-1,N$2-1)=$I285,1,0)</f>
        <v>0</v>
      </c>
    </row>
    <row r="286" spans="2:15" x14ac:dyDescent="0.25">
      <c r="B286" s="20" t="s">
        <v>108</v>
      </c>
      <c r="C286" s="24"/>
      <c r="D286" s="25"/>
      <c r="E286" s="25"/>
      <c r="F286" s="25"/>
      <c r="G286" s="26"/>
      <c r="I286" s="39"/>
    </row>
    <row r="287" spans="2:15" ht="15.75" thickBot="1" x14ac:dyDescent="0.3">
      <c r="B287" s="20" t="s">
        <v>109</v>
      </c>
      <c r="C287" s="24"/>
      <c r="D287" s="25"/>
      <c r="E287" s="25"/>
      <c r="F287" s="25"/>
      <c r="G287" s="26"/>
      <c r="I287" t="str">
        <f>MID(I281,1,5)&amp;MID(I281,6,2)+1</f>
        <v>Line_15</v>
      </c>
      <c r="O287" s="40">
        <f>VALUE(MID($I287,6,3))</f>
        <v>15</v>
      </c>
    </row>
    <row r="288" spans="2:15" x14ac:dyDescent="0.25">
      <c r="B288" s="20" t="s">
        <v>110</v>
      </c>
      <c r="C288" s="27"/>
      <c r="D288" s="28"/>
      <c r="E288" s="28"/>
      <c r="F288" s="28"/>
      <c r="G288" s="29"/>
      <c r="I288" s="39">
        <v>0</v>
      </c>
      <c r="J288" s="30">
        <f ca="1">IF(OFFSET($C$3,MATCH(I287,$B$3:$B$102,0)-1,J$2-1)=$I288,1,0)</f>
        <v>0</v>
      </c>
      <c r="K288" s="31">
        <f ca="1">IF(OFFSET($C$3,MATCH(I287,$B$3:$B$102,0)-1,K$2-1)=$I288,1,0)</f>
        <v>0</v>
      </c>
      <c r="L288" s="31">
        <f ca="1">IF(OFFSET($C$3,MATCH(I287,$B$3:$B$102,0)-1,L$2-1)=$I288,1,0)</f>
        <v>0</v>
      </c>
      <c r="M288" s="31">
        <f ca="1">IF(OFFSET($C$3,MATCH(I287,$B$3:$B$102,0)-1,M$2-1)=$I288,1,0)</f>
        <v>0</v>
      </c>
      <c r="N288" s="32">
        <f ca="1">IF(OFFSET($C$3,MATCH(I287,$B$3:$B$102,0)-1,N$2-1)=$I288,1,0)</f>
        <v>0</v>
      </c>
    </row>
    <row r="289" spans="2:15" x14ac:dyDescent="0.25">
      <c r="B289" s="20" t="s">
        <v>111</v>
      </c>
      <c r="C289" s="24"/>
      <c r="D289" s="25"/>
      <c r="E289" s="25"/>
      <c r="F289" s="25"/>
      <c r="G289" s="26"/>
      <c r="I289" s="39">
        <v>1</v>
      </c>
      <c r="J289" s="33">
        <f ca="1">IF(OFFSET($C$3,MATCH(I287,$B$3:$B$102,0)-1,J$2-1)=$I289,1,0)</f>
        <v>0</v>
      </c>
      <c r="K289" s="34">
        <f ca="1">IF(OFFSET($C$3,MATCH(I287,$B$3:$B$102,0)-1,K$2-1)=$I289,1,0)</f>
        <v>1</v>
      </c>
      <c r="L289" s="34">
        <f ca="1">IF(OFFSET($C$3,MATCH(I287,$B$3:$B$102,0)-1,L$2-1)=$I289,1,0)</f>
        <v>0</v>
      </c>
      <c r="M289" s="34">
        <f ca="1">IF(OFFSET($C$3,MATCH(I287,$B$3:$B$102,0)-1,M$2-1)=$I289,1,0)</f>
        <v>1</v>
      </c>
      <c r="N289" s="35">
        <f ca="1">IF(OFFSET($C$3,MATCH(I287,$B$3:$B$102,0)-1,N$2-1)=$I289,1,0)</f>
        <v>0</v>
      </c>
    </row>
    <row r="290" spans="2:15" x14ac:dyDescent="0.25">
      <c r="B290" s="20" t="s">
        <v>112</v>
      </c>
      <c r="C290" s="24"/>
      <c r="D290" s="25"/>
      <c r="E290" s="25"/>
      <c r="F290" s="25"/>
      <c r="G290" s="26"/>
      <c r="I290" s="39">
        <v>2</v>
      </c>
      <c r="J290" s="43">
        <f ca="1">IF(OFFSET($C$3,MATCH(I287,$B$3:$B$102,0)-1,J$2-1)=$I290,1,0)</f>
        <v>1</v>
      </c>
      <c r="K290" s="44">
        <f ca="1">IF(OFFSET($C$3,MATCH(I287,$B$3:$B$102,0)-1,K$2-1)=$I290,1,0)</f>
        <v>0</v>
      </c>
      <c r="L290" s="44">
        <f ca="1">IF(OFFSET($C$3,MATCH(I287,$B$3:$B$102,0)-1,L$2-1)=$I290,1,0)</f>
        <v>1</v>
      </c>
      <c r="M290" s="44">
        <f ca="1">IF(OFFSET($C$3,MATCH(I287,$B$3:$B$102,0)-1,M$2-1)=$I290,1,0)</f>
        <v>0</v>
      </c>
      <c r="N290" s="45">
        <f ca="1">IF(OFFSET($C$3,MATCH(I287,$B$3:$B$102,0)-1,N$2-1)=$I290,1,0)</f>
        <v>1</v>
      </c>
    </row>
    <row r="291" spans="2:15" ht="15.75" thickBot="1" x14ac:dyDescent="0.3">
      <c r="B291" s="20" t="s">
        <v>113</v>
      </c>
      <c r="C291" s="24"/>
      <c r="D291" s="25"/>
      <c r="E291" s="25"/>
      <c r="F291" s="25"/>
      <c r="G291" s="26"/>
      <c r="I291" s="39">
        <v>3</v>
      </c>
      <c r="J291" s="36">
        <f ca="1">IF(OFFSET($C$3,MATCH(I287,$B$3:$B$102,0)-1,J$2-1)=$I291,1,0)</f>
        <v>0</v>
      </c>
      <c r="K291" s="37">
        <f ca="1">IF(OFFSET($C$3,MATCH(I287,$B$3:$B$102,0)-1,K$2-1)=$I291,1,0)</f>
        <v>0</v>
      </c>
      <c r="L291" s="37">
        <f ca="1">IF(OFFSET($C$3,MATCH(I287,$B$3:$B$102,0)-1,L$2-1)=$I291,1,0)</f>
        <v>0</v>
      </c>
      <c r="M291" s="37">
        <f ca="1">IF(OFFSET($C$3,MATCH(I287,$B$3:$B$102,0)-1,M$2-1)=$I291,1,0)</f>
        <v>0</v>
      </c>
      <c r="N291" s="38">
        <f ca="1">IF(OFFSET($C$3,MATCH(I287,$B$3:$B$102,0)-1,N$2-1)=$I291,1,0)</f>
        <v>0</v>
      </c>
    </row>
    <row r="292" spans="2:15" x14ac:dyDescent="0.25">
      <c r="B292" s="20" t="s">
        <v>114</v>
      </c>
      <c r="C292" s="24"/>
      <c r="D292" s="25"/>
      <c r="E292" s="25"/>
      <c r="F292" s="25"/>
      <c r="G292" s="26"/>
      <c r="I292" s="39"/>
      <c r="J292" s="20"/>
      <c r="K292" s="20"/>
      <c r="L292" s="20"/>
      <c r="M292" s="20"/>
      <c r="N292" s="20"/>
    </row>
    <row r="293" spans="2:15" ht="15.75" thickBot="1" x14ac:dyDescent="0.3">
      <c r="B293" s="20" t="s">
        <v>115</v>
      </c>
      <c r="C293" s="27"/>
      <c r="D293" s="28"/>
      <c r="E293" s="28"/>
      <c r="F293" s="28"/>
      <c r="G293" s="29"/>
      <c r="I293" t="str">
        <f>MID(I287,1,5)&amp;MID(I287,6,2)+1</f>
        <v>Line_16</v>
      </c>
      <c r="O293" s="40">
        <f>VALUE(MID($I293,6,3))</f>
        <v>16</v>
      </c>
    </row>
    <row r="294" spans="2:15" x14ac:dyDescent="0.25">
      <c r="B294" s="20" t="s">
        <v>116</v>
      </c>
      <c r="C294" s="24"/>
      <c r="D294" s="25"/>
      <c r="E294" s="25"/>
      <c r="F294" s="25"/>
      <c r="G294" s="26"/>
      <c r="I294" s="39">
        <v>0</v>
      </c>
      <c r="J294" s="30">
        <f ca="1">IF(OFFSET($C$3,MATCH(I293,$B$3:$B$102,0)-1,J$2-1)=$I294,1,0)</f>
        <v>0</v>
      </c>
      <c r="K294" s="31">
        <f ca="1">IF(OFFSET($C$3,MATCH(I293,$B$3:$B$102,0)-1,K$2-1)=$I294,1,0)</f>
        <v>0</v>
      </c>
      <c r="L294" s="31">
        <f ca="1">IF(OFFSET($C$3,MATCH(I293,$B$3:$B$102,0)-1,L$2-1)=$I294,1,0)</f>
        <v>0</v>
      </c>
      <c r="M294" s="31">
        <f ca="1">IF(OFFSET($C$3,MATCH(I293,$B$3:$B$102,0)-1,M$2-1)=$I294,1,0)</f>
        <v>0</v>
      </c>
      <c r="N294" s="32">
        <f ca="1">IF(OFFSET($C$3,MATCH(I293,$B$3:$B$102,0)-1,N$2-1)=$I294,1,0)</f>
        <v>0</v>
      </c>
    </row>
    <row r="295" spans="2:15" x14ac:dyDescent="0.25">
      <c r="B295" s="20" t="s">
        <v>117</v>
      </c>
      <c r="C295" s="24"/>
      <c r="D295" s="25"/>
      <c r="E295" s="25"/>
      <c r="F295" s="25"/>
      <c r="G295" s="26"/>
      <c r="I295" s="39">
        <v>1</v>
      </c>
      <c r="J295" s="33">
        <f ca="1">IF(OFFSET($C$3,MATCH(I293,$B$3:$B$102,0)-1,J$2-1)=$I295,1,0)</f>
        <v>1</v>
      </c>
      <c r="K295" s="34">
        <f ca="1">IF(OFFSET($C$3,MATCH(I293,$B$3:$B$102,0)-1,K$2-1)=$I295,1,0)</f>
        <v>1</v>
      </c>
      <c r="L295" s="34">
        <f ca="1">IF(OFFSET($C$3,MATCH(I293,$B$3:$B$102,0)-1,L$2-1)=$I295,1,0)</f>
        <v>0</v>
      </c>
      <c r="M295" s="34">
        <f ca="1">IF(OFFSET($C$3,MATCH(I293,$B$3:$B$102,0)-1,M$2-1)=$I295,1,0)</f>
        <v>1</v>
      </c>
      <c r="N295" s="35">
        <f ca="1">IF(OFFSET($C$3,MATCH(I293,$B$3:$B$102,0)-1,N$2-1)=$I295,1,0)</f>
        <v>1</v>
      </c>
    </row>
    <row r="296" spans="2:15" x14ac:dyDescent="0.25">
      <c r="B296" s="20" t="s">
        <v>118</v>
      </c>
      <c r="C296" s="24"/>
      <c r="D296" s="25"/>
      <c r="E296" s="25"/>
      <c r="F296" s="25"/>
      <c r="G296" s="26"/>
      <c r="I296" s="39">
        <v>2</v>
      </c>
      <c r="J296" s="43">
        <f ca="1">IF(OFFSET($C$3,MATCH(I293,$B$3:$B$102,0)-1,J$2-1)=$I296,1,0)</f>
        <v>0</v>
      </c>
      <c r="K296" s="44">
        <f ca="1">IF(OFFSET($C$3,MATCH(I293,$B$3:$B$102,0)-1,K$2-1)=$I296,1,0)</f>
        <v>0</v>
      </c>
      <c r="L296" s="44">
        <f ca="1">IF(OFFSET($C$3,MATCH(I293,$B$3:$B$102,0)-1,L$2-1)=$I296,1,0)</f>
        <v>1</v>
      </c>
      <c r="M296" s="44">
        <f ca="1">IF(OFFSET($C$3,MATCH(I293,$B$3:$B$102,0)-1,M$2-1)=$I296,1,0)</f>
        <v>0</v>
      </c>
      <c r="N296" s="45">
        <f ca="1">IF(OFFSET($C$3,MATCH(I293,$B$3:$B$102,0)-1,N$2-1)=$I296,1,0)</f>
        <v>0</v>
      </c>
    </row>
    <row r="297" spans="2:15" ht="15.75" thickBot="1" x14ac:dyDescent="0.3">
      <c r="B297" s="20" t="s">
        <v>119</v>
      </c>
      <c r="C297" s="24"/>
      <c r="D297" s="25"/>
      <c r="E297" s="25"/>
      <c r="F297" s="25"/>
      <c r="G297" s="26"/>
      <c r="I297" s="39">
        <v>3</v>
      </c>
      <c r="J297" s="36">
        <f ca="1">IF(OFFSET($C$3,MATCH(I293,$B$3:$B$102,0)-1,J$2-1)=$I297,1,0)</f>
        <v>0</v>
      </c>
      <c r="K297" s="37">
        <f ca="1">IF(OFFSET($C$3,MATCH(I293,$B$3:$B$102,0)-1,K$2-1)=$I297,1,0)</f>
        <v>0</v>
      </c>
      <c r="L297" s="37">
        <f ca="1">IF(OFFSET($C$3,MATCH(I293,$B$3:$B$102,0)-1,L$2-1)=$I297,1,0)</f>
        <v>0</v>
      </c>
      <c r="M297" s="37">
        <f ca="1">IF(OFFSET($C$3,MATCH(I293,$B$3:$B$102,0)-1,M$2-1)=$I297,1,0)</f>
        <v>0</v>
      </c>
      <c r="N297" s="38">
        <f ca="1">IF(OFFSET($C$3,MATCH(I293,$B$3:$B$102,0)-1,N$2-1)=$I297,1,0)</f>
        <v>0</v>
      </c>
    </row>
    <row r="298" spans="2:15" x14ac:dyDescent="0.25">
      <c r="B298" s="20" t="s">
        <v>120</v>
      </c>
      <c r="C298" s="27"/>
      <c r="D298" s="28"/>
      <c r="E298" s="28"/>
      <c r="F298" s="28"/>
      <c r="G298" s="29"/>
    </row>
    <row r="299" spans="2:15" ht="15.75" thickBot="1" x14ac:dyDescent="0.3">
      <c r="B299" s="20" t="s">
        <v>121</v>
      </c>
      <c r="C299" s="24"/>
      <c r="D299" s="25"/>
      <c r="E299" s="25"/>
      <c r="F299" s="25"/>
      <c r="G299" s="26"/>
      <c r="I299" t="str">
        <f>MID(I293,1,5)&amp;MID(I293,6,2)+1</f>
        <v>Line_17</v>
      </c>
      <c r="O299" s="40">
        <f>VALUE(MID($I299,6,3))</f>
        <v>17</v>
      </c>
    </row>
    <row r="300" spans="2:15" x14ac:dyDescent="0.25">
      <c r="B300" s="20" t="s">
        <v>122</v>
      </c>
      <c r="C300" s="24"/>
      <c r="D300" s="25"/>
      <c r="E300" s="25"/>
      <c r="F300" s="25"/>
      <c r="G300" s="26"/>
      <c r="I300" s="39">
        <v>0</v>
      </c>
      <c r="J300" s="30">
        <f ca="1">IF(OFFSET($C$3,MATCH(I299,$B$3:$B$102,0)-1,J$2-1)=$I300,1,0)</f>
        <v>0</v>
      </c>
      <c r="K300" s="31">
        <f ca="1">IF(OFFSET($C$3,MATCH(I299,$B$3:$B$102,0)-1,K$2-1)=$I300,1,0)</f>
        <v>0</v>
      </c>
      <c r="L300" s="31">
        <f ca="1">IF(OFFSET($C$3,MATCH(I299,$B$3:$B$102,0)-1,L$2-1)=$I300,1,0)</f>
        <v>1</v>
      </c>
      <c r="M300" s="31">
        <f ca="1">IF(OFFSET($C$3,MATCH(I299,$B$3:$B$102,0)-1,M$2-1)=$I300,1,0)</f>
        <v>0</v>
      </c>
      <c r="N300" s="32">
        <f ca="1">IF(OFFSET($C$3,MATCH(I299,$B$3:$B$102,0)-1,N$2-1)=$I300,1,0)</f>
        <v>0</v>
      </c>
    </row>
    <row r="301" spans="2:15" x14ac:dyDescent="0.25">
      <c r="B301" s="20" t="s">
        <v>123</v>
      </c>
      <c r="C301" s="24"/>
      <c r="D301" s="25"/>
      <c r="E301" s="25"/>
      <c r="F301" s="25"/>
      <c r="G301" s="26"/>
      <c r="I301" s="39">
        <v>1</v>
      </c>
      <c r="J301" s="33">
        <f ca="1">IF(OFFSET($C$3,MATCH(I299,$B$3:$B$102,0)-1,J$2-1)=$I301,1,0)</f>
        <v>1</v>
      </c>
      <c r="K301" s="34">
        <f ca="1">IF(OFFSET($C$3,MATCH(I299,$B$3:$B$102,0)-1,K$2-1)=$I301,1,0)</f>
        <v>1</v>
      </c>
      <c r="L301" s="34">
        <f ca="1">IF(OFFSET($C$3,MATCH(I299,$B$3:$B$102,0)-1,L$2-1)=$I301,1,0)</f>
        <v>0</v>
      </c>
      <c r="M301" s="34">
        <f ca="1">IF(OFFSET($C$3,MATCH(I299,$B$3:$B$102,0)-1,M$2-1)=$I301,1,0)</f>
        <v>1</v>
      </c>
      <c r="N301" s="35">
        <f ca="1">IF(OFFSET($C$3,MATCH(I299,$B$3:$B$102,0)-1,N$2-1)=$I301,1,0)</f>
        <v>1</v>
      </c>
    </row>
    <row r="302" spans="2:15" x14ac:dyDescent="0.25">
      <c r="B302" s="20" t="s">
        <v>124</v>
      </c>
      <c r="C302" s="24"/>
      <c r="D302" s="25"/>
      <c r="E302" s="25"/>
      <c r="F302" s="25"/>
      <c r="G302" s="26"/>
      <c r="I302" s="39">
        <v>2</v>
      </c>
      <c r="J302" s="43">
        <f ca="1">IF(OFFSET($C$3,MATCH(I299,$B$3:$B$102,0)-1,J$2-1)=$I302,1,0)</f>
        <v>0</v>
      </c>
      <c r="K302" s="44">
        <f ca="1">IF(OFFSET($C$3,MATCH(I299,$B$3:$B$102,0)-1,K$2-1)=$I302,1,0)</f>
        <v>0</v>
      </c>
      <c r="L302" s="44">
        <f ca="1">IF(OFFSET($C$3,MATCH(I299,$B$3:$B$102,0)-1,L$2-1)=$I302,1,0)</f>
        <v>0</v>
      </c>
      <c r="M302" s="44">
        <f ca="1">IF(OFFSET($C$3,MATCH(I299,$B$3:$B$102,0)-1,M$2-1)=$I302,1,0)</f>
        <v>0</v>
      </c>
      <c r="N302" s="45">
        <f ca="1">IF(OFFSET($C$3,MATCH(I299,$B$3:$B$102,0)-1,N$2-1)=$I302,1,0)</f>
        <v>0</v>
      </c>
    </row>
    <row r="303" spans="2:15" ht="15.75" thickBot="1" x14ac:dyDescent="0.3">
      <c r="B303" s="20" t="s">
        <v>125</v>
      </c>
      <c r="C303" s="27"/>
      <c r="D303" s="28"/>
      <c r="E303" s="28"/>
      <c r="F303" s="28"/>
      <c r="G303" s="29"/>
      <c r="I303" s="39">
        <v>3</v>
      </c>
      <c r="J303" s="36">
        <f ca="1">IF(OFFSET($C$3,MATCH(I299,$B$3:$B$102,0)-1,J$2-1)=$I303,1,0)</f>
        <v>0</v>
      </c>
      <c r="K303" s="37">
        <f ca="1">IF(OFFSET($C$3,MATCH(I299,$B$3:$B$102,0)-1,K$2-1)=$I303,1,0)</f>
        <v>0</v>
      </c>
      <c r="L303" s="37">
        <f ca="1">IF(OFFSET($C$3,MATCH(I299,$B$3:$B$102,0)-1,L$2-1)=$I303,1,0)</f>
        <v>0</v>
      </c>
      <c r="M303" s="37">
        <f ca="1">IF(OFFSET($C$3,MATCH(I299,$B$3:$B$102,0)-1,M$2-1)=$I303,1,0)</f>
        <v>0</v>
      </c>
      <c r="N303" s="38">
        <f ca="1">IF(OFFSET($C$3,MATCH(I299,$B$3:$B$102,0)-1,N$2-1)=$I303,1,0)</f>
        <v>0</v>
      </c>
    </row>
    <row r="304" spans="2:15" x14ac:dyDescent="0.25">
      <c r="J304" s="20"/>
      <c r="K304" s="20"/>
      <c r="L304" s="20"/>
      <c r="M304" s="20"/>
      <c r="N304" s="20"/>
    </row>
    <row r="305" spans="9:15" ht="15.75" thickBot="1" x14ac:dyDescent="0.3">
      <c r="I305" t="str">
        <f>MID(I299,1,5)&amp;MID(I299,6,2)+1</f>
        <v>Line_18</v>
      </c>
      <c r="O305" s="40">
        <f>VALUE(MID($I305,6,3))</f>
        <v>18</v>
      </c>
    </row>
    <row r="306" spans="9:15" x14ac:dyDescent="0.25">
      <c r="I306" s="39">
        <v>0</v>
      </c>
      <c r="J306" s="30">
        <f ca="1">IF(OFFSET($C$3,MATCH(I305,$B$3:$B$102,0)-1,J$2-1)=$I306,1,0)</f>
        <v>1</v>
      </c>
      <c r="K306" s="31">
        <f ca="1">IF(OFFSET($C$3,MATCH(I305,$B$3:$B$102,0)-1,K$2-1)=$I306,1,0)</f>
        <v>0</v>
      </c>
      <c r="L306" s="31">
        <f ca="1">IF(OFFSET($C$3,MATCH(I305,$B$3:$B$102,0)-1,L$2-1)=$I306,1,0)</f>
        <v>1</v>
      </c>
      <c r="M306" s="31">
        <f ca="1">IF(OFFSET($C$3,MATCH(I305,$B$3:$B$102,0)-1,M$2-1)=$I306,1,0)</f>
        <v>0</v>
      </c>
      <c r="N306" s="32">
        <f ca="1">IF(OFFSET($C$3,MATCH(I305,$B$3:$B$102,0)-1,N$2-1)=$I306,1,0)</f>
        <v>1</v>
      </c>
    </row>
    <row r="307" spans="9:15" x14ac:dyDescent="0.25">
      <c r="I307" s="39">
        <v>1</v>
      </c>
      <c r="J307" s="33">
        <f ca="1">IF(OFFSET($C$3,MATCH(I305,$B$3:$B$102,0)-1,J$2-1)=$I307,1,0)</f>
        <v>0</v>
      </c>
      <c r="K307" s="34">
        <f ca="1">IF(OFFSET($C$3,MATCH(I305,$B$3:$B$102,0)-1,K$2-1)=$I307,1,0)</f>
        <v>0</v>
      </c>
      <c r="L307" s="34">
        <f ca="1">IF(OFFSET($C$3,MATCH(I305,$B$3:$B$102,0)-1,L$2-1)=$I307,1,0)</f>
        <v>0</v>
      </c>
      <c r="M307" s="34">
        <f ca="1">IF(OFFSET($C$3,MATCH(I305,$B$3:$B$102,0)-1,M$2-1)=$I307,1,0)</f>
        <v>0</v>
      </c>
      <c r="N307" s="35">
        <f ca="1">IF(OFFSET($C$3,MATCH(I305,$B$3:$B$102,0)-1,N$2-1)=$I307,1,0)</f>
        <v>0</v>
      </c>
    </row>
    <row r="308" spans="9:15" x14ac:dyDescent="0.25">
      <c r="I308" s="39">
        <v>2</v>
      </c>
      <c r="J308" s="43">
        <f ca="1">IF(OFFSET($C$3,MATCH(I305,$B$3:$B$102,0)-1,J$2-1)=$I308,1,0)</f>
        <v>0</v>
      </c>
      <c r="K308" s="44">
        <f ca="1">IF(OFFSET($C$3,MATCH(I305,$B$3:$B$102,0)-1,K$2-1)=$I308,1,0)</f>
        <v>1</v>
      </c>
      <c r="L308" s="44">
        <f ca="1">IF(OFFSET($C$3,MATCH(I305,$B$3:$B$102,0)-1,L$2-1)=$I308,1,0)</f>
        <v>0</v>
      </c>
      <c r="M308" s="44">
        <f ca="1">IF(OFFSET($C$3,MATCH(I305,$B$3:$B$102,0)-1,M$2-1)=$I308,1,0)</f>
        <v>1</v>
      </c>
      <c r="N308" s="45">
        <f ca="1">IF(OFFSET($C$3,MATCH(I305,$B$3:$B$102,0)-1,N$2-1)=$I308,1,0)</f>
        <v>0</v>
      </c>
    </row>
    <row r="309" spans="9:15" ht="15.75" thickBot="1" x14ac:dyDescent="0.3">
      <c r="I309" s="39">
        <v>3</v>
      </c>
      <c r="J309" s="36">
        <f ca="1">IF(OFFSET($C$3,MATCH(I305,$B$3:$B$102,0)-1,J$2-1)=$I309,1,0)</f>
        <v>0</v>
      </c>
      <c r="K309" s="37">
        <f ca="1">IF(OFFSET($C$3,MATCH(I305,$B$3:$B$102,0)-1,K$2-1)=$I309,1,0)</f>
        <v>0</v>
      </c>
      <c r="L309" s="37">
        <f ca="1">IF(OFFSET($C$3,MATCH(I305,$B$3:$B$102,0)-1,L$2-1)=$I309,1,0)</f>
        <v>0</v>
      </c>
      <c r="M309" s="37">
        <f ca="1">IF(OFFSET($C$3,MATCH(I305,$B$3:$B$102,0)-1,M$2-1)=$I309,1,0)</f>
        <v>0</v>
      </c>
      <c r="N309" s="38">
        <f ca="1">IF(OFFSET($C$3,MATCH(I305,$B$3:$B$102,0)-1,N$2-1)=$I309,1,0)</f>
        <v>0</v>
      </c>
    </row>
    <row r="310" spans="9:15" x14ac:dyDescent="0.25">
      <c r="I310" s="39"/>
      <c r="J310" s="42"/>
      <c r="K310" s="42"/>
      <c r="L310" s="42"/>
      <c r="M310" s="42"/>
      <c r="N310" s="42"/>
    </row>
    <row r="311" spans="9:15" ht="15.75" thickBot="1" x14ac:dyDescent="0.3">
      <c r="I311" t="str">
        <f>MID(I305,1,5)&amp;MID(I305,6,2)+1</f>
        <v>Line_19</v>
      </c>
      <c r="O311" s="40">
        <f>VALUE(MID($I311,6,3))</f>
        <v>19</v>
      </c>
    </row>
    <row r="312" spans="9:15" x14ac:dyDescent="0.25">
      <c r="I312" s="39">
        <v>0</v>
      </c>
      <c r="J312" s="30">
        <f ca="1">IF(OFFSET($C$3,MATCH(I311,$B$3:$B$102,0)-1,J$2-1)=$I312,1,0)</f>
        <v>0</v>
      </c>
      <c r="K312" s="31">
        <f ca="1">IF(OFFSET($C$3,MATCH(I311,$B$3:$B$102,0)-1,K$2-1)=$I312,1,0)</f>
        <v>1</v>
      </c>
      <c r="L312" s="31">
        <f ca="1">IF(OFFSET($C$3,MATCH(I311,$B$3:$B$102,0)-1,L$2-1)=$I312,1,0)</f>
        <v>0</v>
      </c>
      <c r="M312" s="31">
        <f ca="1">IF(OFFSET($C$3,MATCH(I311,$B$3:$B$102,0)-1,M$2-1)=$I312,1,0)</f>
        <v>1</v>
      </c>
      <c r="N312" s="32">
        <f ca="1">IF(OFFSET($C$3,MATCH(I311,$B$3:$B$102,0)-1,N$2-1)=$I312,1,0)</f>
        <v>0</v>
      </c>
    </row>
    <row r="313" spans="9:15" x14ac:dyDescent="0.25">
      <c r="I313" s="39">
        <v>1</v>
      </c>
      <c r="J313" s="33">
        <f ca="1">IF(OFFSET($C$3,MATCH(I311,$B$3:$B$102,0)-1,J$2-1)=$I313,1,0)</f>
        <v>0</v>
      </c>
      <c r="K313" s="34">
        <f ca="1">IF(OFFSET($C$3,MATCH(I311,$B$3:$B$102,0)-1,K$2-1)=$I313,1,0)</f>
        <v>0</v>
      </c>
      <c r="L313" s="34">
        <f ca="1">IF(OFFSET($C$3,MATCH(I311,$B$3:$B$102,0)-1,L$2-1)=$I313,1,0)</f>
        <v>0</v>
      </c>
      <c r="M313" s="34">
        <f ca="1">IF(OFFSET($C$3,MATCH(I311,$B$3:$B$102,0)-1,M$2-1)=$I313,1,0)</f>
        <v>0</v>
      </c>
      <c r="N313" s="35">
        <f ca="1">IF(OFFSET($C$3,MATCH(I311,$B$3:$B$102,0)-1,N$2-1)=$I313,1,0)</f>
        <v>0</v>
      </c>
    </row>
    <row r="314" spans="9:15" x14ac:dyDescent="0.25">
      <c r="I314" s="39">
        <v>2</v>
      </c>
      <c r="J314" s="43">
        <f ca="1">IF(OFFSET($C$3,MATCH(I311,$B$3:$B$102,0)-1,J$2-1)=$I314,1,0)</f>
        <v>1</v>
      </c>
      <c r="K314" s="44">
        <f ca="1">IF(OFFSET($C$3,MATCH(I311,$B$3:$B$102,0)-1,K$2-1)=$I314,1,0)</f>
        <v>0</v>
      </c>
      <c r="L314" s="44">
        <f ca="1">IF(OFFSET($C$3,MATCH(I311,$B$3:$B$102,0)-1,L$2-1)=$I314,1,0)</f>
        <v>1</v>
      </c>
      <c r="M314" s="44">
        <f ca="1">IF(OFFSET($C$3,MATCH(I311,$B$3:$B$102,0)-1,M$2-1)=$I314,1,0)</f>
        <v>0</v>
      </c>
      <c r="N314" s="45">
        <f ca="1">IF(OFFSET($C$3,MATCH(I311,$B$3:$B$102,0)-1,N$2-1)=$I314,1,0)</f>
        <v>1</v>
      </c>
    </row>
    <row r="315" spans="9:15" ht="15.75" thickBot="1" x14ac:dyDescent="0.3">
      <c r="I315" s="39">
        <v>3</v>
      </c>
      <c r="J315" s="36">
        <f ca="1">IF(OFFSET($C$3,MATCH(I311,$B$3:$B$102,0)-1,J$2-1)=$I315,1,0)</f>
        <v>0</v>
      </c>
      <c r="K315" s="37">
        <f ca="1">IF(OFFSET($C$3,MATCH(I311,$B$3:$B$102,0)-1,K$2-1)=$I315,1,0)</f>
        <v>0</v>
      </c>
      <c r="L315" s="37">
        <f ca="1">IF(OFFSET($C$3,MATCH(I311,$B$3:$B$102,0)-1,L$2-1)=$I315,1,0)</f>
        <v>0</v>
      </c>
      <c r="M315" s="37">
        <f ca="1">IF(OFFSET($C$3,MATCH(I311,$B$3:$B$102,0)-1,M$2-1)=$I315,1,0)</f>
        <v>0</v>
      </c>
      <c r="N315" s="38">
        <f ca="1">IF(OFFSET($C$3,MATCH(I311,$B$3:$B$102,0)-1,N$2-1)=$I315,1,0)</f>
        <v>0</v>
      </c>
    </row>
    <row r="316" spans="9:15" x14ac:dyDescent="0.25">
      <c r="J316" s="20"/>
      <c r="K316" s="20"/>
      <c r="L316" s="20"/>
      <c r="M316" s="20"/>
      <c r="N316" s="20"/>
    </row>
    <row r="317" spans="9:15" ht="15.75" thickBot="1" x14ac:dyDescent="0.3">
      <c r="I317" t="str">
        <f>MID(I311,1,5)&amp;MID(I311,6,2)+1</f>
        <v>Line_20</v>
      </c>
      <c r="O317" s="40">
        <f>VALUE(MID($I317,6,3))</f>
        <v>20</v>
      </c>
    </row>
    <row r="318" spans="9:15" x14ac:dyDescent="0.25">
      <c r="I318" s="39">
        <v>0</v>
      </c>
      <c r="J318" s="30">
        <f ca="1">IF(OFFSET($C$3,MATCH(I317,$B$3:$B$102,0)-1,J$2-1)=$I318,1,0)</f>
        <v>0</v>
      </c>
      <c r="K318" s="31">
        <f ca="1">IF(OFFSET($C$3,MATCH(I317,$B$3:$B$102,0)-1,K$2-1)=$I318,1,0)</f>
        <v>1</v>
      </c>
      <c r="L318" s="31">
        <f ca="1">IF(OFFSET($C$3,MATCH(I317,$B$3:$B$102,0)-1,L$2-1)=$I318,1,0)</f>
        <v>0</v>
      </c>
      <c r="M318" s="31">
        <f ca="1">IF(OFFSET($C$3,MATCH(I317,$B$3:$B$102,0)-1,M$2-1)=$I318,1,0)</f>
        <v>1</v>
      </c>
      <c r="N318" s="32">
        <f ca="1">IF(OFFSET($C$3,MATCH(I317,$B$3:$B$102,0)-1,N$2-1)=$I318,1,0)</f>
        <v>0</v>
      </c>
    </row>
    <row r="319" spans="9:15" x14ac:dyDescent="0.25">
      <c r="I319" s="39">
        <v>1</v>
      </c>
      <c r="J319" s="33">
        <f ca="1">IF(OFFSET($C$3,MATCH(I317,$B$3:$B$102,0)-1,J$2-1)=$I319,1,0)</f>
        <v>1</v>
      </c>
      <c r="K319" s="34">
        <f ca="1">IF(OFFSET($C$3,MATCH(I317,$B$3:$B$102,0)-1,K$2-1)=$I319,1,0)</f>
        <v>0</v>
      </c>
      <c r="L319" s="34">
        <f ca="1">IF(OFFSET($C$3,MATCH(I317,$B$3:$B$102,0)-1,L$2-1)=$I319,1,0)</f>
        <v>0</v>
      </c>
      <c r="M319" s="34">
        <f ca="1">IF(OFFSET($C$3,MATCH(I317,$B$3:$B$102,0)-1,M$2-1)=$I319,1,0)</f>
        <v>0</v>
      </c>
      <c r="N319" s="35">
        <f ca="1">IF(OFFSET($C$3,MATCH(I317,$B$3:$B$102,0)-1,N$2-1)=$I319,1,0)</f>
        <v>1</v>
      </c>
    </row>
    <row r="320" spans="9:15" x14ac:dyDescent="0.25">
      <c r="I320" s="39">
        <v>2</v>
      </c>
      <c r="J320" s="43">
        <f ca="1">IF(OFFSET($C$3,MATCH(I317,$B$3:$B$102,0)-1,J$2-1)=$I320,1,0)</f>
        <v>0</v>
      </c>
      <c r="K320" s="44">
        <f ca="1">IF(OFFSET($C$3,MATCH(I317,$B$3:$B$102,0)-1,K$2-1)=$I320,1,0)</f>
        <v>0</v>
      </c>
      <c r="L320" s="44">
        <f ca="1">IF(OFFSET($C$3,MATCH(I317,$B$3:$B$102,0)-1,L$2-1)=$I320,1,0)</f>
        <v>1</v>
      </c>
      <c r="M320" s="44">
        <f ca="1">IF(OFFSET($C$3,MATCH(I317,$B$3:$B$102,0)-1,M$2-1)=$I320,1,0)</f>
        <v>0</v>
      </c>
      <c r="N320" s="45">
        <f ca="1">IF(OFFSET($C$3,MATCH(I317,$B$3:$B$102,0)-1,N$2-1)=$I320,1,0)</f>
        <v>0</v>
      </c>
    </row>
    <row r="321" spans="9:15" ht="15.75" thickBot="1" x14ac:dyDescent="0.3">
      <c r="I321" s="39">
        <v>3</v>
      </c>
      <c r="J321" s="36">
        <f ca="1">IF(OFFSET($C$3,MATCH(I317,$B$3:$B$102,0)-1,J$2-1)=$I321,1,0)</f>
        <v>0</v>
      </c>
      <c r="K321" s="37">
        <f ca="1">IF(OFFSET($C$3,MATCH(I317,$B$3:$B$102,0)-1,K$2-1)=$I321,1,0)</f>
        <v>0</v>
      </c>
      <c r="L321" s="37">
        <f ca="1">IF(OFFSET($C$3,MATCH(I317,$B$3:$B$102,0)-1,L$2-1)=$I321,1,0)</f>
        <v>0</v>
      </c>
      <c r="M321" s="37">
        <f ca="1">IF(OFFSET($C$3,MATCH(I317,$B$3:$B$102,0)-1,M$2-1)=$I321,1,0)</f>
        <v>0</v>
      </c>
      <c r="N321" s="38">
        <f ca="1">IF(OFFSET($C$3,MATCH(I317,$B$3:$B$102,0)-1,N$2-1)=$I321,1,0)</f>
        <v>0</v>
      </c>
    </row>
    <row r="322" spans="9:15" x14ac:dyDescent="0.25">
      <c r="I322" s="39"/>
    </row>
    <row r="323" spans="9:15" ht="15.75" thickBot="1" x14ac:dyDescent="0.3">
      <c r="I323" t="str">
        <f>MID(I317,1,5)&amp;MID(I317,6,2)+1</f>
        <v>Line_21</v>
      </c>
      <c r="O323" s="40">
        <f>VALUE(MID($I323,6,3))</f>
        <v>21</v>
      </c>
    </row>
    <row r="324" spans="9:15" x14ac:dyDescent="0.25">
      <c r="I324" s="39">
        <v>0</v>
      </c>
      <c r="J324" s="30">
        <f ca="1">IF(OFFSET($C$3,MATCH(I323,$B$3:$B$102,0)-1,J$2-1)=$I324,1,0)</f>
        <v>0</v>
      </c>
      <c r="K324" s="31">
        <f ca="1">IF(OFFSET($C$3,MATCH(I323,$B$3:$B$102,0)-1,K$2-1)=$I324,1,0)</f>
        <v>0</v>
      </c>
      <c r="L324" s="31">
        <f ca="1">IF(OFFSET($C$3,MATCH(I323,$B$3:$B$102,0)-1,L$2-1)=$I324,1,0)</f>
        <v>1</v>
      </c>
      <c r="M324" s="31">
        <f ca="1">IF(OFFSET($C$3,MATCH(I323,$B$3:$B$102,0)-1,M$2-1)=$I324,1,0)</f>
        <v>0</v>
      </c>
      <c r="N324" s="32">
        <f ca="1">IF(OFFSET($C$3,MATCH(I323,$B$3:$B$102,0)-1,N$2-1)=$I324,1,0)</f>
        <v>0</v>
      </c>
    </row>
    <row r="325" spans="9:15" x14ac:dyDescent="0.25">
      <c r="I325" s="39">
        <v>1</v>
      </c>
      <c r="J325" s="33">
        <f ca="1">IF(OFFSET($C$3,MATCH(I323,$B$3:$B$102,0)-1,J$2-1)=$I325,1,0)</f>
        <v>1</v>
      </c>
      <c r="K325" s="34">
        <f ca="1">IF(OFFSET($C$3,MATCH(I323,$B$3:$B$102,0)-1,K$2-1)=$I325,1,0)</f>
        <v>0</v>
      </c>
      <c r="L325" s="34">
        <f ca="1">IF(OFFSET($C$3,MATCH(I323,$B$3:$B$102,0)-1,L$2-1)=$I325,1,0)</f>
        <v>0</v>
      </c>
      <c r="M325" s="34">
        <f ca="1">IF(OFFSET($C$3,MATCH(I323,$B$3:$B$102,0)-1,M$2-1)=$I325,1,0)</f>
        <v>0</v>
      </c>
      <c r="N325" s="35">
        <f ca="1">IF(OFFSET($C$3,MATCH(I323,$B$3:$B$102,0)-1,N$2-1)=$I325,1,0)</f>
        <v>1</v>
      </c>
    </row>
    <row r="326" spans="9:15" x14ac:dyDescent="0.25">
      <c r="I326" s="39">
        <v>2</v>
      </c>
      <c r="J326" s="43">
        <f ca="1">IF(OFFSET($C$3,MATCH(I323,$B$3:$B$102,0)-1,J$2-1)=$I326,1,0)</f>
        <v>0</v>
      </c>
      <c r="K326" s="44">
        <f ca="1">IF(OFFSET($C$3,MATCH(I323,$B$3:$B$102,0)-1,K$2-1)=$I326,1,0)</f>
        <v>1</v>
      </c>
      <c r="L326" s="44">
        <f ca="1">IF(OFFSET($C$3,MATCH(I323,$B$3:$B$102,0)-1,L$2-1)=$I326,1,0)</f>
        <v>0</v>
      </c>
      <c r="M326" s="44">
        <f ca="1">IF(OFFSET($C$3,MATCH(I323,$B$3:$B$102,0)-1,M$2-1)=$I326,1,0)</f>
        <v>1</v>
      </c>
      <c r="N326" s="45">
        <f ca="1">IF(OFFSET($C$3,MATCH(I323,$B$3:$B$102,0)-1,N$2-1)=$I326,1,0)</f>
        <v>0</v>
      </c>
    </row>
    <row r="327" spans="9:15" ht="15.75" thickBot="1" x14ac:dyDescent="0.3">
      <c r="I327" s="39">
        <v>3</v>
      </c>
      <c r="J327" s="36">
        <f ca="1">IF(OFFSET($C$3,MATCH(I323,$B$3:$B$102,0)-1,J$2-1)=$I327,1,0)</f>
        <v>0</v>
      </c>
      <c r="K327" s="37">
        <f ca="1">IF(OFFSET($C$3,MATCH(I323,$B$3:$B$102,0)-1,K$2-1)=$I327,1,0)</f>
        <v>0</v>
      </c>
      <c r="L327" s="37">
        <f ca="1">IF(OFFSET($C$3,MATCH(I323,$B$3:$B$102,0)-1,L$2-1)=$I327,1,0)</f>
        <v>0</v>
      </c>
      <c r="M327" s="37">
        <f ca="1">IF(OFFSET($C$3,MATCH(I323,$B$3:$B$102,0)-1,M$2-1)=$I327,1,0)</f>
        <v>0</v>
      </c>
      <c r="N327" s="38">
        <f ca="1">IF(OFFSET($C$3,MATCH(I323,$B$3:$B$102,0)-1,N$2-1)=$I327,1,0)</f>
        <v>0</v>
      </c>
    </row>
    <row r="329" spans="9:15" ht="15.75" thickBot="1" x14ac:dyDescent="0.3">
      <c r="I329" t="str">
        <f>MID(I323,1,5)&amp;MID(I323,6,2)+1</f>
        <v>Line_22</v>
      </c>
      <c r="O329" s="40">
        <f>VALUE(MID($I329,6,3))</f>
        <v>22</v>
      </c>
    </row>
    <row r="330" spans="9:15" x14ac:dyDescent="0.25">
      <c r="I330" s="39">
        <v>0</v>
      </c>
      <c r="J330" s="30">
        <f ca="1">IF(OFFSET($C$3,MATCH(I329,$B$3:$B$102,0)-1,J$2-1)=$I330,1,0)</f>
        <v>1</v>
      </c>
      <c r="K330" s="31">
        <f ca="1">IF(OFFSET($C$3,MATCH(I329,$B$3:$B$102,0)-1,K$2-1)=$I330,1,0)</f>
        <v>1</v>
      </c>
      <c r="L330" s="31">
        <f ca="1">IF(OFFSET($C$3,MATCH(I329,$B$3:$B$102,0)-1,L$2-1)=$I330,1,0)</f>
        <v>0</v>
      </c>
      <c r="M330" s="31">
        <f ca="1">IF(OFFSET($C$3,MATCH(I329,$B$3:$B$102,0)-1,M$2-1)=$I330,1,0)</f>
        <v>1</v>
      </c>
      <c r="N330" s="32">
        <f ca="1">IF(OFFSET($C$3,MATCH(I329,$B$3:$B$102,0)-1,N$2-1)=$I330,1,0)</f>
        <v>1</v>
      </c>
    </row>
    <row r="331" spans="9:15" x14ac:dyDescent="0.25">
      <c r="I331" s="39">
        <v>1</v>
      </c>
      <c r="J331" s="33">
        <f ca="1">IF(OFFSET($C$3,MATCH(I329,$B$3:$B$102,0)-1,J$2-1)=$I331,1,0)</f>
        <v>0</v>
      </c>
      <c r="K331" s="34">
        <f ca="1">IF(OFFSET($C$3,MATCH(I329,$B$3:$B$102,0)-1,K$2-1)=$I331,1,0)</f>
        <v>0</v>
      </c>
      <c r="L331" s="34">
        <f ca="1">IF(OFFSET($C$3,MATCH(I329,$B$3:$B$102,0)-1,L$2-1)=$I331,1,0)</f>
        <v>0</v>
      </c>
      <c r="M331" s="34">
        <f ca="1">IF(OFFSET($C$3,MATCH(I329,$B$3:$B$102,0)-1,M$2-1)=$I331,1,0)</f>
        <v>0</v>
      </c>
      <c r="N331" s="35">
        <f ca="1">IF(OFFSET($C$3,MATCH(I329,$B$3:$B$102,0)-1,N$2-1)=$I331,1,0)</f>
        <v>0</v>
      </c>
    </row>
    <row r="332" spans="9:15" x14ac:dyDescent="0.25">
      <c r="I332" s="39">
        <v>2</v>
      </c>
      <c r="J332" s="43">
        <f ca="1">IF(OFFSET($C$3,MATCH(I329,$B$3:$B$102,0)-1,J$2-1)=$I332,1,0)</f>
        <v>0</v>
      </c>
      <c r="K332" s="44">
        <f ca="1">IF(OFFSET($C$3,MATCH(I329,$B$3:$B$102,0)-1,K$2-1)=$I332,1,0)</f>
        <v>0</v>
      </c>
      <c r="L332" s="44">
        <f ca="1">IF(OFFSET($C$3,MATCH(I329,$B$3:$B$102,0)-1,L$2-1)=$I332,1,0)</f>
        <v>1</v>
      </c>
      <c r="M332" s="44">
        <f ca="1">IF(OFFSET($C$3,MATCH(I329,$B$3:$B$102,0)-1,M$2-1)=$I332,1,0)</f>
        <v>0</v>
      </c>
      <c r="N332" s="45">
        <f ca="1">IF(OFFSET($C$3,MATCH(I329,$B$3:$B$102,0)-1,N$2-1)=$I332,1,0)</f>
        <v>0</v>
      </c>
    </row>
    <row r="333" spans="9:15" ht="15.75" thickBot="1" x14ac:dyDescent="0.3">
      <c r="I333" s="39">
        <v>3</v>
      </c>
      <c r="J333" s="36">
        <f ca="1">IF(OFFSET($C$3,MATCH(I329,$B$3:$B$102,0)-1,J$2-1)=$I333,1,0)</f>
        <v>0</v>
      </c>
      <c r="K333" s="37">
        <f ca="1">IF(OFFSET($C$3,MATCH(I329,$B$3:$B$102,0)-1,K$2-1)=$I333,1,0)</f>
        <v>0</v>
      </c>
      <c r="L333" s="37">
        <f ca="1">IF(OFFSET($C$3,MATCH(I329,$B$3:$B$102,0)-1,L$2-1)=$I333,1,0)</f>
        <v>0</v>
      </c>
      <c r="M333" s="37">
        <f ca="1">IF(OFFSET($C$3,MATCH(I329,$B$3:$B$102,0)-1,M$2-1)=$I333,1,0)</f>
        <v>0</v>
      </c>
      <c r="N333" s="38">
        <f ca="1">IF(OFFSET($C$3,MATCH(I329,$B$3:$B$102,0)-1,N$2-1)=$I333,1,0)</f>
        <v>0</v>
      </c>
    </row>
    <row r="334" spans="9:15" x14ac:dyDescent="0.25">
      <c r="J334" s="20"/>
      <c r="K334" s="20"/>
      <c r="L334" s="20"/>
      <c r="M334" s="20"/>
      <c r="N334" s="20"/>
    </row>
    <row r="335" spans="9:15" ht="15.75" thickBot="1" x14ac:dyDescent="0.3">
      <c r="I335" t="str">
        <f>MID(I329,1,5)&amp;MID(I329,6,2)+1</f>
        <v>Line_23</v>
      </c>
      <c r="O335" s="40">
        <f>VALUE(MID($I335,6,3))</f>
        <v>23</v>
      </c>
    </row>
    <row r="336" spans="9:15" x14ac:dyDescent="0.25">
      <c r="I336" s="39">
        <v>0</v>
      </c>
      <c r="J336" s="30">
        <f ca="1">IF(OFFSET($C$3,MATCH(I335,$B$3:$B$102,0)-1,J$2-1)=$I336,1,0)</f>
        <v>0</v>
      </c>
      <c r="K336" s="31">
        <f ca="1">IF(OFFSET($C$3,MATCH(I335,$B$3:$B$102,0)-1,K$2-1)=$I336,1,0)</f>
        <v>0</v>
      </c>
      <c r="L336" s="31">
        <f ca="1">IF(OFFSET($C$3,MATCH(I335,$B$3:$B$102,0)-1,L$2-1)=$I336,1,0)</f>
        <v>1</v>
      </c>
      <c r="M336" s="31">
        <f ca="1">IF(OFFSET($C$3,MATCH(I335,$B$3:$B$102,0)-1,M$2-1)=$I336,1,0)</f>
        <v>0</v>
      </c>
      <c r="N336" s="32">
        <f ca="1">IF(OFFSET($C$3,MATCH(I335,$B$3:$B$102,0)-1,N$2-1)=$I336,1,0)</f>
        <v>0</v>
      </c>
    </row>
    <row r="337" spans="9:66" x14ac:dyDescent="0.25">
      <c r="I337" s="39">
        <v>1</v>
      </c>
      <c r="J337" s="33">
        <f ca="1">IF(OFFSET($C$3,MATCH(I335,$B$3:$B$102,0)-1,J$2-1)=$I337,1,0)</f>
        <v>0</v>
      </c>
      <c r="K337" s="34">
        <f ca="1">IF(OFFSET($C$3,MATCH(I335,$B$3:$B$102,0)-1,K$2-1)=$I337,1,0)</f>
        <v>0</v>
      </c>
      <c r="L337" s="34">
        <f ca="1">IF(OFFSET($C$3,MATCH(I335,$B$3:$B$102,0)-1,L$2-1)=$I337,1,0)</f>
        <v>0</v>
      </c>
      <c r="M337" s="34">
        <f ca="1">IF(OFFSET($C$3,MATCH(I335,$B$3:$B$102,0)-1,M$2-1)=$I337,1,0)</f>
        <v>0</v>
      </c>
      <c r="N337" s="35">
        <f ca="1">IF(OFFSET($C$3,MATCH(I335,$B$3:$B$102,0)-1,N$2-1)=$I337,1,0)</f>
        <v>0</v>
      </c>
    </row>
    <row r="338" spans="9:66" x14ac:dyDescent="0.25">
      <c r="I338" s="39">
        <v>2</v>
      </c>
      <c r="J338" s="43">
        <f ca="1">IF(OFFSET($C$3,MATCH(I335,$B$3:$B$102,0)-1,J$2-1)=$I338,1,0)</f>
        <v>1</v>
      </c>
      <c r="K338" s="44">
        <f ca="1">IF(OFFSET($C$3,MATCH(I335,$B$3:$B$102,0)-1,K$2-1)=$I338,1,0)</f>
        <v>1</v>
      </c>
      <c r="L338" s="44">
        <f ca="1">IF(OFFSET($C$3,MATCH(I335,$B$3:$B$102,0)-1,L$2-1)=$I338,1,0)</f>
        <v>0</v>
      </c>
      <c r="M338" s="44">
        <f ca="1">IF(OFFSET($C$3,MATCH(I335,$B$3:$B$102,0)-1,M$2-1)=$I338,1,0)</f>
        <v>1</v>
      </c>
      <c r="N338" s="45">
        <f ca="1">IF(OFFSET($C$3,MATCH(I335,$B$3:$B$102,0)-1,N$2-1)=$I338,1,0)</f>
        <v>1</v>
      </c>
    </row>
    <row r="339" spans="9:66" ht="15.75" thickBot="1" x14ac:dyDescent="0.3">
      <c r="I339" s="39">
        <v>3</v>
      </c>
      <c r="J339" s="36">
        <f ca="1">IF(OFFSET($C$3,MATCH(I335,$B$3:$B$102,0)-1,J$2-1)=$I339,1,0)</f>
        <v>0</v>
      </c>
      <c r="K339" s="37">
        <f ca="1">IF(OFFSET($C$3,MATCH(I335,$B$3:$B$102,0)-1,K$2-1)=$I339,1,0)</f>
        <v>0</v>
      </c>
      <c r="L339" s="37">
        <f ca="1">IF(OFFSET($C$3,MATCH(I335,$B$3:$B$102,0)-1,L$2-1)=$I339,1,0)</f>
        <v>0</v>
      </c>
      <c r="M339" s="37">
        <f ca="1">IF(OFFSET($C$3,MATCH(I335,$B$3:$B$102,0)-1,M$2-1)=$I339,1,0)</f>
        <v>0</v>
      </c>
      <c r="N339" s="38">
        <f ca="1">IF(OFFSET($C$3,MATCH(I335,$B$3:$B$102,0)-1,N$2-1)=$I339,1,0)</f>
        <v>0</v>
      </c>
    </row>
    <row r="340" spans="9:66" x14ac:dyDescent="0.25">
      <c r="I340" s="39"/>
    </row>
    <row r="341" spans="9:66" ht="15.75" thickBot="1" x14ac:dyDescent="0.3">
      <c r="I341" t="str">
        <f>MID(I335,1,5)&amp;MID(I335,6,2)+1</f>
        <v>Line_24</v>
      </c>
      <c r="O341" s="40">
        <f>VALUE(MID($I341,6,3))</f>
        <v>24</v>
      </c>
    </row>
    <row r="342" spans="9:66" x14ac:dyDescent="0.25">
      <c r="I342" s="39">
        <v>0</v>
      </c>
      <c r="J342" s="30">
        <f ca="1">IF(OFFSET($C$3,MATCH(I341,$B$3:$B$102,0)-1,J$2-1)=$I342,1,0)</f>
        <v>1</v>
      </c>
      <c r="K342" s="31">
        <f ca="1">IF(OFFSET($C$3,MATCH(I341,$B$3:$B$102,0)-1,K$2-1)=$I342,1,0)</f>
        <v>0</v>
      </c>
      <c r="L342" s="31">
        <f ca="1">IF(OFFSET($C$3,MATCH(I341,$B$3:$B$102,0)-1,L$2-1)=$I342,1,0)</f>
        <v>0</v>
      </c>
      <c r="M342" s="31">
        <f ca="1">IF(OFFSET($C$3,MATCH(I341,$B$3:$B$102,0)-1,M$2-1)=$I342,1,0)</f>
        <v>0</v>
      </c>
      <c r="N342" s="32">
        <f ca="1">IF(OFFSET($C$3,MATCH(I341,$B$3:$B$102,0)-1,N$2-1)=$I342,1,0)</f>
        <v>1</v>
      </c>
    </row>
    <row r="343" spans="9:66" x14ac:dyDescent="0.25">
      <c r="I343" s="39">
        <v>1</v>
      </c>
      <c r="J343" s="33">
        <f ca="1">IF(OFFSET($C$3,MATCH(I341,$B$3:$B$102,0)-1,J$2-1)=$I343,1,0)</f>
        <v>0</v>
      </c>
      <c r="K343" s="34">
        <f ca="1">IF(OFFSET($C$3,MATCH(I341,$B$3:$B$102,0)-1,K$2-1)=$I343,1,0)</f>
        <v>0</v>
      </c>
      <c r="L343" s="34">
        <f ca="1">IF(OFFSET($C$3,MATCH(I341,$B$3:$B$102,0)-1,L$2-1)=$I343,1,0)</f>
        <v>0</v>
      </c>
      <c r="M343" s="34">
        <f ca="1">IF(OFFSET($C$3,MATCH(I341,$B$3:$B$102,0)-1,M$2-1)=$I343,1,0)</f>
        <v>0</v>
      </c>
      <c r="N343" s="35">
        <f ca="1">IF(OFFSET($C$3,MATCH(I341,$B$3:$B$102,0)-1,N$2-1)=$I343,1,0)</f>
        <v>0</v>
      </c>
    </row>
    <row r="344" spans="9:66" x14ac:dyDescent="0.25">
      <c r="I344" s="39">
        <v>2</v>
      </c>
      <c r="J344" s="43">
        <f ca="1">IF(OFFSET($C$3,MATCH(I341,$B$3:$B$102,0)-1,J$2-1)=$I344,1,0)</f>
        <v>0</v>
      </c>
      <c r="K344" s="44">
        <f ca="1">IF(OFFSET($C$3,MATCH(I341,$B$3:$B$102,0)-1,K$2-1)=$I344,1,0)</f>
        <v>1</v>
      </c>
      <c r="L344" s="44">
        <f ca="1">IF(OFFSET($C$3,MATCH(I341,$B$3:$B$102,0)-1,L$2-1)=$I344,1,0)</f>
        <v>1</v>
      </c>
      <c r="M344" s="44">
        <f ca="1">IF(OFFSET($C$3,MATCH(I341,$B$3:$B$102,0)-1,M$2-1)=$I344,1,0)</f>
        <v>1</v>
      </c>
      <c r="N344" s="45">
        <f ca="1">IF(OFFSET($C$3,MATCH(I341,$B$3:$B$102,0)-1,N$2-1)=$I344,1,0)</f>
        <v>0</v>
      </c>
    </row>
    <row r="345" spans="9:66" ht="15.75" thickBot="1" x14ac:dyDescent="0.3">
      <c r="I345" s="39">
        <v>3</v>
      </c>
      <c r="J345" s="36">
        <f ca="1">IF(OFFSET($C$3,MATCH(I341,$B$3:$B$102,0)-1,J$2-1)=$I345,1,0)</f>
        <v>0</v>
      </c>
      <c r="K345" s="37">
        <f ca="1">IF(OFFSET($C$3,MATCH(I341,$B$3:$B$102,0)-1,K$2-1)=$I345,1,0)</f>
        <v>0</v>
      </c>
      <c r="L345" s="37">
        <f ca="1">IF(OFFSET($C$3,MATCH(I341,$B$3:$B$102,0)-1,L$2-1)=$I345,1,0)</f>
        <v>0</v>
      </c>
      <c r="M345" s="37">
        <f ca="1">IF(OFFSET($C$3,MATCH(I341,$B$3:$B$102,0)-1,M$2-1)=$I345,1,0)</f>
        <v>0</v>
      </c>
      <c r="N345" s="38">
        <f ca="1">IF(OFFSET($C$3,MATCH(I341,$B$3:$B$102,0)-1,N$2-1)=$I345,1,0)</f>
        <v>0</v>
      </c>
    </row>
    <row r="346" spans="9:66" x14ac:dyDescent="0.25">
      <c r="I346" s="39"/>
      <c r="J346" s="20"/>
      <c r="K346" s="20"/>
      <c r="L346" s="20"/>
      <c r="M346" s="20"/>
      <c r="N346" s="20"/>
    </row>
    <row r="347" spans="9:66" ht="15.75" thickBot="1" x14ac:dyDescent="0.3">
      <c r="I347" t="str">
        <f>MID(I341,1,5)&amp;MID(I341,6,2)+1</f>
        <v>Line_25</v>
      </c>
      <c r="O347" s="40">
        <f>VALUE(MID($I347,6,3))</f>
        <v>25</v>
      </c>
    </row>
    <row r="348" spans="9:66" x14ac:dyDescent="0.25">
      <c r="I348" s="39">
        <v>0</v>
      </c>
      <c r="J348" s="30">
        <f ca="1">IF(OFFSET($C$3,MATCH(I347,$B$3:$B$102,0)-1,J$2-1)=$I348,1,0)</f>
        <v>0</v>
      </c>
      <c r="K348" s="31">
        <f ca="1">IF(OFFSET($C$3,MATCH(I347,$B$3:$B$102,0)-1,K$2-1)=$I348,1,0)</f>
        <v>1</v>
      </c>
      <c r="L348" s="31">
        <f ca="1">IF(OFFSET($C$3,MATCH(I347,$B$3:$B$102,0)-1,L$2-1)=$I348,1,0)</f>
        <v>1</v>
      </c>
      <c r="M348" s="31">
        <f ca="1">IF(OFFSET($C$3,MATCH(I347,$B$3:$B$102,0)-1,M$2-1)=$I348,1,0)</f>
        <v>1</v>
      </c>
      <c r="N348" s="32">
        <f ca="1">IF(OFFSET($C$3,MATCH(I347,$B$3:$B$102,0)-1,N$2-1)=$I348,1,0)</f>
        <v>0</v>
      </c>
    </row>
    <row r="349" spans="9:66" x14ac:dyDescent="0.25">
      <c r="I349" s="39">
        <v>1</v>
      </c>
      <c r="J349" s="33">
        <f ca="1">IF(OFFSET($C$3,MATCH(I347,$B$3:$B$102,0)-1,J$2-1)=$I349,1,0)</f>
        <v>0</v>
      </c>
      <c r="K349" s="34">
        <f ca="1">IF(OFFSET($C$3,MATCH(I347,$B$3:$B$102,0)-1,K$2-1)=$I349,1,0)</f>
        <v>0</v>
      </c>
      <c r="L349" s="34">
        <f ca="1">IF(OFFSET($C$3,MATCH(I347,$B$3:$B$102,0)-1,L$2-1)=$I349,1,0)</f>
        <v>0</v>
      </c>
      <c r="M349" s="34">
        <f ca="1">IF(OFFSET($C$3,MATCH(I347,$B$3:$B$102,0)-1,M$2-1)=$I349,1,0)</f>
        <v>0</v>
      </c>
      <c r="N349" s="35">
        <f ca="1">IF(OFFSET($C$3,MATCH(I347,$B$3:$B$102,0)-1,N$2-1)=$I349,1,0)</f>
        <v>0</v>
      </c>
    </row>
    <row r="350" spans="9:66" x14ac:dyDescent="0.25">
      <c r="I350" s="39">
        <v>2</v>
      </c>
      <c r="J350" s="43">
        <f ca="1">IF(OFFSET($C$3,MATCH(I347,$B$3:$B$102,0)-1,J$2-1)=$I350,1,0)</f>
        <v>1</v>
      </c>
      <c r="K350" s="44">
        <f ca="1">IF(OFFSET($C$3,MATCH(I347,$B$3:$B$102,0)-1,K$2-1)=$I350,1,0)</f>
        <v>0</v>
      </c>
      <c r="L350" s="44">
        <f ca="1">IF(OFFSET($C$3,MATCH(I347,$B$3:$B$102,0)-1,L$2-1)=$I350,1,0)</f>
        <v>0</v>
      </c>
      <c r="M350" s="44">
        <f ca="1">IF(OFFSET($C$3,MATCH(I347,$B$3:$B$102,0)-1,M$2-1)=$I350,1,0)</f>
        <v>0</v>
      </c>
      <c r="N350" s="45">
        <f ca="1">IF(OFFSET($C$3,MATCH(I347,$B$3:$B$102,0)-1,N$2-1)=$I350,1,0)</f>
        <v>1</v>
      </c>
    </row>
    <row r="351" spans="9:66" ht="15.75" thickBot="1" x14ac:dyDescent="0.3">
      <c r="I351" s="39">
        <v>3</v>
      </c>
      <c r="J351" s="36">
        <f ca="1">IF(OFFSET($C$3,MATCH(I347,$B$3:$B$102,0)-1,J$2-1)=$I351,1,0)</f>
        <v>0</v>
      </c>
      <c r="K351" s="37">
        <f ca="1">IF(OFFSET($C$3,MATCH(I347,$B$3:$B$102,0)-1,K$2-1)=$I351,1,0)</f>
        <v>0</v>
      </c>
      <c r="L351" s="37">
        <f ca="1">IF(OFFSET($C$3,MATCH(I347,$B$3:$B$102,0)-1,L$2-1)=$I351,1,0)</f>
        <v>0</v>
      </c>
      <c r="M351" s="37">
        <f ca="1">IF(OFFSET($C$3,MATCH(I347,$B$3:$B$102,0)-1,M$2-1)=$I351,1,0)</f>
        <v>0</v>
      </c>
      <c r="N351" s="38">
        <f ca="1">IF(OFFSET($C$3,MATCH(I347,$B$3:$B$102,0)-1,N$2-1)=$I351,1,0)</f>
        <v>0</v>
      </c>
    </row>
    <row r="352" spans="9:66" ht="15.75" thickBot="1" x14ac:dyDescent="0.3">
      <c r="I352" s="39"/>
      <c r="J352" s="42"/>
      <c r="K352" s="42"/>
      <c r="L352" s="42"/>
      <c r="M352" s="42"/>
      <c r="N352" s="42"/>
      <c r="S352" s="20"/>
      <c r="AD352" s="39"/>
      <c r="AE352" s="20"/>
      <c r="AF352" s="20"/>
      <c r="AG352" s="20"/>
      <c r="AH352" s="20"/>
      <c r="AI352" s="20"/>
      <c r="AT352" s="39"/>
      <c r="AU352" s="20"/>
      <c r="AV352" s="20"/>
      <c r="AW352" s="20"/>
      <c r="AX352" s="20"/>
      <c r="AY352" s="20"/>
      <c r="BJ352" s="39"/>
      <c r="BK352" s="20"/>
      <c r="BL352" s="20"/>
      <c r="BM352" s="20"/>
      <c r="BN352" s="20"/>
    </row>
    <row r="353" spans="9:67" ht="15.75" thickBot="1" x14ac:dyDescent="0.3">
      <c r="I353" t="str">
        <f>MID(I347,1,5)&amp;MID(I347,6,2)+1</f>
        <v>Line_26</v>
      </c>
      <c r="O353" s="40">
        <f>VALUE(MID($I353,6,3))</f>
        <v>26</v>
      </c>
      <c r="S353" s="42"/>
      <c r="AD353" s="39"/>
      <c r="AE353" s="42"/>
      <c r="AF353" s="42"/>
      <c r="AG353" s="42"/>
      <c r="AH353" s="42"/>
      <c r="AI353" s="42"/>
      <c r="AT353" s="39"/>
      <c r="AU353" s="42"/>
      <c r="AV353" s="42"/>
      <c r="AW353" s="42"/>
      <c r="AX353" s="42"/>
      <c r="AY353" s="42"/>
      <c r="BJ353" s="39"/>
      <c r="BK353" s="42"/>
      <c r="BL353" s="42"/>
      <c r="BM353" s="42"/>
      <c r="BN353" s="42"/>
      <c r="BO353" s="32">
        <v>0</v>
      </c>
    </row>
    <row r="354" spans="9:67" x14ac:dyDescent="0.25">
      <c r="I354" s="39">
        <v>0</v>
      </c>
      <c r="J354" s="30">
        <f ca="1">IF(OFFSET($C$3,MATCH(I353,$B$3:$B$102,0)-1,J$2-1)=$I354,1,0)</f>
        <v>1</v>
      </c>
      <c r="K354" s="31">
        <f ca="1">IF(OFFSET($C$3,MATCH(I353,$B$3:$B$102,0)-1,K$2-1)=$I354,1,0)</f>
        <v>1</v>
      </c>
      <c r="L354" s="31">
        <f ca="1">IF(OFFSET($C$3,MATCH(I353,$B$3:$B$102,0)-1,L$2-1)=$I354,1,0)</f>
        <v>0</v>
      </c>
      <c r="M354" s="31">
        <f ca="1">IF(OFFSET($C$3,MATCH(I353,$B$3:$B$102,0)-1,M$2-1)=$I354,1,0)</f>
        <v>1</v>
      </c>
      <c r="N354" s="32">
        <f ca="1">IF(OFFSET($C$3,MATCH(I353,$B$3:$B$102,0)-1,N$2-1)=$I354,1,0)</f>
        <v>1</v>
      </c>
      <c r="S354" s="20"/>
      <c r="AD354" s="39"/>
      <c r="AE354" s="20"/>
      <c r="AF354" s="20"/>
      <c r="AG354" s="20"/>
      <c r="AH354" s="20"/>
      <c r="AI354" s="20"/>
      <c r="AT354" s="39"/>
      <c r="AU354" s="20"/>
      <c r="AV354" s="20"/>
      <c r="AW354" s="20"/>
      <c r="AX354" s="20"/>
      <c r="AY354" s="20"/>
      <c r="BJ354" s="39"/>
      <c r="BK354" s="20"/>
      <c r="BL354" s="20"/>
      <c r="BM354" s="20"/>
      <c r="BN354" s="20"/>
      <c r="BO354" s="35">
        <v>0</v>
      </c>
    </row>
    <row r="355" spans="9:67" ht="15.75" thickBot="1" x14ac:dyDescent="0.3">
      <c r="I355" s="39">
        <v>1</v>
      </c>
      <c r="J355" s="33">
        <f ca="1">IF(OFFSET($C$3,MATCH(I353,$B$3:$B$102,0)-1,J$2-1)=$I355,1,0)</f>
        <v>0</v>
      </c>
      <c r="K355" s="34">
        <f ca="1">IF(OFFSET($C$3,MATCH(I353,$B$3:$B$102,0)-1,K$2-1)=$I355,1,0)</f>
        <v>0</v>
      </c>
      <c r="L355" s="34">
        <f ca="1">IF(OFFSET($C$3,MATCH(I353,$B$3:$B$102,0)-1,L$2-1)=$I355,1,0)</f>
        <v>1</v>
      </c>
      <c r="M355" s="34">
        <f ca="1">IF(OFFSET($C$3,MATCH(I353,$B$3:$B$102,0)-1,M$2-1)=$I355,1,0)</f>
        <v>0</v>
      </c>
      <c r="N355" s="35">
        <f ca="1">IF(OFFSET($C$3,MATCH(I353,$B$3:$B$102,0)-1,N$2-1)=$I355,1,0)</f>
        <v>0</v>
      </c>
      <c r="BO355" s="38">
        <v>1</v>
      </c>
    </row>
    <row r="356" spans="9:67" x14ac:dyDescent="0.25">
      <c r="I356" s="39">
        <v>2</v>
      </c>
      <c r="J356" s="43">
        <f ca="1">IF(OFFSET($C$3,MATCH(I353,$B$3:$B$102,0)-1,J$2-1)=$I356,1,0)</f>
        <v>0</v>
      </c>
      <c r="K356" s="44">
        <f ca="1">IF(OFFSET($C$3,MATCH(I353,$B$3:$B$102,0)-1,K$2-1)=$I356,1,0)</f>
        <v>0</v>
      </c>
      <c r="L356" s="44">
        <f ca="1">IF(OFFSET($C$3,MATCH(I353,$B$3:$B$102,0)-1,L$2-1)=$I356,1,0)</f>
        <v>0</v>
      </c>
      <c r="M356" s="44">
        <f ca="1">IF(OFFSET($C$3,MATCH(I353,$B$3:$B$102,0)-1,M$2-1)=$I356,1,0)</f>
        <v>0</v>
      </c>
      <c r="N356" s="45">
        <f ca="1">IF(OFFSET($C$3,MATCH(I353,$B$3:$B$102,0)-1,N$2-1)=$I356,1,0)</f>
        <v>0</v>
      </c>
    </row>
    <row r="357" spans="9:67" ht="15.75" thickBot="1" x14ac:dyDescent="0.3">
      <c r="I357" s="39">
        <v>3</v>
      </c>
      <c r="J357" s="36">
        <f ca="1">IF(OFFSET($C$3,MATCH(I353,$B$3:$B$102,0)-1,J$2-1)=$I357,1,0)</f>
        <v>0</v>
      </c>
      <c r="K357" s="37">
        <f ca="1">IF(OFFSET($C$3,MATCH(I353,$B$3:$B$102,0)-1,K$2-1)=$I357,1,0)</f>
        <v>0</v>
      </c>
      <c r="L357" s="37">
        <f ca="1">IF(OFFSET($C$3,MATCH(I353,$B$3:$B$102,0)-1,L$2-1)=$I357,1,0)</f>
        <v>0</v>
      </c>
      <c r="M357" s="37">
        <f ca="1">IF(OFFSET($C$3,MATCH(I353,$B$3:$B$102,0)-1,M$2-1)=$I357,1,0)</f>
        <v>0</v>
      </c>
      <c r="N357" s="38">
        <f ca="1">IF(OFFSET($C$3,MATCH(I353,$B$3:$B$102,0)-1,N$2-1)=$I357,1,0)</f>
        <v>0</v>
      </c>
    </row>
    <row r="358" spans="9:67" x14ac:dyDescent="0.25">
      <c r="J358" s="20"/>
      <c r="K358" s="20"/>
      <c r="L358" s="20"/>
      <c r="M358" s="20"/>
      <c r="N358" s="20"/>
    </row>
    <row r="359" spans="9:67" ht="15.75" thickBot="1" x14ac:dyDescent="0.3">
      <c r="I359" t="str">
        <f>MID(I353,1,5)&amp;MID(I353,6,2)+1</f>
        <v>Line_27</v>
      </c>
      <c r="O359" s="40">
        <f>VALUE(MID($I359,6,3))</f>
        <v>27</v>
      </c>
    </row>
    <row r="360" spans="9:67" x14ac:dyDescent="0.25">
      <c r="I360" s="39">
        <v>0</v>
      </c>
      <c r="J360" s="30">
        <f ca="1">IF(OFFSET($C$3,MATCH(I359,$B$3:$B$102,0)-1,J$2-1)=$I360,1,0)</f>
        <v>0</v>
      </c>
      <c r="K360" s="31">
        <f ca="1">IF(OFFSET($C$3,MATCH(I359,$B$3:$B$102,0)-1,K$2-1)=$I360,1,0)</f>
        <v>0</v>
      </c>
      <c r="L360" s="31">
        <f ca="1">IF(OFFSET($C$3,MATCH(I359,$B$3:$B$102,0)-1,L$2-1)=$I360,1,0)</f>
        <v>0</v>
      </c>
      <c r="M360" s="31">
        <f ca="1">IF(OFFSET($C$3,MATCH(I359,$B$3:$B$102,0)-1,M$2-1)=$I360,1,0)</f>
        <v>0</v>
      </c>
      <c r="N360" s="32">
        <f ca="1">IF(OFFSET($C$3,MATCH(I359,$B$3:$B$102,0)-1,N$2-1)=$I360,1,0)</f>
        <v>0</v>
      </c>
    </row>
    <row r="361" spans="9:67" x14ac:dyDescent="0.25">
      <c r="I361" s="39">
        <v>1</v>
      </c>
      <c r="J361" s="33">
        <f ca="1">IF(OFFSET($C$3,MATCH(I359,$B$3:$B$102,0)-1,J$2-1)=$I361,1,0)</f>
        <v>0</v>
      </c>
      <c r="K361" s="34">
        <f ca="1">IF(OFFSET($C$3,MATCH(I359,$B$3:$B$102,0)-1,K$2-1)=$I361,1,0)</f>
        <v>0</v>
      </c>
      <c r="L361" s="34">
        <f ca="1">IF(OFFSET($C$3,MATCH(I359,$B$3:$B$102,0)-1,L$2-1)=$I361,1,0)</f>
        <v>1</v>
      </c>
      <c r="M361" s="34">
        <f ca="1">IF(OFFSET($C$3,MATCH(I359,$B$3:$B$102,0)-1,M$2-1)=$I361,1,0)</f>
        <v>0</v>
      </c>
      <c r="N361" s="35">
        <f ca="1">IF(OFFSET($C$3,MATCH(I359,$B$3:$B$102,0)-1,N$2-1)=$I361,1,0)</f>
        <v>0</v>
      </c>
    </row>
    <row r="362" spans="9:67" x14ac:dyDescent="0.25">
      <c r="I362" s="39">
        <v>2</v>
      </c>
      <c r="J362" s="43">
        <f ca="1">IF(OFFSET($C$3,MATCH(I359,$B$3:$B$102,0)-1,J$2-1)=$I362,1,0)</f>
        <v>1</v>
      </c>
      <c r="K362" s="44">
        <f ca="1">IF(OFFSET($C$3,MATCH(I359,$B$3:$B$102,0)-1,K$2-1)=$I362,1,0)</f>
        <v>1</v>
      </c>
      <c r="L362" s="44">
        <f ca="1">IF(OFFSET($C$3,MATCH(I359,$B$3:$B$102,0)-1,L$2-1)=$I362,1,0)</f>
        <v>0</v>
      </c>
      <c r="M362" s="44">
        <f ca="1">IF(OFFSET($C$3,MATCH(I359,$B$3:$B$102,0)-1,M$2-1)=$I362,1,0)</f>
        <v>1</v>
      </c>
      <c r="N362" s="45">
        <f ca="1">IF(OFFSET($C$3,MATCH(I359,$B$3:$B$102,0)-1,N$2-1)=$I362,1,0)</f>
        <v>1</v>
      </c>
    </row>
    <row r="363" spans="9:67" ht="15.75" thickBot="1" x14ac:dyDescent="0.3">
      <c r="I363" s="39">
        <v>3</v>
      </c>
      <c r="J363" s="36">
        <f ca="1">IF(OFFSET($C$3,MATCH(I359,$B$3:$B$102,0)-1,J$2-1)=$I363,1,0)</f>
        <v>0</v>
      </c>
      <c r="K363" s="37">
        <f ca="1">IF(OFFSET($C$3,MATCH(I359,$B$3:$B$102,0)-1,K$2-1)=$I363,1,0)</f>
        <v>0</v>
      </c>
      <c r="L363" s="37">
        <f ca="1">IF(OFFSET($C$3,MATCH(I359,$B$3:$B$102,0)-1,L$2-1)=$I363,1,0)</f>
        <v>0</v>
      </c>
      <c r="M363" s="37">
        <f ca="1">IF(OFFSET($C$3,MATCH(I359,$B$3:$B$102,0)-1,M$2-1)=$I363,1,0)</f>
        <v>0</v>
      </c>
      <c r="N363" s="38">
        <f ca="1">IF(OFFSET($C$3,MATCH(I359,$B$3:$B$102,0)-1,N$2-1)=$I363,1,0)</f>
        <v>0</v>
      </c>
    </row>
    <row r="365" spans="9:67" ht="15.75" thickBot="1" x14ac:dyDescent="0.3">
      <c r="I365" t="str">
        <f>MID(I359,1,5)&amp;MID(I359,6,2)+1</f>
        <v>Line_28</v>
      </c>
      <c r="O365" s="40">
        <f>VALUE(MID($I365,6,3))</f>
        <v>28</v>
      </c>
    </row>
    <row r="366" spans="9:67" x14ac:dyDescent="0.25">
      <c r="I366" s="39">
        <v>0</v>
      </c>
      <c r="J366" s="30">
        <f ca="1">IF(OFFSET($C$3,MATCH(I365,$B$3:$B$102,0)-1,J$2-1)=$I366,1,0)</f>
        <v>1</v>
      </c>
      <c r="K366" s="31">
        <f ca="1">IF(OFFSET($C$3,MATCH(I365,$B$3:$B$102,0)-1,K$2-1)=$I366,1,0)</f>
        <v>0</v>
      </c>
      <c r="L366" s="31">
        <f ca="1">IF(OFFSET($C$3,MATCH(I365,$B$3:$B$102,0)-1,L$2-1)=$I366,1,0)</f>
        <v>0</v>
      </c>
      <c r="M366" s="31">
        <f ca="1">IF(OFFSET($C$3,MATCH(I365,$B$3:$B$102,0)-1,M$2-1)=$I366,1,0)</f>
        <v>0</v>
      </c>
      <c r="N366" s="32">
        <f ca="1">IF(OFFSET($C$3,MATCH(I365,$B$3:$B$102,0)-1,N$2-1)=$I366,1,0)</f>
        <v>1</v>
      </c>
    </row>
    <row r="367" spans="9:67" x14ac:dyDescent="0.25">
      <c r="I367" s="39">
        <v>1</v>
      </c>
      <c r="J367" s="33">
        <f ca="1">IF(OFFSET($C$3,MATCH(I365,$B$3:$B$102,0)-1,J$2-1)=$I367,1,0)</f>
        <v>0</v>
      </c>
      <c r="K367" s="34">
        <f ca="1">IF(OFFSET($C$3,MATCH(I365,$B$3:$B$102,0)-1,K$2-1)=$I367,1,0)</f>
        <v>0</v>
      </c>
      <c r="L367" s="34">
        <f ca="1">IF(OFFSET($C$3,MATCH(I365,$B$3:$B$102,0)-1,L$2-1)=$I367,1,0)</f>
        <v>1</v>
      </c>
      <c r="M367" s="34">
        <f ca="1">IF(OFFSET($C$3,MATCH(I365,$B$3:$B$102,0)-1,M$2-1)=$I367,1,0)</f>
        <v>0</v>
      </c>
      <c r="N367" s="35">
        <f ca="1">IF(OFFSET($C$3,MATCH(I365,$B$3:$B$102,0)-1,N$2-1)=$I367,1,0)</f>
        <v>0</v>
      </c>
    </row>
    <row r="368" spans="9:67" x14ac:dyDescent="0.25">
      <c r="I368" s="39">
        <v>2</v>
      </c>
      <c r="J368" s="43">
        <f ca="1">IF(OFFSET($C$3,MATCH(I365,$B$3:$B$102,0)-1,J$2-1)=$I368,1,0)</f>
        <v>0</v>
      </c>
      <c r="K368" s="44">
        <f ca="1">IF(OFFSET($C$3,MATCH(I365,$B$3:$B$102,0)-1,K$2-1)=$I368,1,0)</f>
        <v>1</v>
      </c>
      <c r="L368" s="44">
        <f ca="1">IF(OFFSET($C$3,MATCH(I365,$B$3:$B$102,0)-1,L$2-1)=$I368,1,0)</f>
        <v>0</v>
      </c>
      <c r="M368" s="44">
        <f ca="1">IF(OFFSET($C$3,MATCH(I365,$B$3:$B$102,0)-1,M$2-1)=$I368,1,0)</f>
        <v>1</v>
      </c>
      <c r="N368" s="45">
        <f ca="1">IF(OFFSET($C$3,MATCH(I365,$B$3:$B$102,0)-1,N$2-1)=$I368,1,0)</f>
        <v>0</v>
      </c>
    </row>
    <row r="369" spans="9:15" ht="15.75" thickBot="1" x14ac:dyDescent="0.3">
      <c r="I369" s="39">
        <v>3</v>
      </c>
      <c r="J369" s="36">
        <f ca="1">IF(OFFSET($C$3,MATCH(I365,$B$3:$B$102,0)-1,J$2-1)=$I369,1,0)</f>
        <v>0</v>
      </c>
      <c r="K369" s="37">
        <f ca="1">IF(OFFSET($C$3,MATCH(I365,$B$3:$B$102,0)-1,K$2-1)=$I369,1,0)</f>
        <v>0</v>
      </c>
      <c r="L369" s="37">
        <f ca="1">IF(OFFSET($C$3,MATCH(I365,$B$3:$B$102,0)-1,L$2-1)=$I369,1,0)</f>
        <v>0</v>
      </c>
      <c r="M369" s="37">
        <f ca="1">IF(OFFSET($C$3,MATCH(I365,$B$3:$B$102,0)-1,M$2-1)=$I369,1,0)</f>
        <v>0</v>
      </c>
      <c r="N369" s="38">
        <f ca="1">IF(OFFSET($C$3,MATCH(I365,$B$3:$B$102,0)-1,N$2-1)=$I369,1,0)</f>
        <v>0</v>
      </c>
    </row>
    <row r="370" spans="9:15" x14ac:dyDescent="0.25">
      <c r="I370" s="39"/>
    </row>
    <row r="371" spans="9:15" ht="15.75" thickBot="1" x14ac:dyDescent="0.3">
      <c r="I371" t="str">
        <f>MID(I365,1,5)&amp;MID(I365,6,2)+1</f>
        <v>Line_29</v>
      </c>
      <c r="O371" s="40">
        <f>VALUE(MID($I371,6,3))</f>
        <v>29</v>
      </c>
    </row>
    <row r="372" spans="9:15" x14ac:dyDescent="0.25">
      <c r="I372" s="39">
        <v>0</v>
      </c>
      <c r="J372" s="30">
        <f ca="1">IF(OFFSET($C$3,MATCH(I371,$B$3:$B$102,0)-1,J$2-1)=$I372,1,0)</f>
        <v>0</v>
      </c>
      <c r="K372" s="31">
        <f ca="1">IF(OFFSET($C$3,MATCH(I371,$B$3:$B$102,0)-1,K$2-1)=$I372,1,0)</f>
        <v>1</v>
      </c>
      <c r="L372" s="31">
        <f ca="1">IF(OFFSET($C$3,MATCH(I371,$B$3:$B$102,0)-1,L$2-1)=$I372,1,0)</f>
        <v>0</v>
      </c>
      <c r="M372" s="31">
        <f ca="1">IF(OFFSET($C$3,MATCH(I371,$B$3:$B$102,0)-1,M$2-1)=$I372,1,0)</f>
        <v>1</v>
      </c>
      <c r="N372" s="32">
        <f ca="1">IF(OFFSET($C$3,MATCH(I371,$B$3:$B$102,0)-1,N$2-1)=$I372,1,0)</f>
        <v>0</v>
      </c>
    </row>
    <row r="373" spans="9:15" x14ac:dyDescent="0.25">
      <c r="I373" s="39">
        <v>1</v>
      </c>
      <c r="J373" s="33">
        <f ca="1">IF(OFFSET($C$3,MATCH(I371,$B$3:$B$102,0)-1,J$2-1)=$I373,1,0)</f>
        <v>0</v>
      </c>
      <c r="K373" s="34">
        <f ca="1">IF(OFFSET($C$3,MATCH(I371,$B$3:$B$102,0)-1,K$2-1)=$I373,1,0)</f>
        <v>0</v>
      </c>
      <c r="L373" s="34">
        <f ca="1">IF(OFFSET($C$3,MATCH(I371,$B$3:$B$102,0)-1,L$2-1)=$I373,1,0)</f>
        <v>1</v>
      </c>
      <c r="M373" s="34">
        <f ca="1">IF(OFFSET($C$3,MATCH(I371,$B$3:$B$102,0)-1,M$2-1)=$I373,1,0)</f>
        <v>0</v>
      </c>
      <c r="N373" s="35">
        <f ca="1">IF(OFFSET($C$3,MATCH(I371,$B$3:$B$102,0)-1,N$2-1)=$I373,1,0)</f>
        <v>0</v>
      </c>
    </row>
    <row r="374" spans="9:15" x14ac:dyDescent="0.25">
      <c r="I374" s="39">
        <v>2</v>
      </c>
      <c r="J374" s="43">
        <f ca="1">IF(OFFSET($C$3,MATCH(I371,$B$3:$B$102,0)-1,J$2-1)=$I374,1,0)</f>
        <v>1</v>
      </c>
      <c r="K374" s="44">
        <f ca="1">IF(OFFSET($C$3,MATCH(I371,$B$3:$B$102,0)-1,K$2-1)=$I374,1,0)</f>
        <v>0</v>
      </c>
      <c r="L374" s="44">
        <f ca="1">IF(OFFSET($C$3,MATCH(I371,$B$3:$B$102,0)-1,L$2-1)=$I374,1,0)</f>
        <v>0</v>
      </c>
      <c r="M374" s="44">
        <f ca="1">IF(OFFSET($C$3,MATCH(I371,$B$3:$B$102,0)-1,M$2-1)=$I374,1,0)</f>
        <v>0</v>
      </c>
      <c r="N374" s="45">
        <f ca="1">IF(OFFSET($C$3,MATCH(I371,$B$3:$B$102,0)-1,N$2-1)=$I374,1,0)</f>
        <v>1</v>
      </c>
    </row>
    <row r="375" spans="9:15" ht="15.75" thickBot="1" x14ac:dyDescent="0.3">
      <c r="I375" s="39">
        <v>3</v>
      </c>
      <c r="J375" s="36">
        <f ca="1">IF(OFFSET($C$3,MATCH(I371,$B$3:$B$102,0)-1,J$2-1)=$I375,1,0)</f>
        <v>0</v>
      </c>
      <c r="K375" s="37">
        <f ca="1">IF(OFFSET($C$3,MATCH(I371,$B$3:$B$102,0)-1,K$2-1)=$I375,1,0)</f>
        <v>0</v>
      </c>
      <c r="L375" s="37">
        <f ca="1">IF(OFFSET($C$3,MATCH(I371,$B$3:$B$102,0)-1,L$2-1)=$I375,1,0)</f>
        <v>0</v>
      </c>
      <c r="M375" s="37">
        <f ca="1">IF(OFFSET($C$3,MATCH(I371,$B$3:$B$102,0)-1,M$2-1)=$I375,1,0)</f>
        <v>0</v>
      </c>
      <c r="N375" s="38">
        <f ca="1">IF(OFFSET($C$3,MATCH(I371,$B$3:$B$102,0)-1,N$2-1)=$I375,1,0)</f>
        <v>0</v>
      </c>
    </row>
    <row r="376" spans="9:15" x14ac:dyDescent="0.25">
      <c r="J376" s="42"/>
      <c r="K376" s="42"/>
      <c r="L376" s="42"/>
      <c r="M376" s="42"/>
      <c r="N376" s="42"/>
    </row>
    <row r="377" spans="9:15" ht="15.75" thickBot="1" x14ac:dyDescent="0.3">
      <c r="I377" t="str">
        <f>MID(I371,1,5)&amp;MID(I371,6,2)+1</f>
        <v>Line_30</v>
      </c>
      <c r="O377" s="40">
        <f>VALUE(MID($I377,6,3))</f>
        <v>30</v>
      </c>
    </row>
    <row r="378" spans="9:15" x14ac:dyDescent="0.25">
      <c r="I378" s="39">
        <v>0</v>
      </c>
      <c r="J378" s="30">
        <f ca="1">IF(OFFSET($C$3,MATCH(I377,$B$3:$B$102,0)-1,J$2-1)=$I378,1,0)</f>
        <v>0</v>
      </c>
      <c r="K378" s="31">
        <f ca="1">IF(OFFSET($C$3,MATCH(I377,$B$3:$B$102,0)-1,K$2-1)=$I378,1,0)</f>
        <v>0</v>
      </c>
      <c r="L378" s="31">
        <f ca="1">IF(OFFSET($C$3,MATCH(I377,$B$3:$B$102,0)-1,L$2-1)=$I378,1,0)</f>
        <v>0</v>
      </c>
      <c r="M378" s="31">
        <f ca="1">IF(OFFSET($C$3,MATCH(I377,$B$3:$B$102,0)-1,M$2-1)=$I378,1,0)</f>
        <v>0</v>
      </c>
      <c r="N378" s="32">
        <f ca="1">IF(OFFSET($C$3,MATCH(I377,$B$3:$B$102,0)-1,N$2-1)=$I378,1,0)</f>
        <v>0</v>
      </c>
    </row>
    <row r="379" spans="9:15" x14ac:dyDescent="0.25">
      <c r="I379" s="39">
        <v>1</v>
      </c>
      <c r="J379" s="33">
        <f ca="1">IF(OFFSET($C$3,MATCH(I377,$B$3:$B$102,0)-1,J$2-1)=$I379,1,0)</f>
        <v>1</v>
      </c>
      <c r="K379" s="34">
        <f ca="1">IF(OFFSET($C$3,MATCH(I377,$B$3:$B$102,0)-1,K$2-1)=$I379,1,0)</f>
        <v>0</v>
      </c>
      <c r="L379" s="34">
        <f ca="1">IF(OFFSET($C$3,MATCH(I377,$B$3:$B$102,0)-1,L$2-1)=$I379,1,0)</f>
        <v>1</v>
      </c>
      <c r="M379" s="34">
        <f ca="1">IF(OFFSET($C$3,MATCH(I377,$B$3:$B$102,0)-1,M$2-1)=$I379,1,0)</f>
        <v>0</v>
      </c>
      <c r="N379" s="35">
        <f ca="1">IF(OFFSET($C$3,MATCH(I377,$B$3:$B$102,0)-1,N$2-1)=$I379,1,0)</f>
        <v>1</v>
      </c>
    </row>
    <row r="380" spans="9:15" x14ac:dyDescent="0.25">
      <c r="I380" s="39">
        <v>2</v>
      </c>
      <c r="J380" s="43">
        <f ca="1">IF(OFFSET($C$3,MATCH(I377,$B$3:$B$102,0)-1,J$2-1)=$I380,1,0)</f>
        <v>0</v>
      </c>
      <c r="K380" s="44">
        <f ca="1">IF(OFFSET($C$3,MATCH(I377,$B$3:$B$102,0)-1,K$2-1)=$I380,1,0)</f>
        <v>1</v>
      </c>
      <c r="L380" s="44">
        <f ca="1">IF(OFFSET($C$3,MATCH(I377,$B$3:$B$102,0)-1,L$2-1)=$I380,1,0)</f>
        <v>0</v>
      </c>
      <c r="M380" s="44">
        <f ca="1">IF(OFFSET($C$3,MATCH(I377,$B$3:$B$102,0)-1,M$2-1)=$I380,1,0)</f>
        <v>1</v>
      </c>
      <c r="N380" s="45">
        <f ca="1">IF(OFFSET($C$3,MATCH(I377,$B$3:$B$102,0)-1,N$2-1)=$I380,1,0)</f>
        <v>0</v>
      </c>
    </row>
    <row r="381" spans="9:15" ht="15.75" thickBot="1" x14ac:dyDescent="0.3">
      <c r="I381" s="39">
        <v>3</v>
      </c>
      <c r="J381" s="36">
        <f ca="1">IF(OFFSET($C$3,MATCH(I377,$B$3:$B$102,0)-1,J$2-1)=$I381,1,0)</f>
        <v>0</v>
      </c>
      <c r="K381" s="37">
        <f ca="1">IF(OFFSET($C$3,MATCH(I377,$B$3:$B$102,0)-1,K$2-1)=$I381,1,0)</f>
        <v>0</v>
      </c>
      <c r="L381" s="37">
        <f ca="1">IF(OFFSET($C$3,MATCH(I377,$B$3:$B$102,0)-1,L$2-1)=$I381,1,0)</f>
        <v>0</v>
      </c>
      <c r="M381" s="37">
        <f ca="1">IF(OFFSET($C$3,MATCH(I377,$B$3:$B$102,0)-1,M$2-1)=$I381,1,0)</f>
        <v>0</v>
      </c>
      <c r="N381" s="38">
        <f ca="1">IF(OFFSET($C$3,MATCH(I377,$B$3:$B$102,0)-1,N$2-1)=$I381,1,0)</f>
        <v>0</v>
      </c>
    </row>
    <row r="382" spans="9:15" x14ac:dyDescent="0.25">
      <c r="I382" s="39"/>
    </row>
    <row r="383" spans="9:15" ht="15.75" thickBot="1" x14ac:dyDescent="0.3">
      <c r="I383" t="str">
        <f>MID(I377,1,5)&amp;MID(I377,6,2)+1</f>
        <v>Line_31</v>
      </c>
      <c r="O383" s="40">
        <f>VALUE(MID($I383,6,3))</f>
        <v>31</v>
      </c>
    </row>
    <row r="384" spans="9:15" x14ac:dyDescent="0.25">
      <c r="I384" s="39">
        <v>0</v>
      </c>
      <c r="J384" s="30">
        <f ca="1">IF(OFFSET($C$3,MATCH(I383,$B$3:$B$102,0)-1,J$2-1)=$I384,1,0)</f>
        <v>1</v>
      </c>
      <c r="K384" s="31">
        <f ca="1">IF(OFFSET($C$3,MATCH(I383,$B$3:$B$102,0)-1,K$2-1)=$I384,1,0)</f>
        <v>1</v>
      </c>
      <c r="L384" s="31">
        <f ca="1">IF(OFFSET($C$3,MATCH(I383,$B$3:$B$102,0)-1,L$2-1)=$I384,1,0)</f>
        <v>1</v>
      </c>
      <c r="M384" s="31">
        <f ca="1">IF(OFFSET($C$3,MATCH(I383,$B$3:$B$102,0)-1,M$2-1)=$I384,1,0)</f>
        <v>1</v>
      </c>
      <c r="N384" s="32">
        <f ca="1">IF(OFFSET($C$3,MATCH(I383,$B$3:$B$102,0)-1,N$2-1)=$I384,1,0)</f>
        <v>1</v>
      </c>
    </row>
    <row r="385" spans="9:15" x14ac:dyDescent="0.25">
      <c r="I385" s="39">
        <v>1</v>
      </c>
      <c r="J385" s="33">
        <f ca="1">IF(OFFSET($C$3,MATCH(I383,$B$3:$B$102,0)-1,J$2-1)=$I385,1,0)</f>
        <v>0</v>
      </c>
      <c r="K385" s="34">
        <f ca="1">IF(OFFSET($C$3,MATCH(I383,$B$3:$B$102,0)-1,K$2-1)=$I385,1,0)</f>
        <v>0</v>
      </c>
      <c r="L385" s="34">
        <f ca="1">IF(OFFSET($C$3,MATCH(I383,$B$3:$B$102,0)-1,L$2-1)=$I385,1,0)</f>
        <v>0</v>
      </c>
      <c r="M385" s="34">
        <f ca="1">IF(OFFSET($C$3,MATCH(I383,$B$3:$B$102,0)-1,M$2-1)=$I385,1,0)</f>
        <v>0</v>
      </c>
      <c r="N385" s="35">
        <f ca="1">IF(OFFSET($C$3,MATCH(I383,$B$3:$B$102,0)-1,N$2-1)=$I385,1,0)</f>
        <v>0</v>
      </c>
    </row>
    <row r="386" spans="9:15" x14ac:dyDescent="0.25">
      <c r="I386" s="39">
        <v>2</v>
      </c>
      <c r="J386" s="43">
        <f ca="1">IF(OFFSET($C$3,MATCH(I383,$B$3:$B$102,0)-1,J$2-1)=$I386,1,0)</f>
        <v>0</v>
      </c>
      <c r="K386" s="44">
        <f ca="1">IF(OFFSET($C$3,MATCH(I383,$B$3:$B$102,0)-1,K$2-1)=$I386,1,0)</f>
        <v>0</v>
      </c>
      <c r="L386" s="44">
        <f ca="1">IF(OFFSET($C$3,MATCH(I383,$B$3:$B$102,0)-1,L$2-1)=$I386,1,0)</f>
        <v>0</v>
      </c>
      <c r="M386" s="44">
        <f ca="1">IF(OFFSET($C$3,MATCH(I383,$B$3:$B$102,0)-1,M$2-1)=$I386,1,0)</f>
        <v>0</v>
      </c>
      <c r="N386" s="45">
        <f ca="1">IF(OFFSET($C$3,MATCH(I383,$B$3:$B$102,0)-1,N$2-1)=$I386,1,0)</f>
        <v>0</v>
      </c>
    </row>
    <row r="387" spans="9:15" ht="15.75" thickBot="1" x14ac:dyDescent="0.3">
      <c r="I387" s="39">
        <v>3</v>
      </c>
      <c r="J387" s="36">
        <f ca="1">IF(OFFSET($C$3,MATCH(I383,$B$3:$B$102,0)-1,J$2-1)=$I387,1,0)</f>
        <v>0</v>
      </c>
      <c r="K387" s="37">
        <f ca="1">IF(OFFSET($C$3,MATCH(I383,$B$3:$B$102,0)-1,K$2-1)=$I387,1,0)</f>
        <v>0</v>
      </c>
      <c r="L387" s="37">
        <f ca="1">IF(OFFSET($C$3,MATCH(I383,$B$3:$B$102,0)-1,L$2-1)=$I387,1,0)</f>
        <v>0</v>
      </c>
      <c r="M387" s="37">
        <f ca="1">IF(OFFSET($C$3,MATCH(I383,$B$3:$B$102,0)-1,M$2-1)=$I387,1,0)</f>
        <v>0</v>
      </c>
      <c r="N387" s="38">
        <f ca="1">IF(OFFSET($C$3,MATCH(I383,$B$3:$B$102,0)-1,N$2-1)=$I387,1,0)</f>
        <v>0</v>
      </c>
    </row>
    <row r="388" spans="9:15" x14ac:dyDescent="0.25">
      <c r="I388" s="39"/>
      <c r="J388" s="20"/>
      <c r="K388" s="20"/>
      <c r="L388" s="20"/>
      <c r="M388" s="20"/>
      <c r="N388" s="20"/>
    </row>
    <row r="389" spans="9:15" ht="15.75" thickBot="1" x14ac:dyDescent="0.3">
      <c r="I389" t="str">
        <f>MID(I383,1,5)&amp;MID(I383,6,2)+1</f>
        <v>Line_32</v>
      </c>
      <c r="O389" s="40">
        <f>VALUE(MID($I389,6,3))</f>
        <v>32</v>
      </c>
    </row>
    <row r="390" spans="9:15" x14ac:dyDescent="0.25">
      <c r="I390" s="39">
        <v>0</v>
      </c>
      <c r="J390" s="30">
        <f ca="1">IF(OFFSET($C$3,MATCH(I389,$B$3:$B$102,0)-1,J$2-1)=$I390,1,0)</f>
        <v>1</v>
      </c>
      <c r="K390" s="31">
        <f ca="1">IF(OFFSET($C$3,MATCH(I389,$B$3:$B$102,0)-1,K$2-1)=$I390,1,0)</f>
        <v>1</v>
      </c>
      <c r="L390" s="31">
        <f ca="1">IF(OFFSET($C$3,MATCH(I389,$B$3:$B$102,0)-1,L$2-1)=$I390,1,0)</f>
        <v>1</v>
      </c>
      <c r="M390" s="31">
        <f ca="1">IF(OFFSET($C$3,MATCH(I389,$B$3:$B$102,0)-1,M$2-1)=$I390,1,0)</f>
        <v>1</v>
      </c>
      <c r="N390" s="32">
        <f ca="1">IF(OFFSET($C$3,MATCH(I389,$B$3:$B$102,0)-1,N$2-1)=$I390,1,0)</f>
        <v>1</v>
      </c>
    </row>
    <row r="391" spans="9:15" x14ac:dyDescent="0.25">
      <c r="I391" s="39">
        <v>1</v>
      </c>
      <c r="J391" s="33">
        <f ca="1">IF(OFFSET($C$3,MATCH(I389,$B$3:$B$102,0)-1,J$2-1)=$I391,1,0)</f>
        <v>0</v>
      </c>
      <c r="K391" s="34">
        <f ca="1">IF(OFFSET($C$3,MATCH(I389,$B$3:$B$102,0)-1,K$2-1)=$I391,1,0)</f>
        <v>0</v>
      </c>
      <c r="L391" s="34">
        <f ca="1">IF(OFFSET($C$3,MATCH(I389,$B$3:$B$102,0)-1,L$2-1)=$I391,1,0)</f>
        <v>0</v>
      </c>
      <c r="M391" s="34">
        <f ca="1">IF(OFFSET($C$3,MATCH(I389,$B$3:$B$102,0)-1,M$2-1)=$I391,1,0)</f>
        <v>0</v>
      </c>
      <c r="N391" s="35">
        <f ca="1">IF(OFFSET($C$3,MATCH(I389,$B$3:$B$102,0)-1,N$2-1)=$I391,1,0)</f>
        <v>0</v>
      </c>
    </row>
    <row r="392" spans="9:15" x14ac:dyDescent="0.25">
      <c r="I392" s="39">
        <v>2</v>
      </c>
      <c r="J392" s="43">
        <f ca="1">IF(OFFSET($C$3,MATCH(I389,$B$3:$B$102,0)-1,J$2-1)=$I392,1,0)</f>
        <v>0</v>
      </c>
      <c r="K392" s="44">
        <f ca="1">IF(OFFSET($C$3,MATCH(I389,$B$3:$B$102,0)-1,K$2-1)=$I392,1,0)</f>
        <v>0</v>
      </c>
      <c r="L392" s="44">
        <f ca="1">IF(OFFSET($C$3,MATCH(I389,$B$3:$B$102,0)-1,L$2-1)=$I392,1,0)</f>
        <v>0</v>
      </c>
      <c r="M392" s="44">
        <f ca="1">IF(OFFSET($C$3,MATCH(I389,$B$3:$B$102,0)-1,M$2-1)=$I392,1,0)</f>
        <v>0</v>
      </c>
      <c r="N392" s="45">
        <f ca="1">IF(OFFSET($C$3,MATCH(I389,$B$3:$B$102,0)-1,N$2-1)=$I392,1,0)</f>
        <v>0</v>
      </c>
    </row>
    <row r="393" spans="9:15" ht="15.75" thickBot="1" x14ac:dyDescent="0.3">
      <c r="I393" s="39">
        <v>3</v>
      </c>
      <c r="J393" s="36">
        <f ca="1">IF(OFFSET($C$3,MATCH(I389,$B$3:$B$102,0)-1,J$2-1)=$I393,1,0)</f>
        <v>0</v>
      </c>
      <c r="K393" s="37">
        <f ca="1">IF(OFFSET($C$3,MATCH(I389,$B$3:$B$102,0)-1,K$2-1)=$I393,1,0)</f>
        <v>0</v>
      </c>
      <c r="L393" s="37">
        <f ca="1">IF(OFFSET($C$3,MATCH(I389,$B$3:$B$102,0)-1,L$2-1)=$I393,1,0)</f>
        <v>0</v>
      </c>
      <c r="M393" s="37">
        <f ca="1">IF(OFFSET($C$3,MATCH(I389,$B$3:$B$102,0)-1,M$2-1)=$I393,1,0)</f>
        <v>0</v>
      </c>
      <c r="N393" s="38">
        <f ca="1">IF(OFFSET($C$3,MATCH(I389,$B$3:$B$102,0)-1,N$2-1)=$I393,1,0)</f>
        <v>0</v>
      </c>
    </row>
    <row r="394" spans="9:15" x14ac:dyDescent="0.25">
      <c r="J394" s="42"/>
      <c r="K394" s="42"/>
      <c r="L394" s="42"/>
      <c r="M394" s="42"/>
      <c r="N394" s="42"/>
    </row>
    <row r="395" spans="9:15" ht="15.75" thickBot="1" x14ac:dyDescent="0.3">
      <c r="I395" t="str">
        <f>MID(I389,1,5)&amp;MID(I389,6,2)+1</f>
        <v>Line_33</v>
      </c>
      <c r="O395" s="40">
        <f>VALUE(MID($I395,6,3))</f>
        <v>33</v>
      </c>
    </row>
    <row r="396" spans="9:15" x14ac:dyDescent="0.25">
      <c r="I396" s="39">
        <v>0</v>
      </c>
      <c r="J396" s="30">
        <f ca="1">IF(OFFSET($C$3,MATCH(I395,$B$3:$B$102,0)-1,J$2-1)=$I396,1,0)</f>
        <v>1</v>
      </c>
      <c r="K396" s="31">
        <f ca="1">IF(OFFSET($C$3,MATCH(I395,$B$3:$B$102,0)-1,K$2-1)=$I396,1,0)</f>
        <v>1</v>
      </c>
      <c r="L396" s="31">
        <f ca="1">IF(OFFSET($C$3,MATCH(I395,$B$3:$B$102,0)-1,L$2-1)=$I396,1,0)</f>
        <v>1</v>
      </c>
      <c r="M396" s="31">
        <f ca="1">IF(OFFSET($C$3,MATCH(I395,$B$3:$B$102,0)-1,M$2-1)=$I396,1,0)</f>
        <v>1</v>
      </c>
      <c r="N396" s="32">
        <f ca="1">IF(OFFSET($C$3,MATCH(I395,$B$3:$B$102,0)-1,N$2-1)=$I396,1,0)</f>
        <v>1</v>
      </c>
    </row>
    <row r="397" spans="9:15" x14ac:dyDescent="0.25">
      <c r="I397" s="39">
        <v>1</v>
      </c>
      <c r="J397" s="33">
        <f ca="1">IF(OFFSET($C$3,MATCH(I395,$B$3:$B$102,0)-1,J$2-1)=$I397,1,0)</f>
        <v>0</v>
      </c>
      <c r="K397" s="34">
        <f ca="1">IF(OFFSET($C$3,MATCH(I395,$B$3:$B$102,0)-1,K$2-1)=$I397,1,0)</f>
        <v>0</v>
      </c>
      <c r="L397" s="34">
        <f ca="1">IF(OFFSET($C$3,MATCH(I395,$B$3:$B$102,0)-1,L$2-1)=$I397,1,0)</f>
        <v>0</v>
      </c>
      <c r="M397" s="34">
        <f ca="1">IF(OFFSET($C$3,MATCH(I395,$B$3:$B$102,0)-1,M$2-1)=$I397,1,0)</f>
        <v>0</v>
      </c>
      <c r="N397" s="35">
        <f ca="1">IF(OFFSET($C$3,MATCH(I395,$B$3:$B$102,0)-1,N$2-1)=$I397,1,0)</f>
        <v>0</v>
      </c>
    </row>
    <row r="398" spans="9:15" x14ac:dyDescent="0.25">
      <c r="I398" s="39">
        <v>2</v>
      </c>
      <c r="J398" s="43">
        <f ca="1">IF(OFFSET($C$3,MATCH(I395,$B$3:$B$102,0)-1,J$2-1)=$I398,1,0)</f>
        <v>0</v>
      </c>
      <c r="K398" s="44">
        <f ca="1">IF(OFFSET($C$3,MATCH(I395,$B$3:$B$102,0)-1,K$2-1)=$I398,1,0)</f>
        <v>0</v>
      </c>
      <c r="L398" s="44">
        <f ca="1">IF(OFFSET($C$3,MATCH(I395,$B$3:$B$102,0)-1,L$2-1)=$I398,1,0)</f>
        <v>0</v>
      </c>
      <c r="M398" s="44">
        <f ca="1">IF(OFFSET($C$3,MATCH(I395,$B$3:$B$102,0)-1,M$2-1)=$I398,1,0)</f>
        <v>0</v>
      </c>
      <c r="N398" s="45">
        <f ca="1">IF(OFFSET($C$3,MATCH(I395,$B$3:$B$102,0)-1,N$2-1)=$I398,1,0)</f>
        <v>0</v>
      </c>
    </row>
    <row r="399" spans="9:15" ht="15.75" thickBot="1" x14ac:dyDescent="0.3">
      <c r="I399" s="39">
        <v>3</v>
      </c>
      <c r="J399" s="36">
        <f ca="1">IF(OFFSET($C$3,MATCH(I395,$B$3:$B$102,0)-1,J$2-1)=$I399,1,0)</f>
        <v>0</v>
      </c>
      <c r="K399" s="37">
        <f ca="1">IF(OFFSET($C$3,MATCH(I395,$B$3:$B$102,0)-1,K$2-1)=$I399,1,0)</f>
        <v>0</v>
      </c>
      <c r="L399" s="37">
        <f ca="1">IF(OFFSET($C$3,MATCH(I395,$B$3:$B$102,0)-1,L$2-1)=$I399,1,0)</f>
        <v>0</v>
      </c>
      <c r="M399" s="37">
        <f ca="1">IF(OFFSET($C$3,MATCH(I395,$B$3:$B$102,0)-1,M$2-1)=$I399,1,0)</f>
        <v>0</v>
      </c>
      <c r="N399" s="38">
        <f ca="1">IF(OFFSET($C$3,MATCH(I395,$B$3:$B$102,0)-1,N$2-1)=$I399,1,0)</f>
        <v>0</v>
      </c>
    </row>
    <row r="400" spans="9:15" x14ac:dyDescent="0.25">
      <c r="I400" s="39"/>
      <c r="J400" s="20"/>
      <c r="K400" s="20"/>
      <c r="L400" s="20"/>
      <c r="M400" s="20"/>
      <c r="N400" s="20"/>
    </row>
    <row r="401" spans="9:15" ht="15.75" thickBot="1" x14ac:dyDescent="0.3">
      <c r="I401" t="str">
        <f>MID(I395,1,5)&amp;MID(I395,6,2)+1</f>
        <v>Line_34</v>
      </c>
      <c r="O401" s="40">
        <f>VALUE(MID($I401,6,3))</f>
        <v>34</v>
      </c>
    </row>
    <row r="402" spans="9:15" x14ac:dyDescent="0.25">
      <c r="I402" s="39">
        <v>0</v>
      </c>
      <c r="J402" s="30">
        <f ca="1">IF(OFFSET($C$3,MATCH(I401,$B$3:$B$102,0)-1,J$2-1)=$I402,1,0)</f>
        <v>1</v>
      </c>
      <c r="K402" s="31">
        <f ca="1">IF(OFFSET($C$3,MATCH(I401,$B$3:$B$102,0)-1,K$2-1)=$I402,1,0)</f>
        <v>1</v>
      </c>
      <c r="L402" s="31">
        <f ca="1">IF(OFFSET($C$3,MATCH(I401,$B$3:$B$102,0)-1,L$2-1)=$I402,1,0)</f>
        <v>1</v>
      </c>
      <c r="M402" s="31">
        <f ca="1">IF(OFFSET($C$3,MATCH(I401,$B$3:$B$102,0)-1,M$2-1)=$I402,1,0)</f>
        <v>1</v>
      </c>
      <c r="N402" s="32">
        <f ca="1">IF(OFFSET($C$3,MATCH(I401,$B$3:$B$102,0)-1,N$2-1)=$I402,1,0)</f>
        <v>1</v>
      </c>
    </row>
    <row r="403" spans="9:15" x14ac:dyDescent="0.25">
      <c r="I403" s="39">
        <v>1</v>
      </c>
      <c r="J403" s="33">
        <f ca="1">IF(OFFSET($C$3,MATCH(I401,$B$3:$B$102,0)-1,J$2-1)=$I403,1,0)</f>
        <v>0</v>
      </c>
      <c r="K403" s="34">
        <f ca="1">IF(OFFSET($C$3,MATCH(I401,$B$3:$B$102,0)-1,K$2-1)=$I403,1,0)</f>
        <v>0</v>
      </c>
      <c r="L403" s="34">
        <f ca="1">IF(OFFSET($C$3,MATCH(I401,$B$3:$B$102,0)-1,L$2-1)=$I403,1,0)</f>
        <v>0</v>
      </c>
      <c r="M403" s="34">
        <f ca="1">IF(OFFSET($C$3,MATCH(I401,$B$3:$B$102,0)-1,M$2-1)=$I403,1,0)</f>
        <v>0</v>
      </c>
      <c r="N403" s="35">
        <f ca="1">IF(OFFSET($C$3,MATCH(I401,$B$3:$B$102,0)-1,N$2-1)=$I403,1,0)</f>
        <v>0</v>
      </c>
    </row>
    <row r="404" spans="9:15" x14ac:dyDescent="0.25">
      <c r="I404" s="39">
        <v>2</v>
      </c>
      <c r="J404" s="43">
        <f ca="1">IF(OFFSET($C$3,MATCH(I401,$B$3:$B$102,0)-1,J$2-1)=$I404,1,0)</f>
        <v>0</v>
      </c>
      <c r="K404" s="44">
        <f ca="1">IF(OFFSET($C$3,MATCH(I401,$B$3:$B$102,0)-1,K$2-1)=$I404,1,0)</f>
        <v>0</v>
      </c>
      <c r="L404" s="44">
        <f ca="1">IF(OFFSET($C$3,MATCH(I401,$B$3:$B$102,0)-1,L$2-1)=$I404,1,0)</f>
        <v>0</v>
      </c>
      <c r="M404" s="44">
        <f ca="1">IF(OFFSET($C$3,MATCH(I401,$B$3:$B$102,0)-1,M$2-1)=$I404,1,0)</f>
        <v>0</v>
      </c>
      <c r="N404" s="45">
        <f ca="1">IF(OFFSET($C$3,MATCH(I401,$B$3:$B$102,0)-1,N$2-1)=$I404,1,0)</f>
        <v>0</v>
      </c>
    </row>
    <row r="405" spans="9:15" ht="15.75" thickBot="1" x14ac:dyDescent="0.3">
      <c r="I405" s="39">
        <v>3</v>
      </c>
      <c r="J405" s="36">
        <f ca="1">IF(OFFSET($C$3,MATCH(I401,$B$3:$B$102,0)-1,J$2-1)=$I405,1,0)</f>
        <v>0</v>
      </c>
      <c r="K405" s="37">
        <f ca="1">IF(OFFSET($C$3,MATCH(I401,$B$3:$B$102,0)-1,K$2-1)=$I405,1,0)</f>
        <v>0</v>
      </c>
      <c r="L405" s="37">
        <f ca="1">IF(OFFSET($C$3,MATCH(I401,$B$3:$B$102,0)-1,L$2-1)=$I405,1,0)</f>
        <v>0</v>
      </c>
      <c r="M405" s="37">
        <f ca="1">IF(OFFSET($C$3,MATCH(I401,$B$3:$B$102,0)-1,M$2-1)=$I405,1,0)</f>
        <v>0</v>
      </c>
      <c r="N405" s="38">
        <f ca="1">IF(OFFSET($C$3,MATCH(I401,$B$3:$B$102,0)-1,N$2-1)=$I405,1,0)</f>
        <v>0</v>
      </c>
    </row>
    <row r="406" spans="9:15" x14ac:dyDescent="0.25">
      <c r="I406" s="39"/>
    </row>
    <row r="407" spans="9:15" ht="15.75" thickBot="1" x14ac:dyDescent="0.3">
      <c r="I407" t="str">
        <f>MID(I401,1,5)&amp;MID(I401,6,2)+1</f>
        <v>Line_35</v>
      </c>
      <c r="O407" s="40">
        <f>VALUE(MID($I407,6,3))</f>
        <v>35</v>
      </c>
    </row>
    <row r="408" spans="9:15" x14ac:dyDescent="0.25">
      <c r="I408" s="39">
        <v>0</v>
      </c>
      <c r="J408" s="30">
        <f ca="1">IF(OFFSET($C$3,MATCH(I407,$B$3:$B$102,0)-1,J$2-1)=$I408,1,0)</f>
        <v>1</v>
      </c>
      <c r="K408" s="31">
        <f ca="1">IF(OFFSET($C$3,MATCH(I407,$B$3:$B$102,0)-1,K$2-1)=$I408,1,0)</f>
        <v>1</v>
      </c>
      <c r="L408" s="31">
        <f ca="1">IF(OFFSET($C$3,MATCH(I407,$B$3:$B$102,0)-1,L$2-1)=$I408,1,0)</f>
        <v>1</v>
      </c>
      <c r="M408" s="31">
        <f ca="1">IF(OFFSET($C$3,MATCH(I407,$B$3:$B$102,0)-1,M$2-1)=$I408,1,0)</f>
        <v>1</v>
      </c>
      <c r="N408" s="32">
        <f ca="1">IF(OFFSET($C$3,MATCH(I407,$B$3:$B$102,0)-1,N$2-1)=$I408,1,0)</f>
        <v>1</v>
      </c>
    </row>
    <row r="409" spans="9:15" x14ac:dyDescent="0.25">
      <c r="I409" s="39">
        <v>1</v>
      </c>
      <c r="J409" s="33">
        <f ca="1">IF(OFFSET($C$3,MATCH(I407,$B$3:$B$102,0)-1,J$2-1)=$I409,1,0)</f>
        <v>0</v>
      </c>
      <c r="K409" s="34">
        <f ca="1">IF(OFFSET($C$3,MATCH(I407,$B$3:$B$102,0)-1,K$2-1)=$I409,1,0)</f>
        <v>0</v>
      </c>
      <c r="L409" s="34">
        <f ca="1">IF(OFFSET($C$3,MATCH(I407,$B$3:$B$102,0)-1,L$2-1)=$I409,1,0)</f>
        <v>0</v>
      </c>
      <c r="M409" s="34">
        <f ca="1">IF(OFFSET($C$3,MATCH(I407,$B$3:$B$102,0)-1,M$2-1)=$I409,1,0)</f>
        <v>0</v>
      </c>
      <c r="N409" s="35">
        <f ca="1">IF(OFFSET($C$3,MATCH(I407,$B$3:$B$102,0)-1,N$2-1)=$I409,1,0)</f>
        <v>0</v>
      </c>
    </row>
    <row r="410" spans="9:15" x14ac:dyDescent="0.25">
      <c r="I410" s="39">
        <v>2</v>
      </c>
      <c r="J410" s="43">
        <f ca="1">IF(OFFSET($C$3,MATCH(I407,$B$3:$B$102,0)-1,J$2-1)=$I410,1,0)</f>
        <v>0</v>
      </c>
      <c r="K410" s="44">
        <f ca="1">IF(OFFSET($C$3,MATCH(I407,$B$3:$B$102,0)-1,K$2-1)=$I410,1,0)</f>
        <v>0</v>
      </c>
      <c r="L410" s="44">
        <f ca="1">IF(OFFSET($C$3,MATCH(I407,$B$3:$B$102,0)-1,L$2-1)=$I410,1,0)</f>
        <v>0</v>
      </c>
      <c r="M410" s="44">
        <f ca="1">IF(OFFSET($C$3,MATCH(I407,$B$3:$B$102,0)-1,M$2-1)=$I410,1,0)</f>
        <v>0</v>
      </c>
      <c r="N410" s="45">
        <f ca="1">IF(OFFSET($C$3,MATCH(I407,$B$3:$B$102,0)-1,N$2-1)=$I410,1,0)</f>
        <v>0</v>
      </c>
    </row>
    <row r="411" spans="9:15" ht="15.75" thickBot="1" x14ac:dyDescent="0.3">
      <c r="I411" s="39">
        <v>3</v>
      </c>
      <c r="J411" s="36">
        <f ca="1">IF(OFFSET($C$3,MATCH(I407,$B$3:$B$102,0)-1,J$2-1)=$I411,1,0)</f>
        <v>0</v>
      </c>
      <c r="K411" s="37">
        <f ca="1">IF(OFFSET($C$3,MATCH(I407,$B$3:$B$102,0)-1,K$2-1)=$I411,1,0)</f>
        <v>0</v>
      </c>
      <c r="L411" s="37">
        <f ca="1">IF(OFFSET($C$3,MATCH(I407,$B$3:$B$102,0)-1,L$2-1)=$I411,1,0)</f>
        <v>0</v>
      </c>
      <c r="M411" s="37">
        <f ca="1">IF(OFFSET($C$3,MATCH(I407,$B$3:$B$102,0)-1,M$2-1)=$I411,1,0)</f>
        <v>0</v>
      </c>
      <c r="N411" s="38">
        <f ca="1">IF(OFFSET($C$3,MATCH(I407,$B$3:$B$102,0)-1,N$2-1)=$I411,1,0)</f>
        <v>0</v>
      </c>
    </row>
    <row r="412" spans="9:15" x14ac:dyDescent="0.25">
      <c r="I412" s="39"/>
    </row>
    <row r="413" spans="9:15" ht="15.75" thickBot="1" x14ac:dyDescent="0.3">
      <c r="I413" t="str">
        <f>MID(I407,1,5)&amp;MID(I407,6,2)+1</f>
        <v>Line_36</v>
      </c>
      <c r="O413" s="40">
        <f>VALUE(MID($I413,6,3))</f>
        <v>36</v>
      </c>
    </row>
    <row r="414" spans="9:15" x14ac:dyDescent="0.25">
      <c r="I414" s="39">
        <v>0</v>
      </c>
      <c r="J414" s="30">
        <f ca="1">IF(OFFSET($C$3,MATCH(I413,$B$3:$B$102,0)-1,J$2-1)=$I414,1,0)</f>
        <v>1</v>
      </c>
      <c r="K414" s="31">
        <f ca="1">IF(OFFSET($C$3,MATCH(I413,$B$3:$B$102,0)-1,K$2-1)=$I414,1,0)</f>
        <v>1</v>
      </c>
      <c r="L414" s="31">
        <f ca="1">IF(OFFSET($C$3,MATCH(I413,$B$3:$B$102,0)-1,L$2-1)=$I414,1,0)</f>
        <v>1</v>
      </c>
      <c r="M414" s="31">
        <f ca="1">IF(OFFSET($C$3,MATCH(I413,$B$3:$B$102,0)-1,M$2-1)=$I414,1,0)</f>
        <v>1</v>
      </c>
      <c r="N414" s="32">
        <f ca="1">IF(OFFSET($C$3,MATCH(I413,$B$3:$B$102,0)-1,N$2-1)=$I414,1,0)</f>
        <v>1</v>
      </c>
    </row>
    <row r="415" spans="9:15" x14ac:dyDescent="0.25">
      <c r="I415" s="39">
        <v>1</v>
      </c>
      <c r="J415" s="33">
        <f ca="1">IF(OFFSET($C$3,MATCH(I413,$B$3:$B$102,0)-1,J$2-1)=$I415,1,0)</f>
        <v>0</v>
      </c>
      <c r="K415" s="34">
        <f ca="1">IF(OFFSET($C$3,MATCH(I413,$B$3:$B$102,0)-1,K$2-1)=$I415,1,0)</f>
        <v>0</v>
      </c>
      <c r="L415" s="34">
        <f ca="1">IF(OFFSET($C$3,MATCH(I413,$B$3:$B$102,0)-1,L$2-1)=$I415,1,0)</f>
        <v>0</v>
      </c>
      <c r="M415" s="34">
        <f ca="1">IF(OFFSET($C$3,MATCH(I413,$B$3:$B$102,0)-1,M$2-1)=$I415,1,0)</f>
        <v>0</v>
      </c>
      <c r="N415" s="35">
        <f ca="1">IF(OFFSET($C$3,MATCH(I413,$B$3:$B$102,0)-1,N$2-1)=$I415,1,0)</f>
        <v>0</v>
      </c>
    </row>
    <row r="416" spans="9:15" x14ac:dyDescent="0.25">
      <c r="I416" s="39">
        <v>2</v>
      </c>
      <c r="J416" s="43">
        <f ca="1">IF(OFFSET($C$3,MATCH(I413,$B$3:$B$102,0)-1,J$2-1)=$I416,1,0)</f>
        <v>0</v>
      </c>
      <c r="K416" s="44">
        <f ca="1">IF(OFFSET($C$3,MATCH(I413,$B$3:$B$102,0)-1,K$2-1)=$I416,1,0)</f>
        <v>0</v>
      </c>
      <c r="L416" s="44">
        <f ca="1">IF(OFFSET($C$3,MATCH(I413,$B$3:$B$102,0)-1,L$2-1)=$I416,1,0)</f>
        <v>0</v>
      </c>
      <c r="M416" s="44">
        <f ca="1">IF(OFFSET($C$3,MATCH(I413,$B$3:$B$102,0)-1,M$2-1)=$I416,1,0)</f>
        <v>0</v>
      </c>
      <c r="N416" s="45">
        <f ca="1">IF(OFFSET($C$3,MATCH(I413,$B$3:$B$102,0)-1,N$2-1)=$I416,1,0)</f>
        <v>0</v>
      </c>
    </row>
    <row r="417" spans="9:15" ht="15.75" thickBot="1" x14ac:dyDescent="0.3">
      <c r="I417" s="39">
        <v>3</v>
      </c>
      <c r="J417" s="36">
        <f ca="1">IF(OFFSET($C$3,MATCH(I413,$B$3:$B$102,0)-1,J$2-1)=$I417,1,0)</f>
        <v>0</v>
      </c>
      <c r="K417" s="37">
        <f ca="1">IF(OFFSET($C$3,MATCH(I413,$B$3:$B$102,0)-1,K$2-1)=$I417,1,0)</f>
        <v>0</v>
      </c>
      <c r="L417" s="37">
        <f ca="1">IF(OFFSET($C$3,MATCH(I413,$B$3:$B$102,0)-1,L$2-1)=$I417,1,0)</f>
        <v>0</v>
      </c>
      <c r="M417" s="37">
        <f ca="1">IF(OFFSET($C$3,MATCH(I413,$B$3:$B$102,0)-1,M$2-1)=$I417,1,0)</f>
        <v>0</v>
      </c>
      <c r="N417" s="38">
        <f ca="1">IF(OFFSET($C$3,MATCH(I413,$B$3:$B$102,0)-1,N$2-1)=$I417,1,0)</f>
        <v>0</v>
      </c>
    </row>
    <row r="418" spans="9:15" x14ac:dyDescent="0.25">
      <c r="J418" s="20"/>
      <c r="K418" s="20"/>
      <c r="L418" s="20"/>
      <c r="M418" s="20"/>
      <c r="N418" s="20"/>
    </row>
    <row r="419" spans="9:15" ht="15.75" thickBot="1" x14ac:dyDescent="0.3">
      <c r="I419" t="str">
        <f>MID(I413,1,5)&amp;MID(I413,6,2)+1</f>
        <v>Line_37</v>
      </c>
      <c r="O419" s="40">
        <f>VALUE(MID($I419,6,3))</f>
        <v>37</v>
      </c>
    </row>
    <row r="420" spans="9:15" x14ac:dyDescent="0.25">
      <c r="I420" s="39">
        <v>0</v>
      </c>
      <c r="J420" s="30">
        <f ca="1">IF(OFFSET($C$3,MATCH(I419,$B$3:$B$102,0)-1,J$2-1)=$I420,1,0)</f>
        <v>1</v>
      </c>
      <c r="K420" s="31">
        <f ca="1">IF(OFFSET($C$3,MATCH(I419,$B$3:$B$102,0)-1,K$2-1)=$I420,1,0)</f>
        <v>1</v>
      </c>
      <c r="L420" s="31">
        <f ca="1">IF(OFFSET($C$3,MATCH(I419,$B$3:$B$102,0)-1,L$2-1)=$I420,1,0)</f>
        <v>1</v>
      </c>
      <c r="M420" s="31">
        <f ca="1">IF(OFFSET($C$3,MATCH(I419,$B$3:$B$102,0)-1,M$2-1)=$I420,1,0)</f>
        <v>1</v>
      </c>
      <c r="N420" s="32">
        <f ca="1">IF(OFFSET($C$3,MATCH(I419,$B$3:$B$102,0)-1,N$2-1)=$I420,1,0)</f>
        <v>1</v>
      </c>
    </row>
    <row r="421" spans="9:15" x14ac:dyDescent="0.25">
      <c r="I421" s="39">
        <v>1</v>
      </c>
      <c r="J421" s="33">
        <f ca="1">IF(OFFSET($C$3,MATCH(I419,$B$3:$B$102,0)-1,J$2-1)=$I421,1,0)</f>
        <v>0</v>
      </c>
      <c r="K421" s="34">
        <f ca="1">IF(OFFSET($C$3,MATCH(I419,$B$3:$B$102,0)-1,K$2-1)=$I421,1,0)</f>
        <v>0</v>
      </c>
      <c r="L421" s="34">
        <f ca="1">IF(OFFSET($C$3,MATCH(I419,$B$3:$B$102,0)-1,L$2-1)=$I421,1,0)</f>
        <v>0</v>
      </c>
      <c r="M421" s="34">
        <f ca="1">IF(OFFSET($C$3,MATCH(I419,$B$3:$B$102,0)-1,M$2-1)=$I421,1,0)</f>
        <v>0</v>
      </c>
      <c r="N421" s="35">
        <f ca="1">IF(OFFSET($C$3,MATCH(I419,$B$3:$B$102,0)-1,N$2-1)=$I421,1,0)</f>
        <v>0</v>
      </c>
    </row>
    <row r="422" spans="9:15" x14ac:dyDescent="0.25">
      <c r="I422" s="39">
        <v>2</v>
      </c>
      <c r="J422" s="43">
        <f ca="1">IF(OFFSET($C$3,MATCH(I419,$B$3:$B$102,0)-1,J$2-1)=$I422,1,0)</f>
        <v>0</v>
      </c>
      <c r="K422" s="44">
        <f ca="1">IF(OFFSET($C$3,MATCH(I419,$B$3:$B$102,0)-1,K$2-1)=$I422,1,0)</f>
        <v>0</v>
      </c>
      <c r="L422" s="44">
        <f ca="1">IF(OFFSET($C$3,MATCH(I419,$B$3:$B$102,0)-1,L$2-1)=$I422,1,0)</f>
        <v>0</v>
      </c>
      <c r="M422" s="44">
        <f ca="1">IF(OFFSET($C$3,MATCH(I419,$B$3:$B$102,0)-1,M$2-1)=$I422,1,0)</f>
        <v>0</v>
      </c>
      <c r="N422" s="45">
        <f ca="1">IF(OFFSET($C$3,MATCH(I419,$B$3:$B$102,0)-1,N$2-1)=$I422,1,0)</f>
        <v>0</v>
      </c>
    </row>
    <row r="423" spans="9:15" ht="15.75" thickBot="1" x14ac:dyDescent="0.3">
      <c r="I423" s="39">
        <v>3</v>
      </c>
      <c r="J423" s="36">
        <f ca="1">IF(OFFSET($C$3,MATCH(I419,$B$3:$B$102,0)-1,J$2-1)=$I423,1,0)</f>
        <v>0</v>
      </c>
      <c r="K423" s="37">
        <f ca="1">IF(OFFSET($C$3,MATCH(I419,$B$3:$B$102,0)-1,K$2-1)=$I423,1,0)</f>
        <v>0</v>
      </c>
      <c r="L423" s="37">
        <f ca="1">IF(OFFSET($C$3,MATCH(I419,$B$3:$B$102,0)-1,L$2-1)=$I423,1,0)</f>
        <v>0</v>
      </c>
      <c r="M423" s="37">
        <f ca="1">IF(OFFSET($C$3,MATCH(I419,$B$3:$B$102,0)-1,M$2-1)=$I423,1,0)</f>
        <v>0</v>
      </c>
      <c r="N423" s="38">
        <f ca="1">IF(OFFSET($C$3,MATCH(I419,$B$3:$B$102,0)-1,N$2-1)=$I423,1,0)</f>
        <v>0</v>
      </c>
    </row>
    <row r="425" spans="9:15" ht="15.75" thickBot="1" x14ac:dyDescent="0.3">
      <c r="I425" t="str">
        <f>MID(I419,1,5)&amp;MID(I419,6,2)+1</f>
        <v>Line_38</v>
      </c>
      <c r="O425" s="40">
        <f>VALUE(MID($I425,6,3))</f>
        <v>38</v>
      </c>
    </row>
    <row r="426" spans="9:15" x14ac:dyDescent="0.25">
      <c r="I426" s="39">
        <v>0</v>
      </c>
      <c r="J426" s="30">
        <f ca="1">IF(OFFSET($C$3,MATCH(I425,$B$3:$B$102,0)-1,J$2-1)=$I426,1,0)</f>
        <v>1</v>
      </c>
      <c r="K426" s="31">
        <f ca="1">IF(OFFSET($C$3,MATCH(I425,$B$3:$B$102,0)-1,K$2-1)=$I426,1,0)</f>
        <v>1</v>
      </c>
      <c r="L426" s="31">
        <f ca="1">IF(OFFSET($C$3,MATCH(I425,$B$3:$B$102,0)-1,L$2-1)=$I426,1,0)</f>
        <v>1</v>
      </c>
      <c r="M426" s="31">
        <f ca="1">IF(OFFSET($C$3,MATCH(I425,$B$3:$B$102,0)-1,M$2-1)=$I426,1,0)</f>
        <v>1</v>
      </c>
      <c r="N426" s="32">
        <f ca="1">IF(OFFSET($C$3,MATCH(I425,$B$3:$B$102,0)-1,N$2-1)=$I426,1,0)</f>
        <v>1</v>
      </c>
    </row>
    <row r="427" spans="9:15" x14ac:dyDescent="0.25">
      <c r="I427" s="39">
        <v>1</v>
      </c>
      <c r="J427" s="33">
        <f ca="1">IF(OFFSET($C$3,MATCH(I425,$B$3:$B$102,0)-1,J$2-1)=$I427,1,0)</f>
        <v>0</v>
      </c>
      <c r="K427" s="34">
        <f ca="1">IF(OFFSET($C$3,MATCH(I425,$B$3:$B$102,0)-1,K$2-1)=$I427,1,0)</f>
        <v>0</v>
      </c>
      <c r="L427" s="34">
        <f ca="1">IF(OFFSET($C$3,MATCH(I425,$B$3:$B$102,0)-1,L$2-1)=$I427,1,0)</f>
        <v>0</v>
      </c>
      <c r="M427" s="34">
        <f ca="1">IF(OFFSET($C$3,MATCH(I425,$B$3:$B$102,0)-1,M$2-1)=$I427,1,0)</f>
        <v>0</v>
      </c>
      <c r="N427" s="35">
        <f ca="1">IF(OFFSET($C$3,MATCH(I425,$B$3:$B$102,0)-1,N$2-1)=$I427,1,0)</f>
        <v>0</v>
      </c>
    </row>
    <row r="428" spans="9:15" x14ac:dyDescent="0.25">
      <c r="I428" s="39">
        <v>2</v>
      </c>
      <c r="J428" s="43">
        <f ca="1">IF(OFFSET($C$3,MATCH(I425,$B$3:$B$102,0)-1,J$2-1)=$I428,1,0)</f>
        <v>0</v>
      </c>
      <c r="K428" s="44">
        <f ca="1">IF(OFFSET($C$3,MATCH(I425,$B$3:$B$102,0)-1,K$2-1)=$I428,1,0)</f>
        <v>0</v>
      </c>
      <c r="L428" s="44">
        <f ca="1">IF(OFFSET($C$3,MATCH(I425,$B$3:$B$102,0)-1,L$2-1)=$I428,1,0)</f>
        <v>0</v>
      </c>
      <c r="M428" s="44">
        <f ca="1">IF(OFFSET($C$3,MATCH(I425,$B$3:$B$102,0)-1,M$2-1)=$I428,1,0)</f>
        <v>0</v>
      </c>
      <c r="N428" s="45">
        <f ca="1">IF(OFFSET($C$3,MATCH(I425,$B$3:$B$102,0)-1,N$2-1)=$I428,1,0)</f>
        <v>0</v>
      </c>
    </row>
    <row r="429" spans="9:15" ht="15.75" thickBot="1" x14ac:dyDescent="0.3">
      <c r="I429" s="39">
        <v>3</v>
      </c>
      <c r="J429" s="36">
        <f ca="1">IF(OFFSET($C$3,MATCH(I425,$B$3:$B$102,0)-1,J$2-1)=$I429,1,0)</f>
        <v>0</v>
      </c>
      <c r="K429" s="37">
        <f ca="1">IF(OFFSET($C$3,MATCH(I425,$B$3:$B$102,0)-1,K$2-1)=$I429,1,0)</f>
        <v>0</v>
      </c>
      <c r="L429" s="37">
        <f ca="1">IF(OFFSET($C$3,MATCH(I425,$B$3:$B$102,0)-1,L$2-1)=$I429,1,0)</f>
        <v>0</v>
      </c>
      <c r="M429" s="37">
        <f ca="1">IF(OFFSET($C$3,MATCH(I425,$B$3:$B$102,0)-1,M$2-1)=$I429,1,0)</f>
        <v>0</v>
      </c>
      <c r="N429" s="38">
        <f ca="1">IF(OFFSET($C$3,MATCH(I425,$B$3:$B$102,0)-1,N$2-1)=$I429,1,0)</f>
        <v>0</v>
      </c>
    </row>
    <row r="430" spans="9:15" x14ac:dyDescent="0.25">
      <c r="I430" s="39"/>
      <c r="J430" s="20"/>
      <c r="K430" s="20"/>
      <c r="L430" s="20"/>
      <c r="M430" s="20"/>
      <c r="N430" s="20"/>
    </row>
    <row r="431" spans="9:15" ht="15.75" thickBot="1" x14ac:dyDescent="0.3">
      <c r="I431" t="str">
        <f>MID(I425,1,5)&amp;MID(I425,6,2)+1</f>
        <v>Line_39</v>
      </c>
      <c r="O431" s="40">
        <f>VALUE(MID($I431,6,3))</f>
        <v>39</v>
      </c>
    </row>
    <row r="432" spans="9:15" x14ac:dyDescent="0.25">
      <c r="I432" s="39">
        <v>0</v>
      </c>
      <c r="J432" s="30">
        <f ca="1">IF(OFFSET($C$3,MATCH(I431,$B$3:$B$102,0)-1,J$2-1)=$I432,1,0)</f>
        <v>1</v>
      </c>
      <c r="K432" s="31">
        <f ca="1">IF(OFFSET($C$3,MATCH(I431,$B$3:$B$102,0)-1,K$2-1)=$I432,1,0)</f>
        <v>1</v>
      </c>
      <c r="L432" s="31">
        <f ca="1">IF(OFFSET($C$3,MATCH(I431,$B$3:$B$102,0)-1,L$2-1)=$I432,1,0)</f>
        <v>1</v>
      </c>
      <c r="M432" s="31">
        <f ca="1">IF(OFFSET($C$3,MATCH(I431,$B$3:$B$102,0)-1,M$2-1)=$I432,1,0)</f>
        <v>1</v>
      </c>
      <c r="N432" s="32">
        <f ca="1">IF(OFFSET($C$3,MATCH(I431,$B$3:$B$102,0)-1,N$2-1)=$I432,1,0)</f>
        <v>1</v>
      </c>
    </row>
    <row r="433" spans="9:15" x14ac:dyDescent="0.25">
      <c r="I433" s="39">
        <v>1</v>
      </c>
      <c r="J433" s="33">
        <f ca="1">IF(OFFSET($C$3,MATCH(I431,$B$3:$B$102,0)-1,J$2-1)=$I433,1,0)</f>
        <v>0</v>
      </c>
      <c r="K433" s="34">
        <f ca="1">IF(OFFSET($C$3,MATCH(I431,$B$3:$B$102,0)-1,K$2-1)=$I433,1,0)</f>
        <v>0</v>
      </c>
      <c r="L433" s="34">
        <f ca="1">IF(OFFSET($C$3,MATCH(I431,$B$3:$B$102,0)-1,L$2-1)=$I433,1,0)</f>
        <v>0</v>
      </c>
      <c r="M433" s="34">
        <f ca="1">IF(OFFSET($C$3,MATCH(I431,$B$3:$B$102,0)-1,M$2-1)=$I433,1,0)</f>
        <v>0</v>
      </c>
      <c r="N433" s="35">
        <f ca="1">IF(OFFSET($C$3,MATCH(I431,$B$3:$B$102,0)-1,N$2-1)=$I433,1,0)</f>
        <v>0</v>
      </c>
    </row>
    <row r="434" spans="9:15" x14ac:dyDescent="0.25">
      <c r="I434" s="39">
        <v>2</v>
      </c>
      <c r="J434" s="43">
        <f ca="1">IF(OFFSET($C$3,MATCH(I431,$B$3:$B$102,0)-1,J$2-1)=$I434,1,0)</f>
        <v>0</v>
      </c>
      <c r="K434" s="44">
        <f ca="1">IF(OFFSET($C$3,MATCH(I431,$B$3:$B$102,0)-1,K$2-1)=$I434,1,0)</f>
        <v>0</v>
      </c>
      <c r="L434" s="44">
        <f ca="1">IF(OFFSET($C$3,MATCH(I431,$B$3:$B$102,0)-1,L$2-1)=$I434,1,0)</f>
        <v>0</v>
      </c>
      <c r="M434" s="44">
        <f ca="1">IF(OFFSET($C$3,MATCH(I431,$B$3:$B$102,0)-1,M$2-1)=$I434,1,0)</f>
        <v>0</v>
      </c>
      <c r="N434" s="45">
        <f ca="1">IF(OFFSET($C$3,MATCH(I431,$B$3:$B$102,0)-1,N$2-1)=$I434,1,0)</f>
        <v>0</v>
      </c>
    </row>
    <row r="435" spans="9:15" ht="15.75" thickBot="1" x14ac:dyDescent="0.3">
      <c r="I435" s="39">
        <v>3</v>
      </c>
      <c r="J435" s="36">
        <f ca="1">IF(OFFSET($C$3,MATCH(I431,$B$3:$B$102,0)-1,J$2-1)=$I435,1,0)</f>
        <v>0</v>
      </c>
      <c r="K435" s="37">
        <f ca="1">IF(OFFSET($C$3,MATCH(I431,$B$3:$B$102,0)-1,K$2-1)=$I435,1,0)</f>
        <v>0</v>
      </c>
      <c r="L435" s="37">
        <f ca="1">IF(OFFSET($C$3,MATCH(I431,$B$3:$B$102,0)-1,L$2-1)=$I435,1,0)</f>
        <v>0</v>
      </c>
      <c r="M435" s="37">
        <f ca="1">IF(OFFSET($C$3,MATCH(I431,$B$3:$B$102,0)-1,M$2-1)=$I435,1,0)</f>
        <v>0</v>
      </c>
      <c r="N435" s="38">
        <f ca="1">IF(OFFSET($C$3,MATCH(I431,$B$3:$B$102,0)-1,N$2-1)=$I435,1,0)</f>
        <v>0</v>
      </c>
    </row>
    <row r="436" spans="9:15" x14ac:dyDescent="0.25">
      <c r="J436" s="42"/>
      <c r="K436" s="42"/>
      <c r="L436" s="42"/>
      <c r="M436" s="42"/>
      <c r="N436" s="42"/>
    </row>
    <row r="437" spans="9:15" ht="15.75" thickBot="1" x14ac:dyDescent="0.3">
      <c r="I437" t="str">
        <f>MID(I431,1,5)&amp;MID(I431,6,2)+1</f>
        <v>Line_40</v>
      </c>
      <c r="O437" s="40">
        <f>VALUE(MID($I437,6,3))</f>
        <v>40</v>
      </c>
    </row>
    <row r="438" spans="9:15" x14ac:dyDescent="0.25">
      <c r="I438" s="39">
        <v>0</v>
      </c>
      <c r="J438" s="30">
        <f ca="1">IF(OFFSET($C$3,MATCH(I437,$B$3:$B$102,0)-1,J$2-1)=$I438,1,0)</f>
        <v>1</v>
      </c>
      <c r="K438" s="31">
        <f ca="1">IF(OFFSET($C$3,MATCH(I437,$B$3:$B$102,0)-1,K$2-1)=$I438,1,0)</f>
        <v>1</v>
      </c>
      <c r="L438" s="31">
        <f ca="1">IF(OFFSET($C$3,MATCH(I437,$B$3:$B$102,0)-1,L$2-1)=$I438,1,0)</f>
        <v>1</v>
      </c>
      <c r="M438" s="31">
        <f ca="1">IF(OFFSET($C$3,MATCH(I437,$B$3:$B$102,0)-1,M$2-1)=$I438,1,0)</f>
        <v>1</v>
      </c>
      <c r="N438" s="32">
        <f ca="1">IF(OFFSET($C$3,MATCH(I437,$B$3:$B$102,0)-1,N$2-1)=$I438,1,0)</f>
        <v>1</v>
      </c>
    </row>
    <row r="439" spans="9:15" x14ac:dyDescent="0.25">
      <c r="I439" s="39">
        <v>1</v>
      </c>
      <c r="J439" s="33">
        <f ca="1">IF(OFFSET($C$3,MATCH(I437,$B$3:$B$102,0)-1,J$2-1)=$I439,1,0)</f>
        <v>0</v>
      </c>
      <c r="K439" s="34">
        <f ca="1">IF(OFFSET($C$3,MATCH(I437,$B$3:$B$102,0)-1,K$2-1)=$I439,1,0)</f>
        <v>0</v>
      </c>
      <c r="L439" s="34">
        <f ca="1">IF(OFFSET($C$3,MATCH(I437,$B$3:$B$102,0)-1,L$2-1)=$I439,1,0)</f>
        <v>0</v>
      </c>
      <c r="M439" s="34">
        <f ca="1">IF(OFFSET($C$3,MATCH(I437,$B$3:$B$102,0)-1,M$2-1)=$I439,1,0)</f>
        <v>0</v>
      </c>
      <c r="N439" s="35">
        <f ca="1">IF(OFFSET($C$3,MATCH(I437,$B$3:$B$102,0)-1,N$2-1)=$I439,1,0)</f>
        <v>0</v>
      </c>
    </row>
    <row r="440" spans="9:15" x14ac:dyDescent="0.25">
      <c r="I440" s="39">
        <v>2</v>
      </c>
      <c r="J440" s="43">
        <f ca="1">IF(OFFSET($C$3,MATCH(I437,$B$3:$B$102,0)-1,J$2-1)=$I440,1,0)</f>
        <v>0</v>
      </c>
      <c r="K440" s="44">
        <f ca="1">IF(OFFSET($C$3,MATCH(I437,$B$3:$B$102,0)-1,K$2-1)=$I440,1,0)</f>
        <v>0</v>
      </c>
      <c r="L440" s="44">
        <f ca="1">IF(OFFSET($C$3,MATCH(I437,$B$3:$B$102,0)-1,L$2-1)=$I440,1,0)</f>
        <v>0</v>
      </c>
      <c r="M440" s="44">
        <f ca="1">IF(OFFSET($C$3,MATCH(I437,$B$3:$B$102,0)-1,M$2-1)=$I440,1,0)</f>
        <v>0</v>
      </c>
      <c r="N440" s="45">
        <f ca="1">IF(OFFSET($C$3,MATCH(I437,$B$3:$B$102,0)-1,N$2-1)=$I440,1,0)</f>
        <v>0</v>
      </c>
    </row>
    <row r="441" spans="9:15" ht="15.75" thickBot="1" x14ac:dyDescent="0.3">
      <c r="I441" s="39">
        <v>3</v>
      </c>
      <c r="J441" s="36">
        <f ca="1">IF(OFFSET($C$3,MATCH(I437,$B$3:$B$102,0)-1,J$2-1)=$I441,1,0)</f>
        <v>0</v>
      </c>
      <c r="K441" s="37">
        <f ca="1">IF(OFFSET($C$3,MATCH(I437,$B$3:$B$102,0)-1,K$2-1)=$I441,1,0)</f>
        <v>0</v>
      </c>
      <c r="L441" s="37">
        <f ca="1">IF(OFFSET($C$3,MATCH(I437,$B$3:$B$102,0)-1,L$2-1)=$I441,1,0)</f>
        <v>0</v>
      </c>
      <c r="M441" s="37">
        <f ca="1">IF(OFFSET($C$3,MATCH(I437,$B$3:$B$102,0)-1,M$2-1)=$I441,1,0)</f>
        <v>0</v>
      </c>
      <c r="N441" s="38">
        <f ca="1">IF(OFFSET($C$3,MATCH(I437,$B$3:$B$102,0)-1,N$2-1)=$I441,1,0)</f>
        <v>0</v>
      </c>
    </row>
    <row r="442" spans="9:15" x14ac:dyDescent="0.25">
      <c r="I442" s="39"/>
      <c r="J442" s="20"/>
      <c r="K442" s="20"/>
      <c r="L442" s="20"/>
      <c r="M442" s="20"/>
      <c r="N442" s="20"/>
    </row>
    <row r="443" spans="9:15" ht="15.75" thickBot="1" x14ac:dyDescent="0.3">
      <c r="I443" t="str">
        <f>MID(I437,1,5)&amp;MID(I437,6,2)+1</f>
        <v>Line_41</v>
      </c>
      <c r="O443" s="40">
        <f>VALUE(MID($I443,6,3))</f>
        <v>41</v>
      </c>
    </row>
    <row r="444" spans="9:15" x14ac:dyDescent="0.25">
      <c r="I444" s="39">
        <v>0</v>
      </c>
      <c r="J444" s="30" t="e">
        <f ca="1">IF(OFFSET($C$3,MATCH(I443,$B$3:$B$102,0)-1,J$2-1)=$I444,1,0)</f>
        <v>#N/A</v>
      </c>
      <c r="K444" s="31" t="e">
        <f ca="1">IF(OFFSET($C$3,MATCH(I443,$B$3:$B$102,0)-1,K$2-1)=$I444,1,0)</f>
        <v>#N/A</v>
      </c>
      <c r="L444" s="31" t="e">
        <f ca="1">IF(OFFSET($C$3,MATCH(I443,$B$3:$B$102,0)-1,L$2-1)=$I444,1,0)</f>
        <v>#N/A</v>
      </c>
      <c r="M444" s="31" t="e">
        <f ca="1">IF(OFFSET($C$3,MATCH(I443,$B$3:$B$102,0)-1,M$2-1)=$I444,1,0)</f>
        <v>#N/A</v>
      </c>
      <c r="N444" s="32" t="e">
        <f ca="1">IF(OFFSET($C$3,MATCH(I443,$B$3:$B$102,0)-1,N$2-1)=$I444,1,0)</f>
        <v>#N/A</v>
      </c>
    </row>
    <row r="445" spans="9:15" x14ac:dyDescent="0.25">
      <c r="I445" s="39">
        <v>1</v>
      </c>
      <c r="J445" s="33" t="e">
        <f ca="1">IF(OFFSET($C$3,MATCH(I443,$B$3:$B$102,0)-1,J$2-1)=$I445,1,0)</f>
        <v>#N/A</v>
      </c>
      <c r="K445" s="34" t="e">
        <f ca="1">IF(OFFSET($C$3,MATCH(I443,$B$3:$B$102,0)-1,K$2-1)=$I445,1,0)</f>
        <v>#N/A</v>
      </c>
      <c r="L445" s="34" t="e">
        <f ca="1">IF(OFFSET($C$3,MATCH(I443,$B$3:$B$102,0)-1,L$2-1)=$I445,1,0)</f>
        <v>#N/A</v>
      </c>
      <c r="M445" s="34" t="e">
        <f ca="1">IF(OFFSET($C$3,MATCH(I443,$B$3:$B$102,0)-1,M$2-1)=$I445,1,0)</f>
        <v>#N/A</v>
      </c>
      <c r="N445" s="35" t="e">
        <f ca="1">IF(OFFSET($C$3,MATCH(I443,$B$3:$B$102,0)-1,N$2-1)=$I445,1,0)</f>
        <v>#N/A</v>
      </c>
    </row>
    <row r="446" spans="9:15" x14ac:dyDescent="0.25">
      <c r="I446" s="39">
        <v>2</v>
      </c>
      <c r="J446" s="43" t="e">
        <f ca="1">IF(OFFSET($C$3,MATCH(I443,$B$3:$B$102,0)-1,J$2-1)=$I446,1,0)</f>
        <v>#N/A</v>
      </c>
      <c r="K446" s="44" t="e">
        <f ca="1">IF(OFFSET($C$3,MATCH(I443,$B$3:$B$102,0)-1,K$2-1)=$I446,1,0)</f>
        <v>#N/A</v>
      </c>
      <c r="L446" s="44" t="e">
        <f ca="1">IF(OFFSET($C$3,MATCH(I443,$B$3:$B$102,0)-1,L$2-1)=$I446,1,0)</f>
        <v>#N/A</v>
      </c>
      <c r="M446" s="44" t="e">
        <f ca="1">IF(OFFSET($C$3,MATCH(I443,$B$3:$B$102,0)-1,M$2-1)=$I446,1,0)</f>
        <v>#N/A</v>
      </c>
      <c r="N446" s="45" t="e">
        <f ca="1">IF(OFFSET($C$3,MATCH(I443,$B$3:$B$102,0)-1,N$2-1)=$I446,1,0)</f>
        <v>#N/A</v>
      </c>
    </row>
    <row r="447" spans="9:15" ht="15.75" thickBot="1" x14ac:dyDescent="0.3">
      <c r="I447" s="39">
        <v>3</v>
      </c>
      <c r="J447" s="36" t="e">
        <f ca="1">IF(OFFSET($C$3,MATCH(I443,$B$3:$B$102,0)-1,J$2-1)=$I447,1,0)</f>
        <v>#N/A</v>
      </c>
      <c r="K447" s="37" t="e">
        <f ca="1">IF(OFFSET($C$3,MATCH(I443,$B$3:$B$102,0)-1,K$2-1)=$I447,1,0)</f>
        <v>#N/A</v>
      </c>
      <c r="L447" s="37" t="e">
        <f ca="1">IF(OFFSET($C$3,MATCH(I443,$B$3:$B$102,0)-1,L$2-1)=$I447,1,0)</f>
        <v>#N/A</v>
      </c>
      <c r="M447" s="37" t="e">
        <f ca="1">IF(OFFSET($C$3,MATCH(I443,$B$3:$B$102,0)-1,M$2-1)=$I447,1,0)</f>
        <v>#N/A</v>
      </c>
      <c r="N447" s="38" t="e">
        <f ca="1">IF(OFFSET($C$3,MATCH(I443,$B$3:$B$102,0)-1,N$2-1)=$I447,1,0)</f>
        <v>#N/A</v>
      </c>
    </row>
    <row r="449" spans="9:67" ht="15.75" thickBot="1" x14ac:dyDescent="0.3">
      <c r="I449" t="str">
        <f>MID(I443,1,5)&amp;MID(I443,6,2)+1</f>
        <v>Line_42</v>
      </c>
      <c r="O449" s="40">
        <f>VALUE(MID($I449,6,3))</f>
        <v>42</v>
      </c>
    </row>
    <row r="450" spans="9:67" x14ac:dyDescent="0.25">
      <c r="I450" s="39">
        <v>0</v>
      </c>
      <c r="J450" s="30" t="e">
        <f ca="1">IF(OFFSET($C$3,MATCH(I449,$B$3:$B$102,0)-1,J$2-1)=$I450,1,0)</f>
        <v>#N/A</v>
      </c>
      <c r="K450" s="31" t="e">
        <f ca="1">IF(OFFSET($C$3,MATCH(I449,$B$3:$B$102,0)-1,K$2-1)=$I450,1,0)</f>
        <v>#N/A</v>
      </c>
      <c r="L450" s="31" t="e">
        <f ca="1">IF(OFFSET($C$3,MATCH(I449,$B$3:$B$102,0)-1,L$2-1)=$I450,1,0)</f>
        <v>#N/A</v>
      </c>
      <c r="M450" s="31" t="e">
        <f ca="1">IF(OFFSET($C$3,MATCH(I449,$B$3:$B$102,0)-1,M$2-1)=$I450,1,0)</f>
        <v>#N/A</v>
      </c>
      <c r="N450" s="32" t="e">
        <f ca="1">IF(OFFSET($C$3,MATCH(I449,$B$3:$B$102,0)-1,N$2-1)=$I450,1,0)</f>
        <v>#N/A</v>
      </c>
    </row>
    <row r="451" spans="9:67" x14ac:dyDescent="0.25">
      <c r="I451" s="39">
        <v>1</v>
      </c>
      <c r="J451" s="33" t="e">
        <f ca="1">IF(OFFSET($C$3,MATCH(I449,$B$3:$B$102,0)-1,J$2-1)=$I451,1,0)</f>
        <v>#N/A</v>
      </c>
      <c r="K451" s="34" t="e">
        <f ca="1">IF(OFFSET($C$3,MATCH(I449,$B$3:$B$102,0)-1,K$2-1)=$I451,1,0)</f>
        <v>#N/A</v>
      </c>
      <c r="L451" s="34" t="e">
        <f ca="1">IF(OFFSET($C$3,MATCH(I449,$B$3:$B$102,0)-1,L$2-1)=$I451,1,0)</f>
        <v>#N/A</v>
      </c>
      <c r="M451" s="34" t="e">
        <f ca="1">IF(OFFSET($C$3,MATCH(I449,$B$3:$B$102,0)-1,M$2-1)=$I451,1,0)</f>
        <v>#N/A</v>
      </c>
      <c r="N451" s="35" t="e">
        <f ca="1">IF(OFFSET($C$3,MATCH(I449,$B$3:$B$102,0)-1,N$2-1)=$I451,1,0)</f>
        <v>#N/A</v>
      </c>
    </row>
    <row r="452" spans="9:67" x14ac:dyDescent="0.25">
      <c r="I452" s="39">
        <v>2</v>
      </c>
      <c r="J452" s="43" t="e">
        <f ca="1">IF(OFFSET($C$3,MATCH(I449,$B$3:$B$102,0)-1,J$2-1)=$I452,1,0)</f>
        <v>#N/A</v>
      </c>
      <c r="K452" s="44" t="e">
        <f ca="1">IF(OFFSET($C$3,MATCH(I449,$B$3:$B$102,0)-1,K$2-1)=$I452,1,0)</f>
        <v>#N/A</v>
      </c>
      <c r="L452" s="44" t="e">
        <f ca="1">IF(OFFSET($C$3,MATCH(I449,$B$3:$B$102,0)-1,L$2-1)=$I452,1,0)</f>
        <v>#N/A</v>
      </c>
      <c r="M452" s="44" t="e">
        <f ca="1">IF(OFFSET($C$3,MATCH(I449,$B$3:$B$102,0)-1,M$2-1)=$I452,1,0)</f>
        <v>#N/A</v>
      </c>
      <c r="N452" s="45" t="e">
        <f ca="1">IF(OFFSET($C$3,MATCH(I449,$B$3:$B$102,0)-1,N$2-1)=$I452,1,0)</f>
        <v>#N/A</v>
      </c>
    </row>
    <row r="453" spans="9:67" ht="15.75" thickBot="1" x14ac:dyDescent="0.3">
      <c r="I453" s="39">
        <v>3</v>
      </c>
      <c r="J453" s="36" t="e">
        <f ca="1">IF(OFFSET($C$3,MATCH(I449,$B$3:$B$102,0)-1,J$2-1)=$I453,1,0)</f>
        <v>#N/A</v>
      </c>
      <c r="K453" s="37" t="e">
        <f ca="1">IF(OFFSET($C$3,MATCH(I449,$B$3:$B$102,0)-1,K$2-1)=$I453,1,0)</f>
        <v>#N/A</v>
      </c>
      <c r="L453" s="37" t="e">
        <f ca="1">IF(OFFSET($C$3,MATCH(I449,$B$3:$B$102,0)-1,L$2-1)=$I453,1,0)</f>
        <v>#N/A</v>
      </c>
      <c r="M453" s="37" t="e">
        <f ca="1">IF(OFFSET($C$3,MATCH(I449,$B$3:$B$102,0)-1,M$2-1)=$I453,1,0)</f>
        <v>#N/A</v>
      </c>
      <c r="N453" s="38" t="e">
        <f ca="1">IF(OFFSET($C$3,MATCH(I449,$B$3:$B$102,0)-1,N$2-1)=$I453,1,0)</f>
        <v>#N/A</v>
      </c>
    </row>
    <row r="455" spans="9:67" ht="15.75" thickBot="1" x14ac:dyDescent="0.3">
      <c r="I455" t="str">
        <f>MID(I449,1,5)&amp;MID(I449,6,2)+1</f>
        <v>Line_43</v>
      </c>
      <c r="O455" s="40">
        <f>VALUE(MID($I455,6,3))</f>
        <v>43</v>
      </c>
    </row>
    <row r="456" spans="9:67" x14ac:dyDescent="0.25">
      <c r="I456" s="39">
        <v>0</v>
      </c>
      <c r="J456" s="30" t="e">
        <f ca="1">IF(OFFSET($C$3,MATCH(I455,$B$3:$B$102,0)-1,J$2-1)=$I456,1,0)</f>
        <v>#N/A</v>
      </c>
      <c r="K456" s="31" t="e">
        <f ca="1">IF(OFFSET($C$3,MATCH(I455,$B$3:$B$102,0)-1,K$2-1)=$I456,1,0)</f>
        <v>#N/A</v>
      </c>
      <c r="L456" s="31" t="e">
        <f ca="1">IF(OFFSET($C$3,MATCH(I455,$B$3:$B$102,0)-1,L$2-1)=$I456,1,0)</f>
        <v>#N/A</v>
      </c>
      <c r="M456" s="31" t="e">
        <f ca="1">IF(OFFSET($C$3,MATCH(I455,$B$3:$B$102,0)-1,M$2-1)=$I456,1,0)</f>
        <v>#N/A</v>
      </c>
      <c r="N456" s="32" t="e">
        <f ca="1">IF(OFFSET($C$3,MATCH(I455,$B$3:$B$102,0)-1,N$2-1)=$I456,1,0)</f>
        <v>#N/A</v>
      </c>
    </row>
    <row r="457" spans="9:67" x14ac:dyDescent="0.25">
      <c r="I457" s="39">
        <v>1</v>
      </c>
      <c r="J457" s="33" t="e">
        <f ca="1">IF(OFFSET($C$3,MATCH(I455,$B$3:$B$102,0)-1,J$2-1)=$I457,1,0)</f>
        <v>#N/A</v>
      </c>
      <c r="K457" s="34" t="e">
        <f ca="1">IF(OFFSET($C$3,MATCH(I455,$B$3:$B$102,0)-1,K$2-1)=$I457,1,0)</f>
        <v>#N/A</v>
      </c>
      <c r="L457" s="34" t="e">
        <f ca="1">IF(OFFSET($C$3,MATCH(I455,$B$3:$B$102,0)-1,L$2-1)=$I457,1,0)</f>
        <v>#N/A</v>
      </c>
      <c r="M457" s="34" t="e">
        <f ca="1">IF(OFFSET($C$3,MATCH(I455,$B$3:$B$102,0)-1,M$2-1)=$I457,1,0)</f>
        <v>#N/A</v>
      </c>
      <c r="N457" s="35" t="e">
        <f ca="1">IF(OFFSET($C$3,MATCH(I455,$B$3:$B$102,0)-1,N$2-1)=$I457,1,0)</f>
        <v>#N/A</v>
      </c>
    </row>
    <row r="458" spans="9:67" ht="15.75" thickBot="1" x14ac:dyDescent="0.3">
      <c r="I458" s="39">
        <v>2</v>
      </c>
      <c r="J458" s="43" t="e">
        <f ca="1">IF(OFFSET($C$3,MATCH(I455,$B$3:$B$102,0)-1,J$2-1)=$I458,1,0)</f>
        <v>#N/A</v>
      </c>
      <c r="K458" s="44" t="e">
        <f ca="1">IF(OFFSET($C$3,MATCH(I455,$B$3:$B$102,0)-1,K$2-1)=$I458,1,0)</f>
        <v>#N/A</v>
      </c>
      <c r="L458" s="44" t="e">
        <f ca="1">IF(OFFSET($C$3,MATCH(I455,$B$3:$B$102,0)-1,L$2-1)=$I458,1,0)</f>
        <v>#N/A</v>
      </c>
      <c r="M458" s="44" t="e">
        <f ca="1">IF(OFFSET($C$3,MATCH(I455,$B$3:$B$102,0)-1,M$2-1)=$I458,1,0)</f>
        <v>#N/A</v>
      </c>
      <c r="N458" s="45" t="e">
        <f ca="1">IF(OFFSET($C$3,MATCH(I455,$B$3:$B$102,0)-1,N$2-1)=$I458,1,0)</f>
        <v>#N/A</v>
      </c>
    </row>
    <row r="459" spans="9:67" ht="15.75" thickBot="1" x14ac:dyDescent="0.3">
      <c r="I459" s="39">
        <v>3</v>
      </c>
      <c r="J459" s="36" t="e">
        <f ca="1">IF(OFFSET($C$3,MATCH(I455,$B$3:$B$102,0)-1,J$2-1)=$I459,1,0)</f>
        <v>#N/A</v>
      </c>
      <c r="K459" s="37" t="e">
        <f ca="1">IF(OFFSET($C$3,MATCH(I455,$B$3:$B$102,0)-1,K$2-1)=$I459,1,0)</f>
        <v>#N/A</v>
      </c>
      <c r="L459" s="37" t="e">
        <f ca="1">IF(OFFSET($C$3,MATCH(I455,$B$3:$B$102,0)-1,L$2-1)=$I459,1,0)</f>
        <v>#N/A</v>
      </c>
      <c r="M459" s="37" t="e">
        <f ca="1">IF(OFFSET($C$3,MATCH(I455,$B$3:$B$102,0)-1,M$2-1)=$I459,1,0)</f>
        <v>#N/A</v>
      </c>
      <c r="N459" s="38" t="e">
        <f ca="1">IF(OFFSET($C$3,MATCH(I455,$B$3:$B$102,0)-1,N$2-1)=$I459,1,0)</f>
        <v>#N/A</v>
      </c>
      <c r="S459" s="20"/>
      <c r="AD459" s="39"/>
      <c r="AE459" s="20"/>
      <c r="AF459" s="20"/>
      <c r="AG459" s="20"/>
      <c r="AH459" s="20"/>
      <c r="AI459" s="20"/>
      <c r="AT459" s="39"/>
      <c r="AU459" s="20"/>
      <c r="AV459" s="20"/>
      <c r="AW459" s="20"/>
      <c r="AX459" s="20"/>
      <c r="AY459" s="20"/>
      <c r="BJ459" s="39"/>
      <c r="BK459" s="20"/>
      <c r="BL459" s="20"/>
      <c r="BM459" s="20"/>
      <c r="BN459" s="20"/>
      <c r="BO459" s="32">
        <v>0</v>
      </c>
    </row>
    <row r="460" spans="9:67" x14ac:dyDescent="0.25">
      <c r="I460" s="39"/>
      <c r="S460" s="42"/>
      <c r="AD460" s="39"/>
      <c r="AE460" s="42"/>
      <c r="AF460" s="42"/>
      <c r="AG460" s="42"/>
      <c r="AH460" s="42"/>
      <c r="AI460" s="42"/>
      <c r="AT460" s="39"/>
      <c r="AU460" s="42"/>
      <c r="AV460" s="42"/>
      <c r="AW460" s="42"/>
      <c r="AX460" s="42"/>
      <c r="AY460" s="42"/>
      <c r="BJ460" s="39"/>
      <c r="BK460" s="42"/>
      <c r="BL460" s="42"/>
      <c r="BM460" s="42"/>
      <c r="BN460" s="42"/>
      <c r="BO460" s="35">
        <v>0</v>
      </c>
    </row>
    <row r="461" spans="9:67" ht="15.75" thickBot="1" x14ac:dyDescent="0.3">
      <c r="I461" t="str">
        <f>MID(I455,1,5)&amp;MID(I455,6,2)+1</f>
        <v>Line_44</v>
      </c>
      <c r="O461" s="40">
        <f>VALUE(MID($I461,6,3))</f>
        <v>44</v>
      </c>
      <c r="S461" s="20"/>
      <c r="AD461" s="39"/>
      <c r="AE461" s="20"/>
      <c r="AF461" s="20"/>
      <c r="AG461" s="20"/>
      <c r="AH461" s="20"/>
      <c r="AI461" s="20"/>
      <c r="AT461" s="39"/>
      <c r="AU461" s="20"/>
      <c r="AV461" s="20"/>
      <c r="AW461" s="20"/>
      <c r="AX461" s="20"/>
      <c r="AY461" s="20"/>
      <c r="BJ461" s="39"/>
      <c r="BK461" s="20"/>
      <c r="BL461" s="20"/>
      <c r="BM461" s="20"/>
      <c r="BN461" s="20"/>
      <c r="BO461" s="38">
        <v>1</v>
      </c>
    </row>
    <row r="462" spans="9:67" x14ac:dyDescent="0.25">
      <c r="I462" s="39">
        <v>0</v>
      </c>
      <c r="J462" s="30" t="e">
        <f ca="1">IF(OFFSET($C$3,MATCH(I461,$B$3:$B$102,0)-1,J$2-1)=$I462,1,0)</f>
        <v>#N/A</v>
      </c>
      <c r="K462" s="31" t="e">
        <f ca="1">IF(OFFSET($C$3,MATCH(I461,$B$3:$B$102,0)-1,K$2-1)=$I462,1,0)</f>
        <v>#N/A</v>
      </c>
      <c r="L462" s="31" t="e">
        <f ca="1">IF(OFFSET($C$3,MATCH(I461,$B$3:$B$102,0)-1,L$2-1)=$I462,1,0)</f>
        <v>#N/A</v>
      </c>
      <c r="M462" s="31" t="e">
        <f ca="1">IF(OFFSET($C$3,MATCH(I461,$B$3:$B$102,0)-1,M$2-1)=$I462,1,0)</f>
        <v>#N/A</v>
      </c>
      <c r="N462" s="32" t="e">
        <f ca="1">IF(OFFSET($C$3,MATCH(I461,$B$3:$B$102,0)-1,N$2-1)=$I462,1,0)</f>
        <v>#N/A</v>
      </c>
    </row>
    <row r="463" spans="9:67" x14ac:dyDescent="0.25">
      <c r="I463" s="39">
        <v>1</v>
      </c>
      <c r="J463" s="33" t="e">
        <f ca="1">IF(OFFSET($C$3,MATCH(I461,$B$3:$B$102,0)-1,J$2-1)=$I463,1,0)</f>
        <v>#N/A</v>
      </c>
      <c r="K463" s="34" t="e">
        <f ca="1">IF(OFFSET($C$3,MATCH(I461,$B$3:$B$102,0)-1,K$2-1)=$I463,1,0)</f>
        <v>#N/A</v>
      </c>
      <c r="L463" s="34" t="e">
        <f ca="1">IF(OFFSET($C$3,MATCH(I461,$B$3:$B$102,0)-1,L$2-1)=$I463,1,0)</f>
        <v>#N/A</v>
      </c>
      <c r="M463" s="34" t="e">
        <f ca="1">IF(OFFSET($C$3,MATCH(I461,$B$3:$B$102,0)-1,M$2-1)=$I463,1,0)</f>
        <v>#N/A</v>
      </c>
      <c r="N463" s="35" t="e">
        <f ca="1">IF(OFFSET($C$3,MATCH(I461,$B$3:$B$102,0)-1,N$2-1)=$I463,1,0)</f>
        <v>#N/A</v>
      </c>
    </row>
    <row r="464" spans="9:67" x14ac:dyDescent="0.25">
      <c r="I464" s="39">
        <v>2</v>
      </c>
      <c r="J464" s="43" t="e">
        <f ca="1">IF(OFFSET($C$3,MATCH(I461,$B$3:$B$102,0)-1,J$2-1)=$I464,1,0)</f>
        <v>#N/A</v>
      </c>
      <c r="K464" s="44" t="e">
        <f ca="1">IF(OFFSET($C$3,MATCH(I461,$B$3:$B$102,0)-1,K$2-1)=$I464,1,0)</f>
        <v>#N/A</v>
      </c>
      <c r="L464" s="44" t="e">
        <f ca="1">IF(OFFSET($C$3,MATCH(I461,$B$3:$B$102,0)-1,L$2-1)=$I464,1,0)</f>
        <v>#N/A</v>
      </c>
      <c r="M464" s="44" t="e">
        <f ca="1">IF(OFFSET($C$3,MATCH(I461,$B$3:$B$102,0)-1,M$2-1)=$I464,1,0)</f>
        <v>#N/A</v>
      </c>
      <c r="N464" s="45" t="e">
        <f ca="1">IF(OFFSET($C$3,MATCH(I461,$B$3:$B$102,0)-1,N$2-1)=$I464,1,0)</f>
        <v>#N/A</v>
      </c>
    </row>
    <row r="465" spans="9:15" ht="15.75" thickBot="1" x14ac:dyDescent="0.3">
      <c r="I465" s="39">
        <v>3</v>
      </c>
      <c r="J465" s="36" t="e">
        <f ca="1">IF(OFFSET($C$3,MATCH(I461,$B$3:$B$102,0)-1,J$2-1)=$I465,1,0)</f>
        <v>#N/A</v>
      </c>
      <c r="K465" s="37" t="e">
        <f ca="1">IF(OFFSET($C$3,MATCH(I461,$B$3:$B$102,0)-1,K$2-1)=$I465,1,0)</f>
        <v>#N/A</v>
      </c>
      <c r="L465" s="37" t="e">
        <f ca="1">IF(OFFSET($C$3,MATCH(I461,$B$3:$B$102,0)-1,L$2-1)=$I465,1,0)</f>
        <v>#N/A</v>
      </c>
      <c r="M465" s="37" t="e">
        <f ca="1">IF(OFFSET($C$3,MATCH(I461,$B$3:$B$102,0)-1,M$2-1)=$I465,1,0)</f>
        <v>#N/A</v>
      </c>
      <c r="N465" s="38" t="e">
        <f ca="1">IF(OFFSET($C$3,MATCH(I461,$B$3:$B$102,0)-1,N$2-1)=$I465,1,0)</f>
        <v>#N/A</v>
      </c>
    </row>
    <row r="466" spans="9:15" x14ac:dyDescent="0.25">
      <c r="I466" s="39"/>
    </row>
    <row r="467" spans="9:15" ht="15.75" thickBot="1" x14ac:dyDescent="0.3">
      <c r="I467" t="str">
        <f>MID(I461,1,5)&amp;MID(I461,6,2)+1</f>
        <v>Line_45</v>
      </c>
      <c r="O467" s="40">
        <f>VALUE(MID($I467,6,3))</f>
        <v>45</v>
      </c>
    </row>
    <row r="468" spans="9:15" x14ac:dyDescent="0.25">
      <c r="I468" s="39">
        <v>0</v>
      </c>
      <c r="J468" s="30" t="e">
        <f ca="1">IF(OFFSET($C$3,MATCH(I467,$B$3:$B$102,0)-1,J$2-1)=$I468,1,0)</f>
        <v>#N/A</v>
      </c>
      <c r="K468" s="31" t="e">
        <f ca="1">IF(OFFSET($C$3,MATCH(I467,$B$3:$B$102,0)-1,K$2-1)=$I468,1,0)</f>
        <v>#N/A</v>
      </c>
      <c r="L468" s="31" t="e">
        <f ca="1">IF(OFFSET($C$3,MATCH(I467,$B$3:$B$102,0)-1,L$2-1)=$I468,1,0)</f>
        <v>#N/A</v>
      </c>
      <c r="M468" s="31" t="e">
        <f ca="1">IF(OFFSET($C$3,MATCH(I467,$B$3:$B$102,0)-1,M$2-1)=$I468,1,0)</f>
        <v>#N/A</v>
      </c>
      <c r="N468" s="32" t="e">
        <f ca="1">IF(OFFSET($C$3,MATCH(I467,$B$3:$B$102,0)-1,N$2-1)=$I468,1,0)</f>
        <v>#N/A</v>
      </c>
    </row>
    <row r="469" spans="9:15" x14ac:dyDescent="0.25">
      <c r="I469" s="39">
        <v>1</v>
      </c>
      <c r="J469" s="33" t="e">
        <f ca="1">IF(OFFSET($C$3,MATCH(I467,$B$3:$B$102,0)-1,J$2-1)=$I469,1,0)</f>
        <v>#N/A</v>
      </c>
      <c r="K469" s="34" t="e">
        <f ca="1">IF(OFFSET($C$3,MATCH(I467,$B$3:$B$102,0)-1,K$2-1)=$I469,1,0)</f>
        <v>#N/A</v>
      </c>
      <c r="L469" s="34" t="e">
        <f ca="1">IF(OFFSET($C$3,MATCH(I467,$B$3:$B$102,0)-1,L$2-1)=$I469,1,0)</f>
        <v>#N/A</v>
      </c>
      <c r="M469" s="34" t="e">
        <f ca="1">IF(OFFSET($C$3,MATCH(I467,$B$3:$B$102,0)-1,M$2-1)=$I469,1,0)</f>
        <v>#N/A</v>
      </c>
      <c r="N469" s="35" t="e">
        <f ca="1">IF(OFFSET($C$3,MATCH(I467,$B$3:$B$102,0)-1,N$2-1)=$I469,1,0)</f>
        <v>#N/A</v>
      </c>
    </row>
    <row r="470" spans="9:15" x14ac:dyDescent="0.25">
      <c r="I470" s="39">
        <v>2</v>
      </c>
      <c r="J470" s="43" t="e">
        <f ca="1">IF(OFFSET($C$3,MATCH(I467,$B$3:$B$102,0)-1,J$2-1)=$I470,1,0)</f>
        <v>#N/A</v>
      </c>
      <c r="K470" s="44" t="e">
        <f ca="1">IF(OFFSET($C$3,MATCH(I467,$B$3:$B$102,0)-1,K$2-1)=$I470,1,0)</f>
        <v>#N/A</v>
      </c>
      <c r="L470" s="44" t="e">
        <f ca="1">IF(OFFSET($C$3,MATCH(I467,$B$3:$B$102,0)-1,L$2-1)=$I470,1,0)</f>
        <v>#N/A</v>
      </c>
      <c r="M470" s="44" t="e">
        <f ca="1">IF(OFFSET($C$3,MATCH(I467,$B$3:$B$102,0)-1,M$2-1)=$I470,1,0)</f>
        <v>#N/A</v>
      </c>
      <c r="N470" s="45" t="e">
        <f ca="1">IF(OFFSET($C$3,MATCH(I467,$B$3:$B$102,0)-1,N$2-1)=$I470,1,0)</f>
        <v>#N/A</v>
      </c>
    </row>
    <row r="471" spans="9:15" ht="15.75" thickBot="1" x14ac:dyDescent="0.3">
      <c r="I471" s="39">
        <v>3</v>
      </c>
      <c r="J471" s="36" t="e">
        <f ca="1">IF(OFFSET($C$3,MATCH(I467,$B$3:$B$102,0)-1,J$2-1)=$I471,1,0)</f>
        <v>#N/A</v>
      </c>
      <c r="K471" s="37" t="e">
        <f ca="1">IF(OFFSET($C$3,MATCH(I467,$B$3:$B$102,0)-1,K$2-1)=$I471,1,0)</f>
        <v>#N/A</v>
      </c>
      <c r="L471" s="37" t="e">
        <f ca="1">IF(OFFSET($C$3,MATCH(I467,$B$3:$B$102,0)-1,L$2-1)=$I471,1,0)</f>
        <v>#N/A</v>
      </c>
      <c r="M471" s="37" t="e">
        <f ca="1">IF(OFFSET($C$3,MATCH(I467,$B$3:$B$102,0)-1,M$2-1)=$I471,1,0)</f>
        <v>#N/A</v>
      </c>
      <c r="N471" s="38" t="e">
        <f ca="1">IF(OFFSET($C$3,MATCH(I467,$B$3:$B$102,0)-1,N$2-1)=$I471,1,0)</f>
        <v>#N/A</v>
      </c>
    </row>
    <row r="472" spans="9:15" x14ac:dyDescent="0.25">
      <c r="I472" s="39"/>
      <c r="J472" s="20"/>
      <c r="K472" s="20"/>
      <c r="L472" s="20"/>
      <c r="M472" s="20"/>
      <c r="N472" s="20"/>
    </row>
    <row r="473" spans="9:15" ht="15.75" thickBot="1" x14ac:dyDescent="0.3">
      <c r="I473" t="str">
        <f>MID(I467,1,5)&amp;MID(I467,6,2)+1</f>
        <v>Line_46</v>
      </c>
      <c r="O473" s="40">
        <f>VALUE(MID($I473,6,3))</f>
        <v>46</v>
      </c>
    </row>
    <row r="474" spans="9:15" x14ac:dyDescent="0.25">
      <c r="I474" s="39">
        <v>0</v>
      </c>
      <c r="J474" s="30" t="e">
        <f ca="1">IF(OFFSET($C$3,MATCH(I473,$B$3:$B$102,0)-1,J$2-1)=$I474,1,0)</f>
        <v>#N/A</v>
      </c>
      <c r="K474" s="31" t="e">
        <f ca="1">IF(OFFSET($C$3,MATCH(I473,$B$3:$B$102,0)-1,K$2-1)=$I474,1,0)</f>
        <v>#N/A</v>
      </c>
      <c r="L474" s="31" t="e">
        <f ca="1">IF(OFFSET($C$3,MATCH(I473,$B$3:$B$102,0)-1,L$2-1)=$I474,1,0)</f>
        <v>#N/A</v>
      </c>
      <c r="M474" s="31" t="e">
        <f ca="1">IF(OFFSET($C$3,MATCH(I473,$B$3:$B$102,0)-1,M$2-1)=$I474,1,0)</f>
        <v>#N/A</v>
      </c>
      <c r="N474" s="32" t="e">
        <f ca="1">IF(OFFSET($C$3,MATCH(I473,$B$3:$B$102,0)-1,N$2-1)=$I474,1,0)</f>
        <v>#N/A</v>
      </c>
    </row>
    <row r="475" spans="9:15" x14ac:dyDescent="0.25">
      <c r="I475" s="39">
        <v>1</v>
      </c>
      <c r="J475" s="33" t="e">
        <f ca="1">IF(OFFSET($C$3,MATCH(I473,$B$3:$B$102,0)-1,J$2-1)=$I475,1,0)</f>
        <v>#N/A</v>
      </c>
      <c r="K475" s="34" t="e">
        <f ca="1">IF(OFFSET($C$3,MATCH(I473,$B$3:$B$102,0)-1,K$2-1)=$I475,1,0)</f>
        <v>#N/A</v>
      </c>
      <c r="L475" s="34" t="e">
        <f ca="1">IF(OFFSET($C$3,MATCH(I473,$B$3:$B$102,0)-1,L$2-1)=$I475,1,0)</f>
        <v>#N/A</v>
      </c>
      <c r="M475" s="34" t="e">
        <f ca="1">IF(OFFSET($C$3,MATCH(I473,$B$3:$B$102,0)-1,M$2-1)=$I475,1,0)</f>
        <v>#N/A</v>
      </c>
      <c r="N475" s="35" t="e">
        <f ca="1">IF(OFFSET($C$3,MATCH(I473,$B$3:$B$102,0)-1,N$2-1)=$I475,1,0)</f>
        <v>#N/A</v>
      </c>
    </row>
    <row r="476" spans="9:15" x14ac:dyDescent="0.25">
      <c r="I476" s="39">
        <v>2</v>
      </c>
      <c r="J476" s="43" t="e">
        <f ca="1">IF(OFFSET($C$3,MATCH(I473,$B$3:$B$102,0)-1,J$2-1)=$I476,1,0)</f>
        <v>#N/A</v>
      </c>
      <c r="K476" s="44" t="e">
        <f ca="1">IF(OFFSET($C$3,MATCH(I473,$B$3:$B$102,0)-1,K$2-1)=$I476,1,0)</f>
        <v>#N/A</v>
      </c>
      <c r="L476" s="44" t="e">
        <f ca="1">IF(OFFSET($C$3,MATCH(I473,$B$3:$B$102,0)-1,L$2-1)=$I476,1,0)</f>
        <v>#N/A</v>
      </c>
      <c r="M476" s="44" t="e">
        <f ca="1">IF(OFFSET($C$3,MATCH(I473,$B$3:$B$102,0)-1,M$2-1)=$I476,1,0)</f>
        <v>#N/A</v>
      </c>
      <c r="N476" s="45" t="e">
        <f ca="1">IF(OFFSET($C$3,MATCH(I473,$B$3:$B$102,0)-1,N$2-1)=$I476,1,0)</f>
        <v>#N/A</v>
      </c>
    </row>
    <row r="477" spans="9:15" ht="15.75" thickBot="1" x14ac:dyDescent="0.3">
      <c r="I477" s="39">
        <v>3</v>
      </c>
      <c r="J477" s="36" t="e">
        <f ca="1">IF(OFFSET($C$3,MATCH(I473,$B$3:$B$102,0)-1,J$2-1)=$I477,1,0)</f>
        <v>#N/A</v>
      </c>
      <c r="K477" s="37" t="e">
        <f ca="1">IF(OFFSET($C$3,MATCH(I473,$B$3:$B$102,0)-1,K$2-1)=$I477,1,0)</f>
        <v>#N/A</v>
      </c>
      <c r="L477" s="37" t="e">
        <f ca="1">IF(OFFSET($C$3,MATCH(I473,$B$3:$B$102,0)-1,L$2-1)=$I477,1,0)</f>
        <v>#N/A</v>
      </c>
      <c r="M477" s="37" t="e">
        <f ca="1">IF(OFFSET($C$3,MATCH(I473,$B$3:$B$102,0)-1,M$2-1)=$I477,1,0)</f>
        <v>#N/A</v>
      </c>
      <c r="N477" s="38" t="e">
        <f ca="1">IF(OFFSET($C$3,MATCH(I473,$B$3:$B$102,0)-1,N$2-1)=$I477,1,0)</f>
        <v>#N/A</v>
      </c>
    </row>
    <row r="478" spans="9:15" x14ac:dyDescent="0.25">
      <c r="J478" s="42"/>
      <c r="K478" s="42"/>
      <c r="L478" s="42"/>
      <c r="M478" s="42"/>
      <c r="N478" s="42"/>
    </row>
    <row r="479" spans="9:15" ht="15.75" thickBot="1" x14ac:dyDescent="0.3">
      <c r="I479" t="str">
        <f>MID(I473,1,5)&amp;MID(I473,6,2)+1</f>
        <v>Line_47</v>
      </c>
      <c r="O479" s="40">
        <f>VALUE(MID($I479,6,3))</f>
        <v>47</v>
      </c>
    </row>
    <row r="480" spans="9:15" x14ac:dyDescent="0.25">
      <c r="I480" s="39">
        <v>0</v>
      </c>
      <c r="J480" s="30" t="e">
        <f ca="1">IF(OFFSET($C$3,MATCH(I479,$B$3:$B$102,0)-1,J$2-1)=$I480,1,0)</f>
        <v>#N/A</v>
      </c>
      <c r="K480" s="31" t="e">
        <f ca="1">IF(OFFSET($C$3,MATCH(I479,$B$3:$B$102,0)-1,K$2-1)=$I480,1,0)</f>
        <v>#N/A</v>
      </c>
      <c r="L480" s="31" t="e">
        <f ca="1">IF(OFFSET($C$3,MATCH(I479,$B$3:$B$102,0)-1,L$2-1)=$I480,1,0)</f>
        <v>#N/A</v>
      </c>
      <c r="M480" s="31" t="e">
        <f ca="1">IF(OFFSET($C$3,MATCH(I479,$B$3:$B$102,0)-1,M$2-1)=$I480,1,0)</f>
        <v>#N/A</v>
      </c>
      <c r="N480" s="32" t="e">
        <f ca="1">IF(OFFSET($C$3,MATCH(I479,$B$3:$B$102,0)-1,N$2-1)=$I480,1,0)</f>
        <v>#N/A</v>
      </c>
    </row>
    <row r="481" spans="9:15" x14ac:dyDescent="0.25">
      <c r="I481" s="39">
        <v>1</v>
      </c>
      <c r="J481" s="33" t="e">
        <f ca="1">IF(OFFSET($C$3,MATCH(I479,$B$3:$B$102,0)-1,J$2-1)=$I481,1,0)</f>
        <v>#N/A</v>
      </c>
      <c r="K481" s="34" t="e">
        <f ca="1">IF(OFFSET($C$3,MATCH(I479,$B$3:$B$102,0)-1,K$2-1)=$I481,1,0)</f>
        <v>#N/A</v>
      </c>
      <c r="L481" s="34" t="e">
        <f ca="1">IF(OFFSET($C$3,MATCH(I479,$B$3:$B$102,0)-1,L$2-1)=$I481,1,0)</f>
        <v>#N/A</v>
      </c>
      <c r="M481" s="34" t="e">
        <f ca="1">IF(OFFSET($C$3,MATCH(I479,$B$3:$B$102,0)-1,M$2-1)=$I481,1,0)</f>
        <v>#N/A</v>
      </c>
      <c r="N481" s="35" t="e">
        <f ca="1">IF(OFFSET($C$3,MATCH(I479,$B$3:$B$102,0)-1,N$2-1)=$I481,1,0)</f>
        <v>#N/A</v>
      </c>
    </row>
    <row r="482" spans="9:15" x14ac:dyDescent="0.25">
      <c r="I482" s="39">
        <v>2</v>
      </c>
      <c r="J482" s="43" t="e">
        <f ca="1">IF(OFFSET($C$3,MATCH(I479,$B$3:$B$102,0)-1,J$2-1)=$I482,1,0)</f>
        <v>#N/A</v>
      </c>
      <c r="K482" s="44" t="e">
        <f ca="1">IF(OFFSET($C$3,MATCH(I479,$B$3:$B$102,0)-1,K$2-1)=$I482,1,0)</f>
        <v>#N/A</v>
      </c>
      <c r="L482" s="44" t="e">
        <f ca="1">IF(OFFSET($C$3,MATCH(I479,$B$3:$B$102,0)-1,L$2-1)=$I482,1,0)</f>
        <v>#N/A</v>
      </c>
      <c r="M482" s="44" t="e">
        <f ca="1">IF(OFFSET($C$3,MATCH(I479,$B$3:$B$102,0)-1,M$2-1)=$I482,1,0)</f>
        <v>#N/A</v>
      </c>
      <c r="N482" s="45" t="e">
        <f ca="1">IF(OFFSET($C$3,MATCH(I479,$B$3:$B$102,0)-1,N$2-1)=$I482,1,0)</f>
        <v>#N/A</v>
      </c>
    </row>
    <row r="483" spans="9:15" ht="15.75" thickBot="1" x14ac:dyDescent="0.3">
      <c r="I483" s="39">
        <v>3</v>
      </c>
      <c r="J483" s="36" t="e">
        <f ca="1">IF(OFFSET($C$3,MATCH(I479,$B$3:$B$102,0)-1,J$2-1)=$I483,1,0)</f>
        <v>#N/A</v>
      </c>
      <c r="K483" s="37" t="e">
        <f ca="1">IF(OFFSET($C$3,MATCH(I479,$B$3:$B$102,0)-1,K$2-1)=$I483,1,0)</f>
        <v>#N/A</v>
      </c>
      <c r="L483" s="37" t="e">
        <f ca="1">IF(OFFSET($C$3,MATCH(I479,$B$3:$B$102,0)-1,L$2-1)=$I483,1,0)</f>
        <v>#N/A</v>
      </c>
      <c r="M483" s="37" t="e">
        <f ca="1">IF(OFFSET($C$3,MATCH(I479,$B$3:$B$102,0)-1,M$2-1)=$I483,1,0)</f>
        <v>#N/A</v>
      </c>
      <c r="N483" s="38" t="e">
        <f ca="1">IF(OFFSET($C$3,MATCH(I479,$B$3:$B$102,0)-1,N$2-1)=$I483,1,0)</f>
        <v>#N/A</v>
      </c>
    </row>
    <row r="484" spans="9:15" x14ac:dyDescent="0.25">
      <c r="J484" s="20"/>
      <c r="K484" s="20"/>
      <c r="L484" s="20"/>
      <c r="M484" s="20"/>
      <c r="N484" s="20"/>
    </row>
    <row r="485" spans="9:15" ht="15.75" thickBot="1" x14ac:dyDescent="0.3">
      <c r="I485" t="str">
        <f>MID(I479,1,5)&amp;MID(I479,6,2)+1</f>
        <v>Line_48</v>
      </c>
      <c r="O485" s="40">
        <f>VALUE(MID($I485,6,3))</f>
        <v>48</v>
      </c>
    </row>
    <row r="486" spans="9:15" x14ac:dyDescent="0.25">
      <c r="I486" s="39">
        <v>0</v>
      </c>
      <c r="J486" s="30" t="e">
        <f ca="1">IF(OFFSET($C$3,MATCH(I485,$B$3:$B$102,0)-1,J$2-1)=$I486,1,0)</f>
        <v>#N/A</v>
      </c>
      <c r="K486" s="31" t="e">
        <f ca="1">IF(OFFSET($C$3,MATCH(I485,$B$3:$B$102,0)-1,K$2-1)=$I486,1,0)</f>
        <v>#N/A</v>
      </c>
      <c r="L486" s="31" t="e">
        <f ca="1">IF(OFFSET($C$3,MATCH(I485,$B$3:$B$102,0)-1,L$2-1)=$I486,1,0)</f>
        <v>#N/A</v>
      </c>
      <c r="M486" s="31" t="e">
        <f ca="1">IF(OFFSET($C$3,MATCH(I485,$B$3:$B$102,0)-1,M$2-1)=$I486,1,0)</f>
        <v>#N/A</v>
      </c>
      <c r="N486" s="32" t="e">
        <f ca="1">IF(OFFSET($C$3,MATCH(I485,$B$3:$B$102,0)-1,N$2-1)=$I486,1,0)</f>
        <v>#N/A</v>
      </c>
    </row>
    <row r="487" spans="9:15" x14ac:dyDescent="0.25">
      <c r="I487" s="39">
        <v>1</v>
      </c>
      <c r="J487" s="33" t="e">
        <f ca="1">IF(OFFSET($C$3,MATCH(I485,$B$3:$B$102,0)-1,J$2-1)=$I487,1,0)</f>
        <v>#N/A</v>
      </c>
      <c r="K487" s="34" t="e">
        <f ca="1">IF(OFFSET($C$3,MATCH(I485,$B$3:$B$102,0)-1,K$2-1)=$I487,1,0)</f>
        <v>#N/A</v>
      </c>
      <c r="L487" s="34" t="e">
        <f ca="1">IF(OFFSET($C$3,MATCH(I485,$B$3:$B$102,0)-1,L$2-1)=$I487,1,0)</f>
        <v>#N/A</v>
      </c>
      <c r="M487" s="34" t="e">
        <f ca="1">IF(OFFSET($C$3,MATCH(I485,$B$3:$B$102,0)-1,M$2-1)=$I487,1,0)</f>
        <v>#N/A</v>
      </c>
      <c r="N487" s="35" t="e">
        <f ca="1">IF(OFFSET($C$3,MATCH(I485,$B$3:$B$102,0)-1,N$2-1)=$I487,1,0)</f>
        <v>#N/A</v>
      </c>
    </row>
    <row r="488" spans="9:15" x14ac:dyDescent="0.25">
      <c r="I488" s="39">
        <v>2</v>
      </c>
      <c r="J488" s="43" t="e">
        <f ca="1">IF(OFFSET($C$3,MATCH(I485,$B$3:$B$102,0)-1,J$2-1)=$I488,1,0)</f>
        <v>#N/A</v>
      </c>
      <c r="K488" s="44" t="e">
        <f ca="1">IF(OFFSET($C$3,MATCH(I485,$B$3:$B$102,0)-1,K$2-1)=$I488,1,0)</f>
        <v>#N/A</v>
      </c>
      <c r="L488" s="44" t="e">
        <f ca="1">IF(OFFSET($C$3,MATCH(I485,$B$3:$B$102,0)-1,L$2-1)=$I488,1,0)</f>
        <v>#N/A</v>
      </c>
      <c r="M488" s="44" t="e">
        <f ca="1">IF(OFFSET($C$3,MATCH(I485,$B$3:$B$102,0)-1,M$2-1)=$I488,1,0)</f>
        <v>#N/A</v>
      </c>
      <c r="N488" s="45" t="e">
        <f ca="1">IF(OFFSET($C$3,MATCH(I485,$B$3:$B$102,0)-1,N$2-1)=$I488,1,0)</f>
        <v>#N/A</v>
      </c>
    </row>
    <row r="489" spans="9:15" ht="15.75" thickBot="1" x14ac:dyDescent="0.3">
      <c r="I489" s="39">
        <v>3</v>
      </c>
      <c r="J489" s="36" t="e">
        <f ca="1">IF(OFFSET($C$3,MATCH(I485,$B$3:$B$102,0)-1,J$2-1)=$I489,1,0)</f>
        <v>#N/A</v>
      </c>
      <c r="K489" s="37" t="e">
        <f ca="1">IF(OFFSET($C$3,MATCH(I485,$B$3:$B$102,0)-1,K$2-1)=$I489,1,0)</f>
        <v>#N/A</v>
      </c>
      <c r="L489" s="37" t="e">
        <f ca="1">IF(OFFSET($C$3,MATCH(I485,$B$3:$B$102,0)-1,L$2-1)=$I489,1,0)</f>
        <v>#N/A</v>
      </c>
      <c r="M489" s="37" t="e">
        <f ca="1">IF(OFFSET($C$3,MATCH(I485,$B$3:$B$102,0)-1,M$2-1)=$I489,1,0)</f>
        <v>#N/A</v>
      </c>
      <c r="N489" s="38" t="e">
        <f ca="1">IF(OFFSET($C$3,MATCH(I485,$B$3:$B$102,0)-1,N$2-1)=$I489,1,0)</f>
        <v>#N/A</v>
      </c>
    </row>
    <row r="490" spans="9:15" x14ac:dyDescent="0.25">
      <c r="I490" s="39"/>
    </row>
    <row r="491" spans="9:15" ht="15.75" thickBot="1" x14ac:dyDescent="0.3">
      <c r="I491" t="str">
        <f>MID(I485,1,5)&amp;MID(I485,6,2)+1</f>
        <v>Line_49</v>
      </c>
      <c r="O491" s="40">
        <f>VALUE(MID($I491,6,3))</f>
        <v>49</v>
      </c>
    </row>
    <row r="492" spans="9:15" x14ac:dyDescent="0.25">
      <c r="I492" s="39">
        <v>0</v>
      </c>
      <c r="J492" s="30" t="e">
        <f ca="1">IF(OFFSET($C$3,MATCH(I491,$B$3:$B$102,0)-1,J$2-1)=$I492,1,0)</f>
        <v>#N/A</v>
      </c>
      <c r="K492" s="31" t="e">
        <f ca="1">IF(OFFSET($C$3,MATCH(I491,$B$3:$B$102,0)-1,K$2-1)=$I492,1,0)</f>
        <v>#N/A</v>
      </c>
      <c r="L492" s="31" t="e">
        <f ca="1">IF(OFFSET($C$3,MATCH(I491,$B$3:$B$102,0)-1,L$2-1)=$I492,1,0)</f>
        <v>#N/A</v>
      </c>
      <c r="M492" s="31" t="e">
        <f ca="1">IF(OFFSET($C$3,MATCH(I491,$B$3:$B$102,0)-1,M$2-1)=$I492,1,0)</f>
        <v>#N/A</v>
      </c>
      <c r="N492" s="32" t="e">
        <f ca="1">IF(OFFSET($C$3,MATCH(I491,$B$3:$B$102,0)-1,N$2-1)=$I492,1,0)</f>
        <v>#N/A</v>
      </c>
    </row>
    <row r="493" spans="9:15" x14ac:dyDescent="0.25">
      <c r="I493" s="39">
        <v>1</v>
      </c>
      <c r="J493" s="33" t="e">
        <f ca="1">IF(OFFSET($C$3,MATCH(I491,$B$3:$B$102,0)-1,J$2-1)=$I493,1,0)</f>
        <v>#N/A</v>
      </c>
      <c r="K493" s="34" t="e">
        <f ca="1">IF(OFFSET($C$3,MATCH(I491,$B$3:$B$102,0)-1,K$2-1)=$I493,1,0)</f>
        <v>#N/A</v>
      </c>
      <c r="L493" s="34" t="e">
        <f ca="1">IF(OFFSET($C$3,MATCH(I491,$B$3:$B$102,0)-1,L$2-1)=$I493,1,0)</f>
        <v>#N/A</v>
      </c>
      <c r="M493" s="34" t="e">
        <f ca="1">IF(OFFSET($C$3,MATCH(I491,$B$3:$B$102,0)-1,M$2-1)=$I493,1,0)</f>
        <v>#N/A</v>
      </c>
      <c r="N493" s="35" t="e">
        <f ca="1">IF(OFFSET($C$3,MATCH(I491,$B$3:$B$102,0)-1,N$2-1)=$I493,1,0)</f>
        <v>#N/A</v>
      </c>
    </row>
    <row r="494" spans="9:15" x14ac:dyDescent="0.25">
      <c r="I494" s="39">
        <v>2</v>
      </c>
      <c r="J494" s="43" t="e">
        <f ca="1">IF(OFFSET($C$3,MATCH(I491,$B$3:$B$102,0)-1,J$2-1)=$I494,1,0)</f>
        <v>#N/A</v>
      </c>
      <c r="K494" s="44" t="e">
        <f ca="1">IF(OFFSET($C$3,MATCH(I491,$B$3:$B$102,0)-1,K$2-1)=$I494,1,0)</f>
        <v>#N/A</v>
      </c>
      <c r="L494" s="44" t="e">
        <f ca="1">IF(OFFSET($C$3,MATCH(I491,$B$3:$B$102,0)-1,L$2-1)=$I494,1,0)</f>
        <v>#N/A</v>
      </c>
      <c r="M494" s="44" t="e">
        <f ca="1">IF(OFFSET($C$3,MATCH(I491,$B$3:$B$102,0)-1,M$2-1)=$I494,1,0)</f>
        <v>#N/A</v>
      </c>
      <c r="N494" s="45" t="e">
        <f ca="1">IF(OFFSET($C$3,MATCH(I491,$B$3:$B$102,0)-1,N$2-1)=$I494,1,0)</f>
        <v>#N/A</v>
      </c>
    </row>
    <row r="495" spans="9:15" ht="15.75" thickBot="1" x14ac:dyDescent="0.3">
      <c r="I495" s="39">
        <v>3</v>
      </c>
      <c r="J495" s="36" t="e">
        <f ca="1">IF(OFFSET($C$3,MATCH(I491,$B$3:$B$102,0)-1,J$2-1)=$I495,1,0)</f>
        <v>#N/A</v>
      </c>
      <c r="K495" s="37" t="e">
        <f ca="1">IF(OFFSET($C$3,MATCH(I491,$B$3:$B$102,0)-1,K$2-1)=$I495,1,0)</f>
        <v>#N/A</v>
      </c>
      <c r="L495" s="37" t="e">
        <f ca="1">IF(OFFSET($C$3,MATCH(I491,$B$3:$B$102,0)-1,L$2-1)=$I495,1,0)</f>
        <v>#N/A</v>
      </c>
      <c r="M495" s="37" t="e">
        <f ca="1">IF(OFFSET($C$3,MATCH(I491,$B$3:$B$102,0)-1,M$2-1)=$I495,1,0)</f>
        <v>#N/A</v>
      </c>
      <c r="N495" s="38" t="e">
        <f ca="1">IF(OFFSET($C$3,MATCH(I491,$B$3:$B$102,0)-1,N$2-1)=$I495,1,0)</f>
        <v>#N/A</v>
      </c>
    </row>
    <row r="497" spans="9:15" ht="15.75" thickBot="1" x14ac:dyDescent="0.3">
      <c r="I497" t="str">
        <f>MID(I491,1,5)&amp;MID(I491,6,2)+1</f>
        <v>Line_50</v>
      </c>
      <c r="O497" s="40">
        <f>VALUE(MID($I497,6,3))</f>
        <v>50</v>
      </c>
    </row>
    <row r="498" spans="9:15" x14ac:dyDescent="0.25">
      <c r="I498" s="39">
        <v>0</v>
      </c>
      <c r="J498" s="30" t="e">
        <f ca="1">IF(OFFSET($C$3,MATCH(I497,$B$3:$B$102,0)-1,J$2-1)=$I498,1,0)</f>
        <v>#N/A</v>
      </c>
      <c r="K498" s="31" t="e">
        <f ca="1">IF(OFFSET($C$3,MATCH(I497,$B$3:$B$102,0)-1,K$2-1)=$I498,1,0)</f>
        <v>#N/A</v>
      </c>
      <c r="L498" s="31" t="e">
        <f ca="1">IF(OFFSET($C$3,MATCH(I497,$B$3:$B$102,0)-1,L$2-1)=$I498,1,0)</f>
        <v>#N/A</v>
      </c>
      <c r="M498" s="31" t="e">
        <f ca="1">IF(OFFSET($C$3,MATCH(I497,$B$3:$B$102,0)-1,M$2-1)=$I498,1,0)</f>
        <v>#N/A</v>
      </c>
      <c r="N498" s="32" t="e">
        <f ca="1">IF(OFFSET($C$3,MATCH(I497,$B$3:$B$102,0)-1,N$2-1)=$I498,1,0)</f>
        <v>#N/A</v>
      </c>
    </row>
    <row r="499" spans="9:15" x14ac:dyDescent="0.25">
      <c r="I499" s="39">
        <v>1</v>
      </c>
      <c r="J499" s="33" t="e">
        <f ca="1">IF(OFFSET($C$3,MATCH(I497,$B$3:$B$102,0)-1,J$2-1)=$I499,1,0)</f>
        <v>#N/A</v>
      </c>
      <c r="K499" s="34" t="e">
        <f ca="1">IF(OFFSET($C$3,MATCH(I497,$B$3:$B$102,0)-1,K$2-1)=$I499,1,0)</f>
        <v>#N/A</v>
      </c>
      <c r="L499" s="34" t="e">
        <f ca="1">IF(OFFSET($C$3,MATCH(I497,$B$3:$B$102,0)-1,L$2-1)=$I499,1,0)</f>
        <v>#N/A</v>
      </c>
      <c r="M499" s="34" t="e">
        <f ca="1">IF(OFFSET($C$3,MATCH(I497,$B$3:$B$102,0)-1,M$2-1)=$I499,1,0)</f>
        <v>#N/A</v>
      </c>
      <c r="N499" s="35" t="e">
        <f ca="1">IF(OFFSET($C$3,MATCH(I497,$B$3:$B$102,0)-1,N$2-1)=$I499,1,0)</f>
        <v>#N/A</v>
      </c>
    </row>
    <row r="500" spans="9:15" x14ac:dyDescent="0.25">
      <c r="I500" s="39">
        <v>2</v>
      </c>
      <c r="J500" s="43" t="e">
        <f ca="1">IF(OFFSET($C$3,MATCH(I497,$B$3:$B$102,0)-1,J$2-1)=$I500,1,0)</f>
        <v>#N/A</v>
      </c>
      <c r="K500" s="44" t="e">
        <f ca="1">IF(OFFSET($C$3,MATCH(I497,$B$3:$B$102,0)-1,K$2-1)=$I500,1,0)</f>
        <v>#N/A</v>
      </c>
      <c r="L500" s="44" t="e">
        <f ca="1">IF(OFFSET($C$3,MATCH(I497,$B$3:$B$102,0)-1,L$2-1)=$I500,1,0)</f>
        <v>#N/A</v>
      </c>
      <c r="M500" s="44" t="e">
        <f ca="1">IF(OFFSET($C$3,MATCH(I497,$B$3:$B$102,0)-1,M$2-1)=$I500,1,0)</f>
        <v>#N/A</v>
      </c>
      <c r="N500" s="45" t="e">
        <f ca="1">IF(OFFSET($C$3,MATCH(I497,$B$3:$B$102,0)-1,N$2-1)=$I500,1,0)</f>
        <v>#N/A</v>
      </c>
    </row>
    <row r="501" spans="9:15" ht="15.75" thickBot="1" x14ac:dyDescent="0.3">
      <c r="I501" s="39">
        <v>3</v>
      </c>
      <c r="J501" s="36" t="e">
        <f ca="1">IF(OFFSET($C$3,MATCH(I497,$B$3:$B$102,0)-1,J$2-1)=$I501,1,0)</f>
        <v>#N/A</v>
      </c>
      <c r="K501" s="37" t="e">
        <f ca="1">IF(OFFSET($C$3,MATCH(I497,$B$3:$B$102,0)-1,K$2-1)=$I501,1,0)</f>
        <v>#N/A</v>
      </c>
      <c r="L501" s="37" t="e">
        <f ca="1">IF(OFFSET($C$3,MATCH(I497,$B$3:$B$102,0)-1,L$2-1)=$I501,1,0)</f>
        <v>#N/A</v>
      </c>
      <c r="M501" s="37" t="e">
        <f ca="1">IF(OFFSET($C$3,MATCH(I497,$B$3:$B$102,0)-1,M$2-1)=$I501,1,0)</f>
        <v>#N/A</v>
      </c>
      <c r="N501" s="38" t="e">
        <f ca="1">IF(OFFSET($C$3,MATCH(I497,$B$3:$B$102,0)-1,N$2-1)=$I501,1,0)</f>
        <v>#N/A</v>
      </c>
    </row>
    <row r="502" spans="9:15" x14ac:dyDescent="0.25">
      <c r="I502" s="39"/>
      <c r="J502" s="20"/>
      <c r="K502" s="20"/>
      <c r="L502" s="20"/>
      <c r="M502" s="20"/>
      <c r="N502" s="20"/>
    </row>
    <row r="503" spans="9:15" ht="15.75" thickBot="1" x14ac:dyDescent="0.3">
      <c r="I503" t="str">
        <f>MID(I497,1,5)&amp;MID(I497,6,2)+1</f>
        <v>Line_51</v>
      </c>
      <c r="O503" s="40">
        <f>VALUE(MID($I503,6,3))</f>
        <v>51</v>
      </c>
    </row>
    <row r="504" spans="9:15" x14ac:dyDescent="0.25">
      <c r="I504" s="39">
        <v>0</v>
      </c>
      <c r="J504" s="30" t="e">
        <f ca="1">IF(OFFSET($C$3,MATCH(I503,$B$3:$B$102,0)-1,J$2-1)=$I504,1,0)</f>
        <v>#N/A</v>
      </c>
      <c r="K504" s="31" t="e">
        <f ca="1">IF(OFFSET($C$3,MATCH(I503,$B$3:$B$102,0)-1,K$2-1)=$I504,1,0)</f>
        <v>#N/A</v>
      </c>
      <c r="L504" s="31" t="e">
        <f ca="1">IF(OFFSET($C$3,MATCH(I503,$B$3:$B$102,0)-1,L$2-1)=$I504,1,0)</f>
        <v>#N/A</v>
      </c>
      <c r="M504" s="31" t="e">
        <f ca="1">IF(OFFSET($C$3,MATCH(I503,$B$3:$B$102,0)-1,M$2-1)=$I504,1,0)</f>
        <v>#N/A</v>
      </c>
      <c r="N504" s="32" t="e">
        <f ca="1">IF(OFFSET($C$3,MATCH(I503,$B$3:$B$102,0)-1,N$2-1)=$I504,1,0)</f>
        <v>#N/A</v>
      </c>
    </row>
    <row r="505" spans="9:15" x14ac:dyDescent="0.25">
      <c r="I505" s="39">
        <v>1</v>
      </c>
      <c r="J505" s="33" t="e">
        <f ca="1">IF(OFFSET($C$3,MATCH(I503,$B$3:$B$102,0)-1,J$2-1)=$I505,1,0)</f>
        <v>#N/A</v>
      </c>
      <c r="K505" s="34" t="e">
        <f ca="1">IF(OFFSET($C$3,MATCH(I503,$B$3:$B$102,0)-1,K$2-1)=$I505,1,0)</f>
        <v>#N/A</v>
      </c>
      <c r="L505" s="34" t="e">
        <f ca="1">IF(OFFSET($C$3,MATCH(I503,$B$3:$B$102,0)-1,L$2-1)=$I505,1,0)</f>
        <v>#N/A</v>
      </c>
      <c r="M505" s="34" t="e">
        <f ca="1">IF(OFFSET($C$3,MATCH(I503,$B$3:$B$102,0)-1,M$2-1)=$I505,1,0)</f>
        <v>#N/A</v>
      </c>
      <c r="N505" s="35" t="e">
        <f ca="1">IF(OFFSET($C$3,MATCH(I503,$B$3:$B$102,0)-1,N$2-1)=$I505,1,0)</f>
        <v>#N/A</v>
      </c>
    </row>
    <row r="506" spans="9:15" x14ac:dyDescent="0.25">
      <c r="I506" s="39">
        <v>2</v>
      </c>
      <c r="J506" s="43" t="e">
        <f ca="1">IF(OFFSET($C$3,MATCH(I503,$B$3:$B$102,0)-1,J$2-1)=$I506,1,0)</f>
        <v>#N/A</v>
      </c>
      <c r="K506" s="44" t="e">
        <f ca="1">IF(OFFSET($C$3,MATCH(I503,$B$3:$B$102,0)-1,K$2-1)=$I506,1,0)</f>
        <v>#N/A</v>
      </c>
      <c r="L506" s="44" t="e">
        <f ca="1">IF(OFFSET($C$3,MATCH(I503,$B$3:$B$102,0)-1,L$2-1)=$I506,1,0)</f>
        <v>#N/A</v>
      </c>
      <c r="M506" s="44" t="e">
        <f ca="1">IF(OFFSET($C$3,MATCH(I503,$B$3:$B$102,0)-1,M$2-1)=$I506,1,0)</f>
        <v>#N/A</v>
      </c>
      <c r="N506" s="45" t="e">
        <f ca="1">IF(OFFSET($C$3,MATCH(I503,$B$3:$B$102,0)-1,N$2-1)=$I506,1,0)</f>
        <v>#N/A</v>
      </c>
    </row>
    <row r="507" spans="9:15" ht="15.75" thickBot="1" x14ac:dyDescent="0.3">
      <c r="I507" s="39">
        <v>3</v>
      </c>
      <c r="J507" s="36" t="e">
        <f ca="1">IF(OFFSET($C$3,MATCH(I503,$B$3:$B$102,0)-1,J$2-1)=$I507,1,0)</f>
        <v>#N/A</v>
      </c>
      <c r="K507" s="37" t="e">
        <f ca="1">IF(OFFSET($C$3,MATCH(I503,$B$3:$B$102,0)-1,K$2-1)=$I507,1,0)</f>
        <v>#N/A</v>
      </c>
      <c r="L507" s="37" t="e">
        <f ca="1">IF(OFFSET($C$3,MATCH(I503,$B$3:$B$102,0)-1,L$2-1)=$I507,1,0)</f>
        <v>#N/A</v>
      </c>
      <c r="M507" s="37" t="e">
        <f ca="1">IF(OFFSET($C$3,MATCH(I503,$B$3:$B$102,0)-1,M$2-1)=$I507,1,0)</f>
        <v>#N/A</v>
      </c>
      <c r="N507" s="38" t="e">
        <f ca="1">IF(OFFSET($C$3,MATCH(I503,$B$3:$B$102,0)-1,N$2-1)=$I507,1,0)</f>
        <v>#N/A</v>
      </c>
    </row>
    <row r="509" spans="9:15" ht="15.75" thickBot="1" x14ac:dyDescent="0.3">
      <c r="I509" t="str">
        <f>MID(I503,1,5)&amp;MID(I503,6,2)+1</f>
        <v>Line_52</v>
      </c>
      <c r="O509" s="40">
        <f>VALUE(MID($I509,6,3))</f>
        <v>52</v>
      </c>
    </row>
    <row r="510" spans="9:15" x14ac:dyDescent="0.25">
      <c r="I510" s="39">
        <v>0</v>
      </c>
      <c r="J510" s="30" t="e">
        <f ca="1">IF(OFFSET($C$3,MATCH(I509,$B$3:$B$102,0)-1,J$2-1)=$I510,1,0)</f>
        <v>#N/A</v>
      </c>
      <c r="K510" s="31" t="e">
        <f ca="1">IF(OFFSET($C$3,MATCH(I509,$B$3:$B$102,0)-1,K$2-1)=$I510,1,0)</f>
        <v>#N/A</v>
      </c>
      <c r="L510" s="31" t="e">
        <f ca="1">IF(OFFSET($C$3,MATCH(I509,$B$3:$B$102,0)-1,L$2-1)=$I510,1,0)</f>
        <v>#N/A</v>
      </c>
      <c r="M510" s="31" t="e">
        <f ca="1">IF(OFFSET($C$3,MATCH(I509,$B$3:$B$102,0)-1,M$2-1)=$I510,1,0)</f>
        <v>#N/A</v>
      </c>
      <c r="N510" s="32" t="e">
        <f ca="1">IF(OFFSET($C$3,MATCH(I509,$B$3:$B$102,0)-1,N$2-1)=$I510,1,0)</f>
        <v>#N/A</v>
      </c>
    </row>
    <row r="511" spans="9:15" x14ac:dyDescent="0.25">
      <c r="I511" s="39">
        <v>1</v>
      </c>
      <c r="J511" s="33" t="e">
        <f ca="1">IF(OFFSET($C$3,MATCH(I509,$B$3:$B$102,0)-1,J$2-1)=$I511,1,0)</f>
        <v>#N/A</v>
      </c>
      <c r="K511" s="34" t="e">
        <f ca="1">IF(OFFSET($C$3,MATCH(I509,$B$3:$B$102,0)-1,K$2-1)=$I511,1,0)</f>
        <v>#N/A</v>
      </c>
      <c r="L511" s="34" t="e">
        <f ca="1">IF(OFFSET($C$3,MATCH(I509,$B$3:$B$102,0)-1,L$2-1)=$I511,1,0)</f>
        <v>#N/A</v>
      </c>
      <c r="M511" s="34" t="e">
        <f ca="1">IF(OFFSET($C$3,MATCH(I509,$B$3:$B$102,0)-1,M$2-1)=$I511,1,0)</f>
        <v>#N/A</v>
      </c>
      <c r="N511" s="35" t="e">
        <f ca="1">IF(OFFSET($C$3,MATCH(I509,$B$3:$B$102,0)-1,N$2-1)=$I511,1,0)</f>
        <v>#N/A</v>
      </c>
    </row>
    <row r="512" spans="9:15" x14ac:dyDescent="0.25">
      <c r="I512" s="39">
        <v>2</v>
      </c>
      <c r="J512" s="43" t="e">
        <f ca="1">IF(OFFSET($C$3,MATCH(I509,$B$3:$B$102,0)-1,J$2-1)=$I512,1,0)</f>
        <v>#N/A</v>
      </c>
      <c r="K512" s="44" t="e">
        <f ca="1">IF(OFFSET($C$3,MATCH(I509,$B$3:$B$102,0)-1,K$2-1)=$I512,1,0)</f>
        <v>#N/A</v>
      </c>
      <c r="L512" s="44" t="e">
        <f ca="1">IF(OFFSET($C$3,MATCH(I509,$B$3:$B$102,0)-1,L$2-1)=$I512,1,0)</f>
        <v>#N/A</v>
      </c>
      <c r="M512" s="44" t="e">
        <f ca="1">IF(OFFSET($C$3,MATCH(I509,$B$3:$B$102,0)-1,M$2-1)=$I512,1,0)</f>
        <v>#N/A</v>
      </c>
      <c r="N512" s="45" t="e">
        <f ca="1">IF(OFFSET($C$3,MATCH(I509,$B$3:$B$102,0)-1,N$2-1)=$I512,1,0)</f>
        <v>#N/A</v>
      </c>
    </row>
    <row r="513" spans="9:15" ht="15.75" thickBot="1" x14ac:dyDescent="0.3">
      <c r="I513" s="39">
        <v>3</v>
      </c>
      <c r="J513" s="36" t="e">
        <f ca="1">IF(OFFSET($C$3,MATCH(I509,$B$3:$B$102,0)-1,J$2-1)=$I513,1,0)</f>
        <v>#N/A</v>
      </c>
      <c r="K513" s="37" t="e">
        <f ca="1">IF(OFFSET($C$3,MATCH(I509,$B$3:$B$102,0)-1,K$2-1)=$I513,1,0)</f>
        <v>#N/A</v>
      </c>
      <c r="L513" s="37" t="e">
        <f ca="1">IF(OFFSET($C$3,MATCH(I509,$B$3:$B$102,0)-1,L$2-1)=$I513,1,0)</f>
        <v>#N/A</v>
      </c>
      <c r="M513" s="37" t="e">
        <f ca="1">IF(OFFSET($C$3,MATCH(I509,$B$3:$B$102,0)-1,M$2-1)=$I513,1,0)</f>
        <v>#N/A</v>
      </c>
      <c r="N513" s="38" t="e">
        <f ca="1">IF(OFFSET($C$3,MATCH(I509,$B$3:$B$102,0)-1,N$2-1)=$I513,1,0)</f>
        <v>#N/A</v>
      </c>
    </row>
    <row r="514" spans="9:15" x14ac:dyDescent="0.25">
      <c r="J514" s="20"/>
      <c r="K514" s="20"/>
      <c r="L514" s="20"/>
      <c r="M514" s="20"/>
      <c r="N514" s="20"/>
    </row>
    <row r="515" spans="9:15" ht="15.75" thickBot="1" x14ac:dyDescent="0.3">
      <c r="I515" t="str">
        <f>MID(I509,1,5)&amp;MID(I509,6,2)+1</f>
        <v>Line_53</v>
      </c>
      <c r="O515" s="40">
        <f>VALUE(MID($I515,6,3))</f>
        <v>53</v>
      </c>
    </row>
    <row r="516" spans="9:15" x14ac:dyDescent="0.25">
      <c r="I516" s="39">
        <v>0</v>
      </c>
      <c r="J516" s="30" t="e">
        <f ca="1">IF(OFFSET($C$3,MATCH(I515,$B$3:$B$102,0)-1,J$2-1)=$I516,1,0)</f>
        <v>#N/A</v>
      </c>
      <c r="K516" s="31" t="e">
        <f ca="1">IF(OFFSET($C$3,MATCH(I515,$B$3:$B$102,0)-1,K$2-1)=$I516,1,0)</f>
        <v>#N/A</v>
      </c>
      <c r="L516" s="31" t="e">
        <f ca="1">IF(OFFSET($C$3,MATCH(I515,$B$3:$B$102,0)-1,L$2-1)=$I516,1,0)</f>
        <v>#N/A</v>
      </c>
      <c r="M516" s="31" t="e">
        <f ca="1">IF(OFFSET($C$3,MATCH(I515,$B$3:$B$102,0)-1,M$2-1)=$I516,1,0)</f>
        <v>#N/A</v>
      </c>
      <c r="N516" s="32" t="e">
        <f ca="1">IF(OFFSET($C$3,MATCH(I515,$B$3:$B$102,0)-1,N$2-1)=$I516,1,0)</f>
        <v>#N/A</v>
      </c>
    </row>
    <row r="517" spans="9:15" x14ac:dyDescent="0.25">
      <c r="I517" s="39">
        <v>1</v>
      </c>
      <c r="J517" s="33" t="e">
        <f ca="1">IF(OFFSET($C$3,MATCH(I515,$B$3:$B$102,0)-1,J$2-1)=$I517,1,0)</f>
        <v>#N/A</v>
      </c>
      <c r="K517" s="34" t="e">
        <f ca="1">IF(OFFSET($C$3,MATCH(I515,$B$3:$B$102,0)-1,K$2-1)=$I517,1,0)</f>
        <v>#N/A</v>
      </c>
      <c r="L517" s="34" t="e">
        <f ca="1">IF(OFFSET($C$3,MATCH(I515,$B$3:$B$102,0)-1,L$2-1)=$I517,1,0)</f>
        <v>#N/A</v>
      </c>
      <c r="M517" s="34" t="e">
        <f ca="1">IF(OFFSET($C$3,MATCH(I515,$B$3:$B$102,0)-1,M$2-1)=$I517,1,0)</f>
        <v>#N/A</v>
      </c>
      <c r="N517" s="35" t="e">
        <f ca="1">IF(OFFSET($C$3,MATCH(I515,$B$3:$B$102,0)-1,N$2-1)=$I517,1,0)</f>
        <v>#N/A</v>
      </c>
    </row>
    <row r="518" spans="9:15" x14ac:dyDescent="0.25">
      <c r="I518" s="39">
        <v>2</v>
      </c>
      <c r="J518" s="43" t="e">
        <f ca="1">IF(OFFSET($C$3,MATCH(I515,$B$3:$B$102,0)-1,J$2-1)=$I518,1,0)</f>
        <v>#N/A</v>
      </c>
      <c r="K518" s="44" t="e">
        <f ca="1">IF(OFFSET($C$3,MATCH(I515,$B$3:$B$102,0)-1,K$2-1)=$I518,1,0)</f>
        <v>#N/A</v>
      </c>
      <c r="L518" s="44" t="e">
        <f ca="1">IF(OFFSET($C$3,MATCH(I515,$B$3:$B$102,0)-1,L$2-1)=$I518,1,0)</f>
        <v>#N/A</v>
      </c>
      <c r="M518" s="44" t="e">
        <f ca="1">IF(OFFSET($C$3,MATCH(I515,$B$3:$B$102,0)-1,M$2-1)=$I518,1,0)</f>
        <v>#N/A</v>
      </c>
      <c r="N518" s="45" t="e">
        <f ca="1">IF(OFFSET($C$3,MATCH(I515,$B$3:$B$102,0)-1,N$2-1)=$I518,1,0)</f>
        <v>#N/A</v>
      </c>
    </row>
    <row r="519" spans="9:15" ht="15.75" thickBot="1" x14ac:dyDescent="0.3">
      <c r="I519" s="39">
        <v>3</v>
      </c>
      <c r="J519" s="36" t="e">
        <f ca="1">IF(OFFSET($C$3,MATCH(I515,$B$3:$B$102,0)-1,J$2-1)=$I519,1,0)</f>
        <v>#N/A</v>
      </c>
      <c r="K519" s="37" t="e">
        <f ca="1">IF(OFFSET($C$3,MATCH(I515,$B$3:$B$102,0)-1,K$2-1)=$I519,1,0)</f>
        <v>#N/A</v>
      </c>
      <c r="L519" s="37" t="e">
        <f ca="1">IF(OFFSET($C$3,MATCH(I515,$B$3:$B$102,0)-1,L$2-1)=$I519,1,0)</f>
        <v>#N/A</v>
      </c>
      <c r="M519" s="37" t="e">
        <f ca="1">IF(OFFSET($C$3,MATCH(I515,$B$3:$B$102,0)-1,M$2-1)=$I519,1,0)</f>
        <v>#N/A</v>
      </c>
      <c r="N519" s="38" t="e">
        <f ca="1">IF(OFFSET($C$3,MATCH(I515,$B$3:$B$102,0)-1,N$2-1)=$I519,1,0)</f>
        <v>#N/A</v>
      </c>
    </row>
    <row r="520" spans="9:15" x14ac:dyDescent="0.25">
      <c r="I520" s="39"/>
      <c r="J520" s="42"/>
      <c r="K520" s="42"/>
      <c r="L520" s="42"/>
      <c r="M520" s="42"/>
      <c r="N520" s="42"/>
    </row>
    <row r="521" spans="9:15" ht="15.75" thickBot="1" x14ac:dyDescent="0.3">
      <c r="I521" t="str">
        <f>MID(I515,1,5)&amp;MID(I515,6,2)+1</f>
        <v>Line_54</v>
      </c>
      <c r="O521" s="40">
        <f>VALUE(MID($I521,6,3))</f>
        <v>54</v>
      </c>
    </row>
    <row r="522" spans="9:15" x14ac:dyDescent="0.25">
      <c r="I522" s="39">
        <v>0</v>
      </c>
      <c r="J522" s="30" t="e">
        <f ca="1">IF(OFFSET($C$3,MATCH(I521,$B$3:$B$102,0)-1,J$2-1)=$I522,1,0)</f>
        <v>#N/A</v>
      </c>
      <c r="K522" s="31" t="e">
        <f ca="1">IF(OFFSET($C$3,MATCH(I521,$B$3:$B$102,0)-1,K$2-1)=$I522,1,0)</f>
        <v>#N/A</v>
      </c>
      <c r="L522" s="31" t="e">
        <f ca="1">IF(OFFSET($C$3,MATCH(I521,$B$3:$B$102,0)-1,L$2-1)=$I522,1,0)</f>
        <v>#N/A</v>
      </c>
      <c r="M522" s="31" t="e">
        <f ca="1">IF(OFFSET($C$3,MATCH(I521,$B$3:$B$102,0)-1,M$2-1)=$I522,1,0)</f>
        <v>#N/A</v>
      </c>
      <c r="N522" s="32" t="e">
        <f ca="1">IF(OFFSET($C$3,MATCH(I521,$B$3:$B$102,0)-1,N$2-1)=$I522,1,0)</f>
        <v>#N/A</v>
      </c>
    </row>
    <row r="523" spans="9:15" x14ac:dyDescent="0.25">
      <c r="I523" s="39">
        <v>1</v>
      </c>
      <c r="J523" s="33" t="e">
        <f ca="1">IF(OFFSET($C$3,MATCH(I521,$B$3:$B$102,0)-1,J$2-1)=$I523,1,0)</f>
        <v>#N/A</v>
      </c>
      <c r="K523" s="34" t="e">
        <f ca="1">IF(OFFSET($C$3,MATCH(I521,$B$3:$B$102,0)-1,K$2-1)=$I523,1,0)</f>
        <v>#N/A</v>
      </c>
      <c r="L523" s="34" t="e">
        <f ca="1">IF(OFFSET($C$3,MATCH(I521,$B$3:$B$102,0)-1,L$2-1)=$I523,1,0)</f>
        <v>#N/A</v>
      </c>
      <c r="M523" s="34" t="e">
        <f ca="1">IF(OFFSET($C$3,MATCH(I521,$B$3:$B$102,0)-1,M$2-1)=$I523,1,0)</f>
        <v>#N/A</v>
      </c>
      <c r="N523" s="35" t="e">
        <f ca="1">IF(OFFSET($C$3,MATCH(I521,$B$3:$B$102,0)-1,N$2-1)=$I523,1,0)</f>
        <v>#N/A</v>
      </c>
    </row>
    <row r="524" spans="9:15" x14ac:dyDescent="0.25">
      <c r="I524" s="39">
        <v>2</v>
      </c>
      <c r="J524" s="43" t="e">
        <f ca="1">IF(OFFSET($C$3,MATCH(I521,$B$3:$B$102,0)-1,J$2-1)=$I524,1,0)</f>
        <v>#N/A</v>
      </c>
      <c r="K524" s="44" t="e">
        <f ca="1">IF(OFFSET($C$3,MATCH(I521,$B$3:$B$102,0)-1,K$2-1)=$I524,1,0)</f>
        <v>#N/A</v>
      </c>
      <c r="L524" s="44" t="e">
        <f ca="1">IF(OFFSET($C$3,MATCH(I521,$B$3:$B$102,0)-1,L$2-1)=$I524,1,0)</f>
        <v>#N/A</v>
      </c>
      <c r="M524" s="44" t="e">
        <f ca="1">IF(OFFSET($C$3,MATCH(I521,$B$3:$B$102,0)-1,M$2-1)=$I524,1,0)</f>
        <v>#N/A</v>
      </c>
      <c r="N524" s="45" t="e">
        <f ca="1">IF(OFFSET($C$3,MATCH(I521,$B$3:$B$102,0)-1,N$2-1)=$I524,1,0)</f>
        <v>#N/A</v>
      </c>
    </row>
    <row r="525" spans="9:15" ht="15.75" thickBot="1" x14ac:dyDescent="0.3">
      <c r="I525" s="39">
        <v>3</v>
      </c>
      <c r="J525" s="36" t="e">
        <f ca="1">IF(OFFSET($C$3,MATCH(I521,$B$3:$B$102,0)-1,J$2-1)=$I525,1,0)</f>
        <v>#N/A</v>
      </c>
      <c r="K525" s="37" t="e">
        <f ca="1">IF(OFFSET($C$3,MATCH(I521,$B$3:$B$102,0)-1,K$2-1)=$I525,1,0)</f>
        <v>#N/A</v>
      </c>
      <c r="L525" s="37" t="e">
        <f ca="1">IF(OFFSET($C$3,MATCH(I521,$B$3:$B$102,0)-1,L$2-1)=$I525,1,0)</f>
        <v>#N/A</v>
      </c>
      <c r="M525" s="37" t="e">
        <f ca="1">IF(OFFSET($C$3,MATCH(I521,$B$3:$B$102,0)-1,M$2-1)=$I525,1,0)</f>
        <v>#N/A</v>
      </c>
      <c r="N525" s="38" t="e">
        <f ca="1">IF(OFFSET($C$3,MATCH(I521,$B$3:$B$102,0)-1,N$2-1)=$I525,1,0)</f>
        <v>#N/A</v>
      </c>
    </row>
    <row r="526" spans="9:15" x14ac:dyDescent="0.25">
      <c r="I526" s="39"/>
      <c r="J526" s="20"/>
      <c r="K526" s="20"/>
      <c r="L526" s="20"/>
      <c r="M526" s="20"/>
      <c r="N526" s="20"/>
    </row>
    <row r="527" spans="9:15" ht="15.75" thickBot="1" x14ac:dyDescent="0.3">
      <c r="I527" t="str">
        <f>MID(I521,1,5)&amp;MID(I521,6,2)+1</f>
        <v>Line_55</v>
      </c>
      <c r="O527" s="40">
        <f>VALUE(MID($I527,6,3))</f>
        <v>55</v>
      </c>
    </row>
    <row r="528" spans="9:15" x14ac:dyDescent="0.25">
      <c r="I528" s="39">
        <v>0</v>
      </c>
      <c r="J528" s="30" t="e">
        <f ca="1">IF(OFFSET($C$3,MATCH(I527,$B$3:$B$102,0)-1,J$2-1)=$I528,1,0)</f>
        <v>#N/A</v>
      </c>
      <c r="K528" s="31" t="e">
        <f ca="1">IF(OFFSET($C$3,MATCH(I527,$B$3:$B$102,0)-1,K$2-1)=$I528,1,0)</f>
        <v>#N/A</v>
      </c>
      <c r="L528" s="31" t="e">
        <f ca="1">IF(OFFSET($C$3,MATCH(I527,$B$3:$B$102,0)-1,L$2-1)=$I528,1,0)</f>
        <v>#N/A</v>
      </c>
      <c r="M528" s="31" t="e">
        <f ca="1">IF(OFFSET($C$3,MATCH(I527,$B$3:$B$102,0)-1,M$2-1)=$I528,1,0)</f>
        <v>#N/A</v>
      </c>
      <c r="N528" s="32" t="e">
        <f ca="1">IF(OFFSET($C$3,MATCH(I527,$B$3:$B$102,0)-1,N$2-1)=$I528,1,0)</f>
        <v>#N/A</v>
      </c>
    </row>
    <row r="529" spans="9:15" x14ac:dyDescent="0.25">
      <c r="I529" s="39">
        <v>1</v>
      </c>
      <c r="J529" s="33" t="e">
        <f ca="1">IF(OFFSET($C$3,MATCH(I527,$B$3:$B$102,0)-1,J$2-1)=$I529,1,0)</f>
        <v>#N/A</v>
      </c>
      <c r="K529" s="34" t="e">
        <f ca="1">IF(OFFSET($C$3,MATCH(I527,$B$3:$B$102,0)-1,K$2-1)=$I529,1,0)</f>
        <v>#N/A</v>
      </c>
      <c r="L529" s="34" t="e">
        <f ca="1">IF(OFFSET($C$3,MATCH(I527,$B$3:$B$102,0)-1,L$2-1)=$I529,1,0)</f>
        <v>#N/A</v>
      </c>
      <c r="M529" s="34" t="e">
        <f ca="1">IF(OFFSET($C$3,MATCH(I527,$B$3:$B$102,0)-1,M$2-1)=$I529,1,0)</f>
        <v>#N/A</v>
      </c>
      <c r="N529" s="35" t="e">
        <f ca="1">IF(OFFSET($C$3,MATCH(I527,$B$3:$B$102,0)-1,N$2-1)=$I529,1,0)</f>
        <v>#N/A</v>
      </c>
    </row>
    <row r="530" spans="9:15" x14ac:dyDescent="0.25">
      <c r="I530" s="39">
        <v>2</v>
      </c>
      <c r="J530" s="43" t="e">
        <f ca="1">IF(OFFSET($C$3,MATCH(I527,$B$3:$B$102,0)-1,J$2-1)=$I530,1,0)</f>
        <v>#N/A</v>
      </c>
      <c r="K530" s="44" t="e">
        <f ca="1">IF(OFFSET($C$3,MATCH(I527,$B$3:$B$102,0)-1,K$2-1)=$I530,1,0)</f>
        <v>#N/A</v>
      </c>
      <c r="L530" s="44" t="e">
        <f ca="1">IF(OFFSET($C$3,MATCH(I527,$B$3:$B$102,0)-1,L$2-1)=$I530,1,0)</f>
        <v>#N/A</v>
      </c>
      <c r="M530" s="44" t="e">
        <f ca="1">IF(OFFSET($C$3,MATCH(I527,$B$3:$B$102,0)-1,M$2-1)=$I530,1,0)</f>
        <v>#N/A</v>
      </c>
      <c r="N530" s="45" t="e">
        <f ca="1">IF(OFFSET($C$3,MATCH(I527,$B$3:$B$102,0)-1,N$2-1)=$I530,1,0)</f>
        <v>#N/A</v>
      </c>
    </row>
    <row r="531" spans="9:15" ht="15.75" thickBot="1" x14ac:dyDescent="0.3">
      <c r="I531" s="39">
        <v>3</v>
      </c>
      <c r="J531" s="36" t="e">
        <f ca="1">IF(OFFSET($C$3,MATCH(I527,$B$3:$B$102,0)-1,J$2-1)=$I531,1,0)</f>
        <v>#N/A</v>
      </c>
      <c r="K531" s="37" t="e">
        <f ca="1">IF(OFFSET($C$3,MATCH(I527,$B$3:$B$102,0)-1,K$2-1)=$I531,1,0)</f>
        <v>#N/A</v>
      </c>
      <c r="L531" s="37" t="e">
        <f ca="1">IF(OFFSET($C$3,MATCH(I527,$B$3:$B$102,0)-1,L$2-1)=$I531,1,0)</f>
        <v>#N/A</v>
      </c>
      <c r="M531" s="37" t="e">
        <f ca="1">IF(OFFSET($C$3,MATCH(I527,$B$3:$B$102,0)-1,M$2-1)=$I531,1,0)</f>
        <v>#N/A</v>
      </c>
      <c r="N531" s="38" t="e">
        <f ca="1">IF(OFFSET($C$3,MATCH(I527,$B$3:$B$102,0)-1,N$2-1)=$I531,1,0)</f>
        <v>#N/A</v>
      </c>
    </row>
    <row r="532" spans="9:15" x14ac:dyDescent="0.25">
      <c r="I532" s="39"/>
    </row>
    <row r="533" spans="9:15" ht="15.75" thickBot="1" x14ac:dyDescent="0.3">
      <c r="I533" t="str">
        <f>MID(I527,1,5)&amp;MID(I527,6,2)+1</f>
        <v>Line_56</v>
      </c>
      <c r="O533" s="40">
        <f>VALUE(MID($I533,6,3))</f>
        <v>56</v>
      </c>
    </row>
    <row r="534" spans="9:15" x14ac:dyDescent="0.25">
      <c r="I534" s="39">
        <v>0</v>
      </c>
      <c r="J534" s="30" t="e">
        <f ca="1">IF(OFFSET($C$3,MATCH(I533,$B$3:$B$102,0)-1,J$2-1)=$I534,1,0)</f>
        <v>#N/A</v>
      </c>
      <c r="K534" s="31" t="e">
        <f ca="1">IF(OFFSET($C$3,MATCH(I533,$B$3:$B$102,0)-1,K$2-1)=$I534,1,0)</f>
        <v>#N/A</v>
      </c>
      <c r="L534" s="31" t="e">
        <f ca="1">IF(OFFSET($C$3,MATCH(I533,$B$3:$B$102,0)-1,L$2-1)=$I534,1,0)</f>
        <v>#N/A</v>
      </c>
      <c r="M534" s="31" t="e">
        <f ca="1">IF(OFFSET($C$3,MATCH(I533,$B$3:$B$102,0)-1,M$2-1)=$I534,1,0)</f>
        <v>#N/A</v>
      </c>
      <c r="N534" s="32" t="e">
        <f ca="1">IF(OFFSET($C$3,MATCH(I533,$B$3:$B$102,0)-1,N$2-1)=$I534,1,0)</f>
        <v>#N/A</v>
      </c>
    </row>
    <row r="535" spans="9:15" x14ac:dyDescent="0.25">
      <c r="I535" s="39">
        <v>1</v>
      </c>
      <c r="J535" s="33" t="e">
        <f ca="1">IF(OFFSET($C$3,MATCH(I533,$B$3:$B$102,0)-1,J$2-1)=$I535,1,0)</f>
        <v>#N/A</v>
      </c>
      <c r="K535" s="34" t="e">
        <f ca="1">IF(OFFSET($C$3,MATCH(I533,$B$3:$B$102,0)-1,K$2-1)=$I535,1,0)</f>
        <v>#N/A</v>
      </c>
      <c r="L535" s="34" t="e">
        <f ca="1">IF(OFFSET($C$3,MATCH(I533,$B$3:$B$102,0)-1,L$2-1)=$I535,1,0)</f>
        <v>#N/A</v>
      </c>
      <c r="M535" s="34" t="e">
        <f ca="1">IF(OFFSET($C$3,MATCH(I533,$B$3:$B$102,0)-1,M$2-1)=$I535,1,0)</f>
        <v>#N/A</v>
      </c>
      <c r="N535" s="35" t="e">
        <f ca="1">IF(OFFSET($C$3,MATCH(I533,$B$3:$B$102,0)-1,N$2-1)=$I535,1,0)</f>
        <v>#N/A</v>
      </c>
    </row>
    <row r="536" spans="9:15" x14ac:dyDescent="0.25">
      <c r="I536" s="39">
        <v>2</v>
      </c>
      <c r="J536" s="43" t="e">
        <f ca="1">IF(OFFSET($C$3,MATCH(I533,$B$3:$B$102,0)-1,J$2-1)=$I536,1,0)</f>
        <v>#N/A</v>
      </c>
      <c r="K536" s="44" t="e">
        <f ca="1">IF(OFFSET($C$3,MATCH(I533,$B$3:$B$102,0)-1,K$2-1)=$I536,1,0)</f>
        <v>#N/A</v>
      </c>
      <c r="L536" s="44" t="e">
        <f ca="1">IF(OFFSET($C$3,MATCH(I533,$B$3:$B$102,0)-1,L$2-1)=$I536,1,0)</f>
        <v>#N/A</v>
      </c>
      <c r="M536" s="44" t="e">
        <f ca="1">IF(OFFSET($C$3,MATCH(I533,$B$3:$B$102,0)-1,M$2-1)=$I536,1,0)</f>
        <v>#N/A</v>
      </c>
      <c r="N536" s="45" t="e">
        <f ca="1">IF(OFFSET($C$3,MATCH(I533,$B$3:$B$102,0)-1,N$2-1)=$I536,1,0)</f>
        <v>#N/A</v>
      </c>
    </row>
    <row r="537" spans="9:15" ht="15.75" thickBot="1" x14ac:dyDescent="0.3">
      <c r="I537" s="39">
        <v>3</v>
      </c>
      <c r="J537" s="36" t="e">
        <f ca="1">IF(OFFSET($C$3,MATCH(I533,$B$3:$B$102,0)-1,J$2-1)=$I537,1,0)</f>
        <v>#N/A</v>
      </c>
      <c r="K537" s="37" t="e">
        <f ca="1">IF(OFFSET($C$3,MATCH(I533,$B$3:$B$102,0)-1,K$2-1)=$I537,1,0)</f>
        <v>#N/A</v>
      </c>
      <c r="L537" s="37" t="e">
        <f ca="1">IF(OFFSET($C$3,MATCH(I533,$B$3:$B$102,0)-1,L$2-1)=$I537,1,0)</f>
        <v>#N/A</v>
      </c>
      <c r="M537" s="37" t="e">
        <f ca="1">IF(OFFSET($C$3,MATCH(I533,$B$3:$B$102,0)-1,M$2-1)=$I537,1,0)</f>
        <v>#N/A</v>
      </c>
      <c r="N537" s="38" t="e">
        <f ca="1">IF(OFFSET($C$3,MATCH(I533,$B$3:$B$102,0)-1,N$2-1)=$I537,1,0)</f>
        <v>#N/A</v>
      </c>
    </row>
    <row r="539" spans="9:15" ht="15.75" thickBot="1" x14ac:dyDescent="0.3">
      <c r="I539" t="str">
        <f>MID(I533,1,5)&amp;MID(I533,6,2)+1</f>
        <v>Line_57</v>
      </c>
      <c r="O539" s="40">
        <f>VALUE(MID($I539,6,3))</f>
        <v>57</v>
      </c>
    </row>
    <row r="540" spans="9:15" x14ac:dyDescent="0.25">
      <c r="I540" s="39">
        <v>0</v>
      </c>
      <c r="J540" s="30" t="e">
        <f ca="1">IF(OFFSET($C$3,MATCH(I539,$B$3:$B$102,0)-1,J$2-1)=$I540,1,0)</f>
        <v>#N/A</v>
      </c>
      <c r="K540" s="31" t="e">
        <f ca="1">IF(OFFSET($C$3,MATCH(I539,$B$3:$B$102,0)-1,K$2-1)=$I540,1,0)</f>
        <v>#N/A</v>
      </c>
      <c r="L540" s="31" t="e">
        <f ca="1">IF(OFFSET($C$3,MATCH(I539,$B$3:$B$102,0)-1,L$2-1)=$I540,1,0)</f>
        <v>#N/A</v>
      </c>
      <c r="M540" s="31" t="e">
        <f ca="1">IF(OFFSET($C$3,MATCH(I539,$B$3:$B$102,0)-1,M$2-1)=$I540,1,0)</f>
        <v>#N/A</v>
      </c>
      <c r="N540" s="32" t="e">
        <f ca="1">IF(OFFSET($C$3,MATCH(I539,$B$3:$B$102,0)-1,N$2-1)=$I540,1,0)</f>
        <v>#N/A</v>
      </c>
    </row>
    <row r="541" spans="9:15" x14ac:dyDescent="0.25">
      <c r="I541" s="39">
        <v>1</v>
      </c>
      <c r="J541" s="33" t="e">
        <f ca="1">IF(OFFSET($C$3,MATCH(I539,$B$3:$B$102,0)-1,J$2-1)=$I541,1,0)</f>
        <v>#N/A</v>
      </c>
      <c r="K541" s="34" t="e">
        <f ca="1">IF(OFFSET($C$3,MATCH(I539,$B$3:$B$102,0)-1,K$2-1)=$I541,1,0)</f>
        <v>#N/A</v>
      </c>
      <c r="L541" s="34" t="e">
        <f ca="1">IF(OFFSET($C$3,MATCH(I539,$B$3:$B$102,0)-1,L$2-1)=$I541,1,0)</f>
        <v>#N/A</v>
      </c>
      <c r="M541" s="34" t="e">
        <f ca="1">IF(OFFSET($C$3,MATCH(I539,$B$3:$B$102,0)-1,M$2-1)=$I541,1,0)</f>
        <v>#N/A</v>
      </c>
      <c r="N541" s="35" t="e">
        <f ca="1">IF(OFFSET($C$3,MATCH(I539,$B$3:$B$102,0)-1,N$2-1)=$I541,1,0)</f>
        <v>#N/A</v>
      </c>
    </row>
    <row r="542" spans="9:15" x14ac:dyDescent="0.25">
      <c r="I542" s="39">
        <v>2</v>
      </c>
      <c r="J542" s="43" t="e">
        <f ca="1">IF(OFFSET($C$3,MATCH(I539,$B$3:$B$102,0)-1,J$2-1)=$I542,1,0)</f>
        <v>#N/A</v>
      </c>
      <c r="K542" s="44" t="e">
        <f ca="1">IF(OFFSET($C$3,MATCH(I539,$B$3:$B$102,0)-1,K$2-1)=$I542,1,0)</f>
        <v>#N/A</v>
      </c>
      <c r="L542" s="44" t="e">
        <f ca="1">IF(OFFSET($C$3,MATCH(I539,$B$3:$B$102,0)-1,L$2-1)=$I542,1,0)</f>
        <v>#N/A</v>
      </c>
      <c r="M542" s="44" t="e">
        <f ca="1">IF(OFFSET($C$3,MATCH(I539,$B$3:$B$102,0)-1,M$2-1)=$I542,1,0)</f>
        <v>#N/A</v>
      </c>
      <c r="N542" s="45" t="e">
        <f ca="1">IF(OFFSET($C$3,MATCH(I539,$B$3:$B$102,0)-1,N$2-1)=$I542,1,0)</f>
        <v>#N/A</v>
      </c>
    </row>
    <row r="543" spans="9:15" ht="15.75" thickBot="1" x14ac:dyDescent="0.3">
      <c r="I543" s="39">
        <v>3</v>
      </c>
      <c r="J543" s="36" t="e">
        <f ca="1">IF(OFFSET($C$3,MATCH(I539,$B$3:$B$102,0)-1,J$2-1)=$I543,1,0)</f>
        <v>#N/A</v>
      </c>
      <c r="K543" s="37" t="e">
        <f ca="1">IF(OFFSET($C$3,MATCH(I539,$B$3:$B$102,0)-1,K$2-1)=$I543,1,0)</f>
        <v>#N/A</v>
      </c>
      <c r="L543" s="37" t="e">
        <f ca="1">IF(OFFSET($C$3,MATCH(I539,$B$3:$B$102,0)-1,L$2-1)=$I543,1,0)</f>
        <v>#N/A</v>
      </c>
      <c r="M543" s="37" t="e">
        <f ca="1">IF(OFFSET($C$3,MATCH(I539,$B$3:$B$102,0)-1,M$2-1)=$I543,1,0)</f>
        <v>#N/A</v>
      </c>
      <c r="N543" s="38" t="e">
        <f ca="1">IF(OFFSET($C$3,MATCH(I539,$B$3:$B$102,0)-1,N$2-1)=$I543,1,0)</f>
        <v>#N/A</v>
      </c>
    </row>
    <row r="544" spans="9:15" x14ac:dyDescent="0.25">
      <c r="J544" s="20"/>
      <c r="K544" s="20"/>
      <c r="L544" s="20"/>
      <c r="M544" s="20"/>
      <c r="N544" s="20"/>
    </row>
    <row r="545" spans="9:15" ht="15.75" thickBot="1" x14ac:dyDescent="0.3">
      <c r="I545" t="str">
        <f>MID(I539,1,5)&amp;MID(I539,6,2)+1</f>
        <v>Line_58</v>
      </c>
      <c r="O545" s="40">
        <f>VALUE(MID($I545,6,3))</f>
        <v>58</v>
      </c>
    </row>
    <row r="546" spans="9:15" x14ac:dyDescent="0.25">
      <c r="I546" s="39">
        <v>0</v>
      </c>
      <c r="J546" s="30" t="e">
        <f ca="1">IF(OFFSET($C$3,MATCH(I545,$B$3:$B$102,0)-1,J$2-1)=$I546,1,0)</f>
        <v>#N/A</v>
      </c>
      <c r="K546" s="31" t="e">
        <f ca="1">IF(OFFSET($C$3,MATCH(I545,$B$3:$B$102,0)-1,K$2-1)=$I546,1,0)</f>
        <v>#N/A</v>
      </c>
      <c r="L546" s="31" t="e">
        <f ca="1">IF(OFFSET($C$3,MATCH(I545,$B$3:$B$102,0)-1,L$2-1)=$I546,1,0)</f>
        <v>#N/A</v>
      </c>
      <c r="M546" s="31" t="e">
        <f ca="1">IF(OFFSET($C$3,MATCH(I545,$B$3:$B$102,0)-1,M$2-1)=$I546,1,0)</f>
        <v>#N/A</v>
      </c>
      <c r="N546" s="32" t="e">
        <f ca="1">IF(OFFSET($C$3,MATCH(I545,$B$3:$B$102,0)-1,N$2-1)=$I546,1,0)</f>
        <v>#N/A</v>
      </c>
    </row>
    <row r="547" spans="9:15" x14ac:dyDescent="0.25">
      <c r="I547" s="39">
        <v>1</v>
      </c>
      <c r="J547" s="33" t="e">
        <f ca="1">IF(OFFSET($C$3,MATCH(I545,$B$3:$B$102,0)-1,J$2-1)=$I547,1,0)</f>
        <v>#N/A</v>
      </c>
      <c r="K547" s="34" t="e">
        <f ca="1">IF(OFFSET($C$3,MATCH(I545,$B$3:$B$102,0)-1,K$2-1)=$I547,1,0)</f>
        <v>#N/A</v>
      </c>
      <c r="L547" s="34" t="e">
        <f ca="1">IF(OFFSET($C$3,MATCH(I545,$B$3:$B$102,0)-1,L$2-1)=$I547,1,0)</f>
        <v>#N/A</v>
      </c>
      <c r="M547" s="34" t="e">
        <f ca="1">IF(OFFSET($C$3,MATCH(I545,$B$3:$B$102,0)-1,M$2-1)=$I547,1,0)</f>
        <v>#N/A</v>
      </c>
      <c r="N547" s="35" t="e">
        <f ca="1">IF(OFFSET($C$3,MATCH(I545,$B$3:$B$102,0)-1,N$2-1)=$I547,1,0)</f>
        <v>#N/A</v>
      </c>
    </row>
    <row r="548" spans="9:15" x14ac:dyDescent="0.25">
      <c r="I548" s="39">
        <v>2</v>
      </c>
      <c r="J548" s="43" t="e">
        <f ca="1">IF(OFFSET($C$3,MATCH(I545,$B$3:$B$102,0)-1,J$2-1)=$I548,1,0)</f>
        <v>#N/A</v>
      </c>
      <c r="K548" s="44" t="e">
        <f ca="1">IF(OFFSET($C$3,MATCH(I545,$B$3:$B$102,0)-1,K$2-1)=$I548,1,0)</f>
        <v>#N/A</v>
      </c>
      <c r="L548" s="44" t="e">
        <f ca="1">IF(OFFSET($C$3,MATCH(I545,$B$3:$B$102,0)-1,L$2-1)=$I548,1,0)</f>
        <v>#N/A</v>
      </c>
      <c r="M548" s="44" t="e">
        <f ca="1">IF(OFFSET($C$3,MATCH(I545,$B$3:$B$102,0)-1,M$2-1)=$I548,1,0)</f>
        <v>#N/A</v>
      </c>
      <c r="N548" s="45" t="e">
        <f ca="1">IF(OFFSET($C$3,MATCH(I545,$B$3:$B$102,0)-1,N$2-1)=$I548,1,0)</f>
        <v>#N/A</v>
      </c>
    </row>
    <row r="549" spans="9:15" ht="15.75" thickBot="1" x14ac:dyDescent="0.3">
      <c r="I549" s="39">
        <v>3</v>
      </c>
      <c r="J549" s="36" t="e">
        <f ca="1">IF(OFFSET($C$3,MATCH(I545,$B$3:$B$102,0)-1,J$2-1)=$I549,1,0)</f>
        <v>#N/A</v>
      </c>
      <c r="K549" s="37" t="e">
        <f ca="1">IF(OFFSET($C$3,MATCH(I545,$B$3:$B$102,0)-1,K$2-1)=$I549,1,0)</f>
        <v>#N/A</v>
      </c>
      <c r="L549" s="37" t="e">
        <f ca="1">IF(OFFSET($C$3,MATCH(I545,$B$3:$B$102,0)-1,L$2-1)=$I549,1,0)</f>
        <v>#N/A</v>
      </c>
      <c r="M549" s="37" t="e">
        <f ca="1">IF(OFFSET($C$3,MATCH(I545,$B$3:$B$102,0)-1,M$2-1)=$I549,1,0)</f>
        <v>#N/A</v>
      </c>
      <c r="N549" s="38" t="e">
        <f ca="1">IF(OFFSET($C$3,MATCH(I545,$B$3:$B$102,0)-1,N$2-1)=$I549,1,0)</f>
        <v>#N/A</v>
      </c>
    </row>
    <row r="550" spans="9:15" x14ac:dyDescent="0.25">
      <c r="I550" s="39"/>
    </row>
    <row r="551" spans="9:15" ht="15.75" thickBot="1" x14ac:dyDescent="0.3">
      <c r="I551" t="str">
        <f>MID(I545,1,5)&amp;MID(I545,6,2)+1</f>
        <v>Line_59</v>
      </c>
      <c r="O551" s="40">
        <f>VALUE(MID($I551,6,3))</f>
        <v>59</v>
      </c>
    </row>
    <row r="552" spans="9:15" x14ac:dyDescent="0.25">
      <c r="I552" s="39">
        <v>0</v>
      </c>
      <c r="J552" s="30" t="e">
        <f ca="1">IF(OFFSET($C$3,MATCH(I551,$B$3:$B$102,0)-1,J$2-1)=$I552,1,0)</f>
        <v>#N/A</v>
      </c>
      <c r="K552" s="31" t="e">
        <f ca="1">IF(OFFSET($C$3,MATCH(I551,$B$3:$B$102,0)-1,K$2-1)=$I552,1,0)</f>
        <v>#N/A</v>
      </c>
      <c r="L552" s="31" t="e">
        <f ca="1">IF(OFFSET($C$3,MATCH(I551,$B$3:$B$102,0)-1,L$2-1)=$I552,1,0)</f>
        <v>#N/A</v>
      </c>
      <c r="M552" s="31" t="e">
        <f ca="1">IF(OFFSET($C$3,MATCH(I551,$B$3:$B$102,0)-1,M$2-1)=$I552,1,0)</f>
        <v>#N/A</v>
      </c>
      <c r="N552" s="32" t="e">
        <f ca="1">IF(OFFSET($C$3,MATCH(I551,$B$3:$B$102,0)-1,N$2-1)=$I552,1,0)</f>
        <v>#N/A</v>
      </c>
    </row>
    <row r="553" spans="9:15" x14ac:dyDescent="0.25">
      <c r="I553" s="39">
        <v>1</v>
      </c>
      <c r="J553" s="33" t="e">
        <f ca="1">IF(OFFSET($C$3,MATCH(I551,$B$3:$B$102,0)-1,J$2-1)=$I553,1,0)</f>
        <v>#N/A</v>
      </c>
      <c r="K553" s="34" t="e">
        <f ca="1">IF(OFFSET($C$3,MATCH(I551,$B$3:$B$102,0)-1,K$2-1)=$I553,1,0)</f>
        <v>#N/A</v>
      </c>
      <c r="L553" s="34" t="e">
        <f ca="1">IF(OFFSET($C$3,MATCH(I551,$B$3:$B$102,0)-1,L$2-1)=$I553,1,0)</f>
        <v>#N/A</v>
      </c>
      <c r="M553" s="34" t="e">
        <f ca="1">IF(OFFSET($C$3,MATCH(I551,$B$3:$B$102,0)-1,M$2-1)=$I553,1,0)</f>
        <v>#N/A</v>
      </c>
      <c r="N553" s="35" t="e">
        <f ca="1">IF(OFFSET($C$3,MATCH(I551,$B$3:$B$102,0)-1,N$2-1)=$I553,1,0)</f>
        <v>#N/A</v>
      </c>
    </row>
    <row r="554" spans="9:15" x14ac:dyDescent="0.25">
      <c r="I554" s="39">
        <v>2</v>
      </c>
      <c r="J554" s="43" t="e">
        <f ca="1">IF(OFFSET($C$3,MATCH(I551,$B$3:$B$102,0)-1,J$2-1)=$I554,1,0)</f>
        <v>#N/A</v>
      </c>
      <c r="K554" s="44" t="e">
        <f ca="1">IF(OFFSET($C$3,MATCH(I551,$B$3:$B$102,0)-1,K$2-1)=$I554,1,0)</f>
        <v>#N/A</v>
      </c>
      <c r="L554" s="44" t="e">
        <f ca="1">IF(OFFSET($C$3,MATCH(I551,$B$3:$B$102,0)-1,L$2-1)=$I554,1,0)</f>
        <v>#N/A</v>
      </c>
      <c r="M554" s="44" t="e">
        <f ca="1">IF(OFFSET($C$3,MATCH(I551,$B$3:$B$102,0)-1,M$2-1)=$I554,1,0)</f>
        <v>#N/A</v>
      </c>
      <c r="N554" s="45" t="e">
        <f ca="1">IF(OFFSET($C$3,MATCH(I551,$B$3:$B$102,0)-1,N$2-1)=$I554,1,0)</f>
        <v>#N/A</v>
      </c>
    </row>
    <row r="555" spans="9:15" ht="15.75" thickBot="1" x14ac:dyDescent="0.3">
      <c r="I555" s="39">
        <v>3</v>
      </c>
      <c r="J555" s="36" t="e">
        <f ca="1">IF(OFFSET($C$3,MATCH(I551,$B$3:$B$102,0)-1,J$2-1)=$I555,1,0)</f>
        <v>#N/A</v>
      </c>
      <c r="K555" s="37" t="e">
        <f ca="1">IF(OFFSET($C$3,MATCH(I551,$B$3:$B$102,0)-1,K$2-1)=$I555,1,0)</f>
        <v>#N/A</v>
      </c>
      <c r="L555" s="37" t="e">
        <f ca="1">IF(OFFSET($C$3,MATCH(I551,$B$3:$B$102,0)-1,L$2-1)=$I555,1,0)</f>
        <v>#N/A</v>
      </c>
      <c r="M555" s="37" t="e">
        <f ca="1">IF(OFFSET($C$3,MATCH(I551,$B$3:$B$102,0)-1,M$2-1)=$I555,1,0)</f>
        <v>#N/A</v>
      </c>
      <c r="N555" s="38" t="e">
        <f ca="1">IF(OFFSET($C$3,MATCH(I551,$B$3:$B$102,0)-1,N$2-1)=$I555,1,0)</f>
        <v>#N/A</v>
      </c>
    </row>
    <row r="556" spans="9:15" x14ac:dyDescent="0.25">
      <c r="J556" s="20"/>
      <c r="K556" s="20"/>
      <c r="L556" s="20"/>
      <c r="M556" s="20"/>
      <c r="N556" s="20"/>
    </row>
    <row r="557" spans="9:15" ht="15.75" thickBot="1" x14ac:dyDescent="0.3">
      <c r="I557" t="str">
        <f>MID(I551,1,5)&amp;MID(I551,6,2)+1</f>
        <v>Line_60</v>
      </c>
      <c r="O557" s="40">
        <f>VALUE(MID($I557,6,3))</f>
        <v>60</v>
      </c>
    </row>
    <row r="558" spans="9:15" x14ac:dyDescent="0.25">
      <c r="I558" s="39">
        <v>0</v>
      </c>
      <c r="J558" s="30" t="e">
        <f ca="1">IF(OFFSET($C$3,MATCH(I557,$B$3:$B$102,0)-1,J$2-1)=$I558,1,0)</f>
        <v>#N/A</v>
      </c>
      <c r="K558" s="31" t="e">
        <f ca="1">IF(OFFSET($C$3,MATCH(I557,$B$3:$B$102,0)-1,K$2-1)=$I558,1,0)</f>
        <v>#N/A</v>
      </c>
      <c r="L558" s="31" t="e">
        <f ca="1">IF(OFFSET($C$3,MATCH(I557,$B$3:$B$102,0)-1,L$2-1)=$I558,1,0)</f>
        <v>#N/A</v>
      </c>
      <c r="M558" s="31" t="e">
        <f ca="1">IF(OFFSET($C$3,MATCH(I557,$B$3:$B$102,0)-1,M$2-1)=$I558,1,0)</f>
        <v>#N/A</v>
      </c>
      <c r="N558" s="32" t="e">
        <f ca="1">IF(OFFSET($C$3,MATCH(I557,$B$3:$B$102,0)-1,N$2-1)=$I558,1,0)</f>
        <v>#N/A</v>
      </c>
    </row>
    <row r="559" spans="9:15" x14ac:dyDescent="0.25">
      <c r="I559" s="39">
        <v>1</v>
      </c>
      <c r="J559" s="33" t="e">
        <f ca="1">IF(OFFSET($C$3,MATCH(I557,$B$3:$B$102,0)-1,J$2-1)=$I559,1,0)</f>
        <v>#N/A</v>
      </c>
      <c r="K559" s="34" t="e">
        <f ca="1">IF(OFFSET($C$3,MATCH(I557,$B$3:$B$102,0)-1,K$2-1)=$I559,1,0)</f>
        <v>#N/A</v>
      </c>
      <c r="L559" s="34" t="e">
        <f ca="1">IF(OFFSET($C$3,MATCH(I557,$B$3:$B$102,0)-1,L$2-1)=$I559,1,0)</f>
        <v>#N/A</v>
      </c>
      <c r="M559" s="34" t="e">
        <f ca="1">IF(OFFSET($C$3,MATCH(I557,$B$3:$B$102,0)-1,M$2-1)=$I559,1,0)</f>
        <v>#N/A</v>
      </c>
      <c r="N559" s="35" t="e">
        <f ca="1">IF(OFFSET($C$3,MATCH(I557,$B$3:$B$102,0)-1,N$2-1)=$I559,1,0)</f>
        <v>#N/A</v>
      </c>
    </row>
    <row r="560" spans="9:15" x14ac:dyDescent="0.25">
      <c r="I560" s="39">
        <v>2</v>
      </c>
      <c r="J560" s="43" t="e">
        <f ca="1">IF(OFFSET($C$3,MATCH(I557,$B$3:$B$102,0)-1,J$2-1)=$I560,1,0)</f>
        <v>#N/A</v>
      </c>
      <c r="K560" s="44" t="e">
        <f ca="1">IF(OFFSET($C$3,MATCH(I557,$B$3:$B$102,0)-1,K$2-1)=$I560,1,0)</f>
        <v>#N/A</v>
      </c>
      <c r="L560" s="44" t="e">
        <f ca="1">IF(OFFSET($C$3,MATCH(I557,$B$3:$B$102,0)-1,L$2-1)=$I560,1,0)</f>
        <v>#N/A</v>
      </c>
      <c r="M560" s="44" t="e">
        <f ca="1">IF(OFFSET($C$3,MATCH(I557,$B$3:$B$102,0)-1,M$2-1)=$I560,1,0)</f>
        <v>#N/A</v>
      </c>
      <c r="N560" s="45" t="e">
        <f ca="1">IF(OFFSET($C$3,MATCH(I557,$B$3:$B$102,0)-1,N$2-1)=$I560,1,0)</f>
        <v>#N/A</v>
      </c>
    </row>
    <row r="561" spans="9:15" ht="15.75" thickBot="1" x14ac:dyDescent="0.3">
      <c r="I561" s="39">
        <v>3</v>
      </c>
      <c r="J561" s="36" t="e">
        <f ca="1">IF(OFFSET($C$3,MATCH(I557,$B$3:$B$102,0)-1,J$2-1)=$I561,1,0)</f>
        <v>#N/A</v>
      </c>
      <c r="K561" s="37" t="e">
        <f ca="1">IF(OFFSET($C$3,MATCH(I557,$B$3:$B$102,0)-1,K$2-1)=$I561,1,0)</f>
        <v>#N/A</v>
      </c>
      <c r="L561" s="37" t="e">
        <f ca="1">IF(OFFSET($C$3,MATCH(I557,$B$3:$B$102,0)-1,L$2-1)=$I561,1,0)</f>
        <v>#N/A</v>
      </c>
      <c r="M561" s="37" t="e">
        <f ca="1">IF(OFFSET($C$3,MATCH(I557,$B$3:$B$102,0)-1,M$2-1)=$I561,1,0)</f>
        <v>#N/A</v>
      </c>
      <c r="N561" s="38" t="e">
        <f ca="1">IF(OFFSET($C$3,MATCH(I557,$B$3:$B$102,0)-1,N$2-1)=$I561,1,0)</f>
        <v>#N/A</v>
      </c>
    </row>
    <row r="562" spans="9:15" x14ac:dyDescent="0.25">
      <c r="I562" s="39"/>
      <c r="J562" s="42"/>
      <c r="K562" s="42"/>
      <c r="L562" s="42"/>
      <c r="M562" s="42"/>
      <c r="N562" s="42"/>
    </row>
    <row r="563" spans="9:15" ht="15.75" thickBot="1" x14ac:dyDescent="0.3">
      <c r="I563" t="str">
        <f>MID(I557,1,5)&amp;MID(I557,6,2)+1</f>
        <v>Line_61</v>
      </c>
      <c r="O563" s="40">
        <f>VALUE(MID($I563,6,3))</f>
        <v>61</v>
      </c>
    </row>
    <row r="564" spans="9:15" x14ac:dyDescent="0.25">
      <c r="I564" s="39">
        <v>0</v>
      </c>
      <c r="J564" s="30" t="e">
        <f ca="1">IF(OFFSET($C$3,MATCH(I563,$B$3:$B$102,0)-1,J$2-1)=$I564,1,0)</f>
        <v>#N/A</v>
      </c>
      <c r="K564" s="31" t="e">
        <f ca="1">IF(OFFSET($C$3,MATCH(I563,$B$3:$B$102,0)-1,K$2-1)=$I564,1,0)</f>
        <v>#N/A</v>
      </c>
      <c r="L564" s="31" t="e">
        <f ca="1">IF(OFFSET($C$3,MATCH(I563,$B$3:$B$102,0)-1,L$2-1)=$I564,1,0)</f>
        <v>#N/A</v>
      </c>
      <c r="M564" s="31" t="e">
        <f ca="1">IF(OFFSET($C$3,MATCH(I563,$B$3:$B$102,0)-1,M$2-1)=$I564,1,0)</f>
        <v>#N/A</v>
      </c>
      <c r="N564" s="32" t="e">
        <f ca="1">IF(OFFSET($C$3,MATCH(I563,$B$3:$B$102,0)-1,N$2-1)=$I564,1,0)</f>
        <v>#N/A</v>
      </c>
    </row>
    <row r="565" spans="9:15" x14ac:dyDescent="0.25">
      <c r="I565" s="39">
        <v>1</v>
      </c>
      <c r="J565" s="33" t="e">
        <f ca="1">IF(OFFSET($C$3,MATCH(I563,$B$3:$B$102,0)-1,J$2-1)=$I565,1,0)</f>
        <v>#N/A</v>
      </c>
      <c r="K565" s="34" t="e">
        <f ca="1">IF(OFFSET($C$3,MATCH(I563,$B$3:$B$102,0)-1,K$2-1)=$I565,1,0)</f>
        <v>#N/A</v>
      </c>
      <c r="L565" s="34" t="e">
        <f ca="1">IF(OFFSET($C$3,MATCH(I563,$B$3:$B$102,0)-1,L$2-1)=$I565,1,0)</f>
        <v>#N/A</v>
      </c>
      <c r="M565" s="34" t="e">
        <f ca="1">IF(OFFSET($C$3,MATCH(I563,$B$3:$B$102,0)-1,M$2-1)=$I565,1,0)</f>
        <v>#N/A</v>
      </c>
      <c r="N565" s="35" t="e">
        <f ca="1">IF(OFFSET($C$3,MATCH(I563,$B$3:$B$102,0)-1,N$2-1)=$I565,1,0)</f>
        <v>#N/A</v>
      </c>
    </row>
    <row r="566" spans="9:15" x14ac:dyDescent="0.25">
      <c r="I566" s="39">
        <v>2</v>
      </c>
      <c r="J566" s="43" t="e">
        <f ca="1">IF(OFFSET($C$3,MATCH(I563,$B$3:$B$102,0)-1,J$2-1)=$I566,1,0)</f>
        <v>#N/A</v>
      </c>
      <c r="K566" s="44" t="e">
        <f ca="1">IF(OFFSET($C$3,MATCH(I563,$B$3:$B$102,0)-1,K$2-1)=$I566,1,0)</f>
        <v>#N/A</v>
      </c>
      <c r="L566" s="44" t="e">
        <f ca="1">IF(OFFSET($C$3,MATCH(I563,$B$3:$B$102,0)-1,L$2-1)=$I566,1,0)</f>
        <v>#N/A</v>
      </c>
      <c r="M566" s="44" t="e">
        <f ca="1">IF(OFFSET($C$3,MATCH(I563,$B$3:$B$102,0)-1,M$2-1)=$I566,1,0)</f>
        <v>#N/A</v>
      </c>
      <c r="N566" s="45" t="e">
        <f ca="1">IF(OFFSET($C$3,MATCH(I563,$B$3:$B$102,0)-1,N$2-1)=$I566,1,0)</f>
        <v>#N/A</v>
      </c>
    </row>
    <row r="567" spans="9:15" ht="15.75" thickBot="1" x14ac:dyDescent="0.3">
      <c r="I567" s="39">
        <v>3</v>
      </c>
      <c r="J567" s="36" t="e">
        <f ca="1">IF(OFFSET($C$3,MATCH(I563,$B$3:$B$102,0)-1,J$2-1)=$I567,1,0)</f>
        <v>#N/A</v>
      </c>
      <c r="K567" s="37" t="e">
        <f ca="1">IF(OFFSET($C$3,MATCH(I563,$B$3:$B$102,0)-1,K$2-1)=$I567,1,0)</f>
        <v>#N/A</v>
      </c>
      <c r="L567" s="37" t="e">
        <f ca="1">IF(OFFSET($C$3,MATCH(I563,$B$3:$B$102,0)-1,L$2-1)=$I567,1,0)</f>
        <v>#N/A</v>
      </c>
      <c r="M567" s="37" t="e">
        <f ca="1">IF(OFFSET($C$3,MATCH(I563,$B$3:$B$102,0)-1,M$2-1)=$I567,1,0)</f>
        <v>#N/A</v>
      </c>
      <c r="N567" s="38" t="e">
        <f ca="1">IF(OFFSET($C$3,MATCH(I563,$B$3:$B$102,0)-1,N$2-1)=$I567,1,0)</f>
        <v>#N/A</v>
      </c>
    </row>
    <row r="568" spans="9:15" x14ac:dyDescent="0.25">
      <c r="I568" s="39"/>
      <c r="J568" s="20"/>
      <c r="K568" s="20"/>
      <c r="L568" s="20"/>
      <c r="M568" s="20"/>
      <c r="N568" s="20"/>
    </row>
    <row r="569" spans="9:15" ht="15.75" thickBot="1" x14ac:dyDescent="0.3">
      <c r="I569" t="str">
        <f>MID(I563,1,5)&amp;MID(I563,6,2)+1</f>
        <v>Line_62</v>
      </c>
      <c r="O569" s="40">
        <f>VALUE(MID($I569,6,3))</f>
        <v>62</v>
      </c>
    </row>
    <row r="570" spans="9:15" x14ac:dyDescent="0.25">
      <c r="I570" s="39">
        <v>0</v>
      </c>
      <c r="J570" s="30" t="e">
        <f ca="1">IF(OFFSET($C$3,MATCH(I569,$B$3:$B$102,0)-1,J$2-1)=$I570,1,0)</f>
        <v>#N/A</v>
      </c>
      <c r="K570" s="31" t="e">
        <f ca="1">IF(OFFSET($C$3,MATCH(I569,$B$3:$B$102,0)-1,K$2-1)=$I570,1,0)</f>
        <v>#N/A</v>
      </c>
      <c r="L570" s="31" t="e">
        <f ca="1">IF(OFFSET($C$3,MATCH(I569,$B$3:$B$102,0)-1,L$2-1)=$I570,1,0)</f>
        <v>#N/A</v>
      </c>
      <c r="M570" s="31" t="e">
        <f ca="1">IF(OFFSET($C$3,MATCH(I569,$B$3:$B$102,0)-1,M$2-1)=$I570,1,0)</f>
        <v>#N/A</v>
      </c>
      <c r="N570" s="32" t="e">
        <f ca="1">IF(OFFSET($C$3,MATCH(I569,$B$3:$B$102,0)-1,N$2-1)=$I570,1,0)</f>
        <v>#N/A</v>
      </c>
    </row>
    <row r="571" spans="9:15" x14ac:dyDescent="0.25">
      <c r="I571" s="39">
        <v>1</v>
      </c>
      <c r="J571" s="33" t="e">
        <f ca="1">IF(OFFSET($C$3,MATCH(I569,$B$3:$B$102,0)-1,J$2-1)=$I571,1,0)</f>
        <v>#N/A</v>
      </c>
      <c r="K571" s="34" t="e">
        <f ca="1">IF(OFFSET($C$3,MATCH(I569,$B$3:$B$102,0)-1,K$2-1)=$I571,1,0)</f>
        <v>#N/A</v>
      </c>
      <c r="L571" s="34" t="e">
        <f ca="1">IF(OFFSET($C$3,MATCH(I569,$B$3:$B$102,0)-1,L$2-1)=$I571,1,0)</f>
        <v>#N/A</v>
      </c>
      <c r="M571" s="34" t="e">
        <f ca="1">IF(OFFSET($C$3,MATCH(I569,$B$3:$B$102,0)-1,M$2-1)=$I571,1,0)</f>
        <v>#N/A</v>
      </c>
      <c r="N571" s="35" t="e">
        <f ca="1">IF(OFFSET($C$3,MATCH(I569,$B$3:$B$102,0)-1,N$2-1)=$I571,1,0)</f>
        <v>#N/A</v>
      </c>
    </row>
    <row r="572" spans="9:15" x14ac:dyDescent="0.25">
      <c r="I572" s="39">
        <v>2</v>
      </c>
      <c r="J572" s="43" t="e">
        <f ca="1">IF(OFFSET($C$3,MATCH(I569,$B$3:$B$102,0)-1,J$2-1)=$I572,1,0)</f>
        <v>#N/A</v>
      </c>
      <c r="K572" s="44" t="e">
        <f ca="1">IF(OFFSET($C$3,MATCH(I569,$B$3:$B$102,0)-1,K$2-1)=$I572,1,0)</f>
        <v>#N/A</v>
      </c>
      <c r="L572" s="44" t="e">
        <f ca="1">IF(OFFSET($C$3,MATCH(I569,$B$3:$B$102,0)-1,L$2-1)=$I572,1,0)</f>
        <v>#N/A</v>
      </c>
      <c r="M572" s="44" t="e">
        <f ca="1">IF(OFFSET($C$3,MATCH(I569,$B$3:$B$102,0)-1,M$2-1)=$I572,1,0)</f>
        <v>#N/A</v>
      </c>
      <c r="N572" s="45" t="e">
        <f ca="1">IF(OFFSET($C$3,MATCH(I569,$B$3:$B$102,0)-1,N$2-1)=$I572,1,0)</f>
        <v>#N/A</v>
      </c>
    </row>
    <row r="573" spans="9:15" ht="15.75" thickBot="1" x14ac:dyDescent="0.3">
      <c r="I573" s="39">
        <v>3</v>
      </c>
      <c r="J573" s="36" t="e">
        <f ca="1">IF(OFFSET($C$3,MATCH(I569,$B$3:$B$102,0)-1,J$2-1)=$I573,1,0)</f>
        <v>#N/A</v>
      </c>
      <c r="K573" s="37" t="e">
        <f ca="1">IF(OFFSET($C$3,MATCH(I569,$B$3:$B$102,0)-1,K$2-1)=$I573,1,0)</f>
        <v>#N/A</v>
      </c>
      <c r="L573" s="37" t="e">
        <f ca="1">IF(OFFSET($C$3,MATCH(I569,$B$3:$B$102,0)-1,L$2-1)=$I573,1,0)</f>
        <v>#N/A</v>
      </c>
      <c r="M573" s="37" t="e">
        <f ca="1">IF(OFFSET($C$3,MATCH(I569,$B$3:$B$102,0)-1,M$2-1)=$I573,1,0)</f>
        <v>#N/A</v>
      </c>
      <c r="N573" s="38" t="e">
        <f ca="1">IF(OFFSET($C$3,MATCH(I569,$B$3:$B$102,0)-1,N$2-1)=$I573,1,0)</f>
        <v>#N/A</v>
      </c>
    </row>
    <row r="575" spans="9:15" ht="15.75" thickBot="1" x14ac:dyDescent="0.3">
      <c r="I575" t="str">
        <f>MID(I569,1,5)&amp;MID(I569,6,2)+1</f>
        <v>Line_63</v>
      </c>
      <c r="O575" s="40">
        <f>VALUE(MID($I575,6,3))</f>
        <v>63</v>
      </c>
    </row>
    <row r="576" spans="9:15" x14ac:dyDescent="0.25">
      <c r="I576" s="39">
        <v>0</v>
      </c>
      <c r="J576" s="30" t="e">
        <f ca="1">IF(OFFSET($C$3,MATCH(I575,$B$3:$B$102,0)-1,J$2-1)=$I576,1,0)</f>
        <v>#N/A</v>
      </c>
      <c r="K576" s="31" t="e">
        <f ca="1">IF(OFFSET($C$3,MATCH(I575,$B$3:$B$102,0)-1,K$2-1)=$I576,1,0)</f>
        <v>#N/A</v>
      </c>
      <c r="L576" s="31" t="e">
        <f ca="1">IF(OFFSET($C$3,MATCH(I575,$B$3:$B$102,0)-1,L$2-1)=$I576,1,0)</f>
        <v>#N/A</v>
      </c>
      <c r="M576" s="31" t="e">
        <f ca="1">IF(OFFSET($C$3,MATCH(I575,$B$3:$B$102,0)-1,M$2-1)=$I576,1,0)</f>
        <v>#N/A</v>
      </c>
      <c r="N576" s="32" t="e">
        <f ca="1">IF(OFFSET($C$3,MATCH(I575,$B$3:$B$102,0)-1,N$2-1)=$I576,1,0)</f>
        <v>#N/A</v>
      </c>
    </row>
    <row r="577" spans="9:15" x14ac:dyDescent="0.25">
      <c r="I577" s="39">
        <v>1</v>
      </c>
      <c r="J577" s="33" t="e">
        <f ca="1">IF(OFFSET($C$3,MATCH(I575,$B$3:$B$102,0)-1,J$2-1)=$I577,1,0)</f>
        <v>#N/A</v>
      </c>
      <c r="K577" s="34" t="e">
        <f ca="1">IF(OFFSET($C$3,MATCH(I575,$B$3:$B$102,0)-1,K$2-1)=$I577,1,0)</f>
        <v>#N/A</v>
      </c>
      <c r="L577" s="34" t="e">
        <f ca="1">IF(OFFSET($C$3,MATCH(I575,$B$3:$B$102,0)-1,L$2-1)=$I577,1,0)</f>
        <v>#N/A</v>
      </c>
      <c r="M577" s="34" t="e">
        <f ca="1">IF(OFFSET($C$3,MATCH(I575,$B$3:$B$102,0)-1,M$2-1)=$I577,1,0)</f>
        <v>#N/A</v>
      </c>
      <c r="N577" s="35" t="e">
        <f ca="1">IF(OFFSET($C$3,MATCH(I575,$B$3:$B$102,0)-1,N$2-1)=$I577,1,0)</f>
        <v>#N/A</v>
      </c>
    </row>
    <row r="578" spans="9:15" x14ac:dyDescent="0.25">
      <c r="I578" s="39">
        <v>2</v>
      </c>
      <c r="J578" s="43" t="e">
        <f ca="1">IF(OFFSET($C$3,MATCH(I575,$B$3:$B$102,0)-1,J$2-1)=$I578,1,0)</f>
        <v>#N/A</v>
      </c>
      <c r="K578" s="44" t="e">
        <f ca="1">IF(OFFSET($C$3,MATCH(I575,$B$3:$B$102,0)-1,K$2-1)=$I578,1,0)</f>
        <v>#N/A</v>
      </c>
      <c r="L578" s="44" t="e">
        <f ca="1">IF(OFFSET($C$3,MATCH(I575,$B$3:$B$102,0)-1,L$2-1)=$I578,1,0)</f>
        <v>#N/A</v>
      </c>
      <c r="M578" s="44" t="e">
        <f ca="1">IF(OFFSET($C$3,MATCH(I575,$B$3:$B$102,0)-1,M$2-1)=$I578,1,0)</f>
        <v>#N/A</v>
      </c>
      <c r="N578" s="45" t="e">
        <f ca="1">IF(OFFSET($C$3,MATCH(I575,$B$3:$B$102,0)-1,N$2-1)=$I578,1,0)</f>
        <v>#N/A</v>
      </c>
    </row>
    <row r="579" spans="9:15" ht="15.75" thickBot="1" x14ac:dyDescent="0.3">
      <c r="I579" s="39">
        <v>3</v>
      </c>
      <c r="J579" s="36" t="e">
        <f ca="1">IF(OFFSET($C$3,MATCH(I575,$B$3:$B$102,0)-1,J$2-1)=$I579,1,0)</f>
        <v>#N/A</v>
      </c>
      <c r="K579" s="37" t="e">
        <f ca="1">IF(OFFSET($C$3,MATCH(I575,$B$3:$B$102,0)-1,K$2-1)=$I579,1,0)</f>
        <v>#N/A</v>
      </c>
      <c r="L579" s="37" t="e">
        <f ca="1">IF(OFFSET($C$3,MATCH(I575,$B$3:$B$102,0)-1,L$2-1)=$I579,1,0)</f>
        <v>#N/A</v>
      </c>
      <c r="M579" s="37" t="e">
        <f ca="1">IF(OFFSET($C$3,MATCH(I575,$B$3:$B$102,0)-1,M$2-1)=$I579,1,0)</f>
        <v>#N/A</v>
      </c>
      <c r="N579" s="38" t="e">
        <f ca="1">IF(OFFSET($C$3,MATCH(I575,$B$3:$B$102,0)-1,N$2-1)=$I579,1,0)</f>
        <v>#N/A</v>
      </c>
    </row>
    <row r="580" spans="9:15" x14ac:dyDescent="0.25">
      <c r="I580" s="39"/>
    </row>
    <row r="581" spans="9:15" ht="15.75" thickBot="1" x14ac:dyDescent="0.3">
      <c r="I581" t="str">
        <f>MID(I575,1,5)&amp;MID(I575,6,2)+1</f>
        <v>Line_64</v>
      </c>
      <c r="O581" s="40">
        <f>VALUE(MID($I581,6,3))</f>
        <v>64</v>
      </c>
    </row>
    <row r="582" spans="9:15" x14ac:dyDescent="0.25">
      <c r="I582" s="39">
        <v>0</v>
      </c>
      <c r="J582" s="30" t="e">
        <f ca="1">IF(OFFSET($C$3,MATCH(I581,$B$3:$B$102,0)-1,J$2-1)=$I582,1,0)</f>
        <v>#N/A</v>
      </c>
      <c r="K582" s="31" t="e">
        <f ca="1">IF(OFFSET($C$3,MATCH(I581,$B$3:$B$102,0)-1,K$2-1)=$I582,1,0)</f>
        <v>#N/A</v>
      </c>
      <c r="L582" s="31" t="e">
        <f ca="1">IF(OFFSET($C$3,MATCH(I581,$B$3:$B$102,0)-1,L$2-1)=$I582,1,0)</f>
        <v>#N/A</v>
      </c>
      <c r="M582" s="31" t="e">
        <f ca="1">IF(OFFSET($C$3,MATCH(I581,$B$3:$B$102,0)-1,M$2-1)=$I582,1,0)</f>
        <v>#N/A</v>
      </c>
      <c r="N582" s="32" t="e">
        <f ca="1">IF(OFFSET($C$3,MATCH(I581,$B$3:$B$102,0)-1,N$2-1)=$I582,1,0)</f>
        <v>#N/A</v>
      </c>
    </row>
    <row r="583" spans="9:15" x14ac:dyDescent="0.25">
      <c r="I583" s="39">
        <v>1</v>
      </c>
      <c r="J583" s="33" t="e">
        <f ca="1">IF(OFFSET($C$3,MATCH(I581,$B$3:$B$102,0)-1,J$2-1)=$I583,1,0)</f>
        <v>#N/A</v>
      </c>
      <c r="K583" s="34" t="e">
        <f ca="1">IF(OFFSET($C$3,MATCH(I581,$B$3:$B$102,0)-1,K$2-1)=$I583,1,0)</f>
        <v>#N/A</v>
      </c>
      <c r="L583" s="34" t="e">
        <f ca="1">IF(OFFSET($C$3,MATCH(I581,$B$3:$B$102,0)-1,L$2-1)=$I583,1,0)</f>
        <v>#N/A</v>
      </c>
      <c r="M583" s="34" t="e">
        <f ca="1">IF(OFFSET($C$3,MATCH(I581,$B$3:$B$102,0)-1,M$2-1)=$I583,1,0)</f>
        <v>#N/A</v>
      </c>
      <c r="N583" s="35" t="e">
        <f ca="1">IF(OFFSET($C$3,MATCH(I581,$B$3:$B$102,0)-1,N$2-1)=$I583,1,0)</f>
        <v>#N/A</v>
      </c>
    </row>
    <row r="584" spans="9:15" x14ac:dyDescent="0.25">
      <c r="I584" s="39">
        <v>2</v>
      </c>
      <c r="J584" s="43" t="e">
        <f ca="1">IF(OFFSET($C$3,MATCH(I581,$B$3:$B$102,0)-1,J$2-1)=$I584,1,0)</f>
        <v>#N/A</v>
      </c>
      <c r="K584" s="44" t="e">
        <f ca="1">IF(OFFSET($C$3,MATCH(I581,$B$3:$B$102,0)-1,K$2-1)=$I584,1,0)</f>
        <v>#N/A</v>
      </c>
      <c r="L584" s="44" t="e">
        <f ca="1">IF(OFFSET($C$3,MATCH(I581,$B$3:$B$102,0)-1,L$2-1)=$I584,1,0)</f>
        <v>#N/A</v>
      </c>
      <c r="M584" s="44" t="e">
        <f ca="1">IF(OFFSET($C$3,MATCH(I581,$B$3:$B$102,0)-1,M$2-1)=$I584,1,0)</f>
        <v>#N/A</v>
      </c>
      <c r="N584" s="45" t="e">
        <f ca="1">IF(OFFSET($C$3,MATCH(I581,$B$3:$B$102,0)-1,N$2-1)=$I584,1,0)</f>
        <v>#N/A</v>
      </c>
    </row>
    <row r="585" spans="9:15" ht="15.75" thickBot="1" x14ac:dyDescent="0.3">
      <c r="I585" s="39">
        <v>3</v>
      </c>
      <c r="J585" s="36" t="e">
        <f ca="1">IF(OFFSET($C$3,MATCH(I581,$B$3:$B$102,0)-1,J$2-1)=$I585,1,0)</f>
        <v>#N/A</v>
      </c>
      <c r="K585" s="37" t="e">
        <f ca="1">IF(OFFSET($C$3,MATCH(I581,$B$3:$B$102,0)-1,K$2-1)=$I585,1,0)</f>
        <v>#N/A</v>
      </c>
      <c r="L585" s="37" t="e">
        <f ca="1">IF(OFFSET($C$3,MATCH(I581,$B$3:$B$102,0)-1,L$2-1)=$I585,1,0)</f>
        <v>#N/A</v>
      </c>
      <c r="M585" s="37" t="e">
        <f ca="1">IF(OFFSET($C$3,MATCH(I581,$B$3:$B$102,0)-1,M$2-1)=$I585,1,0)</f>
        <v>#N/A</v>
      </c>
      <c r="N585" s="38" t="e">
        <f ca="1">IF(OFFSET($C$3,MATCH(I581,$B$3:$B$102,0)-1,N$2-1)=$I585,1,0)</f>
        <v>#N/A</v>
      </c>
    </row>
    <row r="586" spans="9:15" x14ac:dyDescent="0.25">
      <c r="I586" s="39"/>
      <c r="J586" s="20"/>
      <c r="K586" s="20"/>
      <c r="L586" s="20"/>
      <c r="M586" s="20"/>
      <c r="N586" s="20"/>
    </row>
    <row r="587" spans="9:15" ht="15.75" thickBot="1" x14ac:dyDescent="0.3">
      <c r="I587" t="str">
        <f>MID(I581,1,5)&amp;MID(I581,6,2)+1</f>
        <v>Line_65</v>
      </c>
      <c r="O587" s="40">
        <f>VALUE(MID($I587,6,3))</f>
        <v>65</v>
      </c>
    </row>
    <row r="588" spans="9:15" x14ac:dyDescent="0.25">
      <c r="I588" s="39">
        <v>0</v>
      </c>
      <c r="J588" s="30" t="e">
        <f ca="1">IF(OFFSET($C$3,MATCH(I587,$B$3:$B$102,0)-1,J$2-1)=$I588,1,0)</f>
        <v>#N/A</v>
      </c>
      <c r="K588" s="31" t="e">
        <f ca="1">IF(OFFSET($C$3,MATCH(I587,$B$3:$B$102,0)-1,K$2-1)=$I588,1,0)</f>
        <v>#N/A</v>
      </c>
      <c r="L588" s="31" t="e">
        <f ca="1">IF(OFFSET($C$3,MATCH(I587,$B$3:$B$102,0)-1,L$2-1)=$I588,1,0)</f>
        <v>#N/A</v>
      </c>
      <c r="M588" s="31" t="e">
        <f ca="1">IF(OFFSET($C$3,MATCH(I587,$B$3:$B$102,0)-1,M$2-1)=$I588,1,0)</f>
        <v>#N/A</v>
      </c>
      <c r="N588" s="32" t="e">
        <f ca="1">IF(OFFSET($C$3,MATCH(I587,$B$3:$B$102,0)-1,N$2-1)=$I588,1,0)</f>
        <v>#N/A</v>
      </c>
    </row>
    <row r="589" spans="9:15" x14ac:dyDescent="0.25">
      <c r="I589" s="39">
        <v>1</v>
      </c>
      <c r="J589" s="33" t="e">
        <f ca="1">IF(OFFSET($C$3,MATCH(I587,$B$3:$B$102,0)-1,J$2-1)=$I589,1,0)</f>
        <v>#N/A</v>
      </c>
      <c r="K589" s="34" t="e">
        <f ca="1">IF(OFFSET($C$3,MATCH(I587,$B$3:$B$102,0)-1,K$2-1)=$I589,1,0)</f>
        <v>#N/A</v>
      </c>
      <c r="L589" s="34" t="e">
        <f ca="1">IF(OFFSET($C$3,MATCH(I587,$B$3:$B$102,0)-1,L$2-1)=$I589,1,0)</f>
        <v>#N/A</v>
      </c>
      <c r="M589" s="34" t="e">
        <f ca="1">IF(OFFSET($C$3,MATCH(I587,$B$3:$B$102,0)-1,M$2-1)=$I589,1,0)</f>
        <v>#N/A</v>
      </c>
      <c r="N589" s="35" t="e">
        <f ca="1">IF(OFFSET($C$3,MATCH(I587,$B$3:$B$102,0)-1,N$2-1)=$I589,1,0)</f>
        <v>#N/A</v>
      </c>
    </row>
    <row r="590" spans="9:15" x14ac:dyDescent="0.25">
      <c r="I590" s="39">
        <v>2</v>
      </c>
      <c r="J590" s="43" t="e">
        <f ca="1">IF(OFFSET($C$3,MATCH(I587,$B$3:$B$102,0)-1,J$2-1)=$I590,1,0)</f>
        <v>#N/A</v>
      </c>
      <c r="K590" s="44" t="e">
        <f ca="1">IF(OFFSET($C$3,MATCH(I587,$B$3:$B$102,0)-1,K$2-1)=$I590,1,0)</f>
        <v>#N/A</v>
      </c>
      <c r="L590" s="44" t="e">
        <f ca="1">IF(OFFSET($C$3,MATCH(I587,$B$3:$B$102,0)-1,L$2-1)=$I590,1,0)</f>
        <v>#N/A</v>
      </c>
      <c r="M590" s="44" t="e">
        <f ca="1">IF(OFFSET($C$3,MATCH(I587,$B$3:$B$102,0)-1,M$2-1)=$I590,1,0)</f>
        <v>#N/A</v>
      </c>
      <c r="N590" s="45" t="e">
        <f ca="1">IF(OFFSET($C$3,MATCH(I587,$B$3:$B$102,0)-1,N$2-1)=$I590,1,0)</f>
        <v>#N/A</v>
      </c>
    </row>
    <row r="591" spans="9:15" ht="15.75" thickBot="1" x14ac:dyDescent="0.3">
      <c r="I591" s="39">
        <v>3</v>
      </c>
      <c r="J591" s="36" t="e">
        <f ca="1">IF(OFFSET($C$3,MATCH(I587,$B$3:$B$102,0)-1,J$2-1)=$I591,1,0)</f>
        <v>#N/A</v>
      </c>
      <c r="K591" s="37" t="e">
        <f ca="1">IF(OFFSET($C$3,MATCH(I587,$B$3:$B$102,0)-1,K$2-1)=$I591,1,0)</f>
        <v>#N/A</v>
      </c>
      <c r="L591" s="37" t="e">
        <f ca="1">IF(OFFSET($C$3,MATCH(I587,$B$3:$B$102,0)-1,L$2-1)=$I591,1,0)</f>
        <v>#N/A</v>
      </c>
      <c r="M591" s="37" t="e">
        <f ca="1">IF(OFFSET($C$3,MATCH(I587,$B$3:$B$102,0)-1,M$2-1)=$I591,1,0)</f>
        <v>#N/A</v>
      </c>
      <c r="N591" s="38" t="e">
        <f ca="1">IF(OFFSET($C$3,MATCH(I587,$B$3:$B$102,0)-1,N$2-1)=$I591,1,0)</f>
        <v>#N/A</v>
      </c>
    </row>
    <row r="592" spans="9:15" x14ac:dyDescent="0.25">
      <c r="I592" s="39"/>
    </row>
    <row r="593" spans="9:15" ht="15.75" thickBot="1" x14ac:dyDescent="0.3">
      <c r="I593" t="str">
        <f>MID(I587,1,5)&amp;MID(I587,6,2)+1</f>
        <v>Line_66</v>
      </c>
      <c r="O593" s="40">
        <f>VALUE(MID($I593,6,3))</f>
        <v>66</v>
      </c>
    </row>
    <row r="594" spans="9:15" x14ac:dyDescent="0.25">
      <c r="I594" s="39">
        <v>0</v>
      </c>
      <c r="J594" s="30" t="e">
        <f ca="1">IF(OFFSET($C$3,MATCH(I593,$B$3:$B$102,0)-1,J$2-1)=$I594,1,0)</f>
        <v>#N/A</v>
      </c>
      <c r="K594" s="31" t="e">
        <f ca="1">IF(OFFSET($C$3,MATCH(I593,$B$3:$B$102,0)-1,K$2-1)=$I594,1,0)</f>
        <v>#N/A</v>
      </c>
      <c r="L594" s="31" t="e">
        <f ca="1">IF(OFFSET($C$3,MATCH(I593,$B$3:$B$102,0)-1,L$2-1)=$I594,1,0)</f>
        <v>#N/A</v>
      </c>
      <c r="M594" s="31" t="e">
        <f ca="1">IF(OFFSET($C$3,MATCH(I593,$B$3:$B$102,0)-1,M$2-1)=$I594,1,0)</f>
        <v>#N/A</v>
      </c>
      <c r="N594" s="32" t="e">
        <f ca="1">IF(OFFSET($C$3,MATCH(I593,$B$3:$B$102,0)-1,N$2-1)=$I594,1,0)</f>
        <v>#N/A</v>
      </c>
    </row>
    <row r="595" spans="9:15" x14ac:dyDescent="0.25">
      <c r="I595" s="39">
        <v>1</v>
      </c>
      <c r="J595" s="33" t="e">
        <f ca="1">IF(OFFSET($C$3,MATCH(I593,$B$3:$B$102,0)-1,J$2-1)=$I595,1,0)</f>
        <v>#N/A</v>
      </c>
      <c r="K595" s="34" t="e">
        <f ca="1">IF(OFFSET($C$3,MATCH(I593,$B$3:$B$102,0)-1,K$2-1)=$I595,1,0)</f>
        <v>#N/A</v>
      </c>
      <c r="L595" s="34" t="e">
        <f ca="1">IF(OFFSET($C$3,MATCH(I593,$B$3:$B$102,0)-1,L$2-1)=$I595,1,0)</f>
        <v>#N/A</v>
      </c>
      <c r="M595" s="34" t="e">
        <f ca="1">IF(OFFSET($C$3,MATCH(I593,$B$3:$B$102,0)-1,M$2-1)=$I595,1,0)</f>
        <v>#N/A</v>
      </c>
      <c r="N595" s="35" t="e">
        <f ca="1">IF(OFFSET($C$3,MATCH(I593,$B$3:$B$102,0)-1,N$2-1)=$I595,1,0)</f>
        <v>#N/A</v>
      </c>
    </row>
    <row r="596" spans="9:15" x14ac:dyDescent="0.25">
      <c r="I596" s="39">
        <v>2</v>
      </c>
      <c r="J596" s="43" t="e">
        <f ca="1">IF(OFFSET($C$3,MATCH(I593,$B$3:$B$102,0)-1,J$2-1)=$I596,1,0)</f>
        <v>#N/A</v>
      </c>
      <c r="K596" s="44" t="e">
        <f ca="1">IF(OFFSET($C$3,MATCH(I593,$B$3:$B$102,0)-1,K$2-1)=$I596,1,0)</f>
        <v>#N/A</v>
      </c>
      <c r="L596" s="44" t="e">
        <f ca="1">IF(OFFSET($C$3,MATCH(I593,$B$3:$B$102,0)-1,L$2-1)=$I596,1,0)</f>
        <v>#N/A</v>
      </c>
      <c r="M596" s="44" t="e">
        <f ca="1">IF(OFFSET($C$3,MATCH(I593,$B$3:$B$102,0)-1,M$2-1)=$I596,1,0)</f>
        <v>#N/A</v>
      </c>
      <c r="N596" s="45" t="e">
        <f ca="1">IF(OFFSET($C$3,MATCH(I593,$B$3:$B$102,0)-1,N$2-1)=$I596,1,0)</f>
        <v>#N/A</v>
      </c>
    </row>
    <row r="597" spans="9:15" ht="15.75" thickBot="1" x14ac:dyDescent="0.3">
      <c r="I597" s="39">
        <v>3</v>
      </c>
      <c r="J597" s="36" t="e">
        <f ca="1">IF(OFFSET($C$3,MATCH(I593,$B$3:$B$102,0)-1,J$2-1)=$I597,1,0)</f>
        <v>#N/A</v>
      </c>
      <c r="K597" s="37" t="e">
        <f ca="1">IF(OFFSET($C$3,MATCH(I593,$B$3:$B$102,0)-1,K$2-1)=$I597,1,0)</f>
        <v>#N/A</v>
      </c>
      <c r="L597" s="37" t="e">
        <f ca="1">IF(OFFSET($C$3,MATCH(I593,$B$3:$B$102,0)-1,L$2-1)=$I597,1,0)</f>
        <v>#N/A</v>
      </c>
      <c r="M597" s="37" t="e">
        <f ca="1">IF(OFFSET($C$3,MATCH(I593,$B$3:$B$102,0)-1,M$2-1)=$I597,1,0)</f>
        <v>#N/A</v>
      </c>
      <c r="N597" s="38" t="e">
        <f ca="1">IF(OFFSET($C$3,MATCH(I593,$B$3:$B$102,0)-1,N$2-1)=$I597,1,0)</f>
        <v>#N/A</v>
      </c>
    </row>
    <row r="598" spans="9:15" x14ac:dyDescent="0.25">
      <c r="J598" s="20"/>
      <c r="K598" s="20"/>
      <c r="L598" s="20"/>
      <c r="M598" s="20"/>
      <c r="N598" s="20"/>
    </row>
    <row r="599" spans="9:15" ht="15.75" thickBot="1" x14ac:dyDescent="0.3">
      <c r="I599" t="str">
        <f>MID(I593,1,5)&amp;MID(I593,6,2)+1</f>
        <v>Line_67</v>
      </c>
      <c r="O599" s="40">
        <f>VALUE(MID($I599,6,3))</f>
        <v>67</v>
      </c>
    </row>
    <row r="600" spans="9:15" x14ac:dyDescent="0.25">
      <c r="I600" s="39">
        <v>0</v>
      </c>
      <c r="J600" s="30" t="e">
        <f ca="1">IF(OFFSET($C$3,MATCH(I599,$B$3:$B$102,0)-1,J$2-1)=$I600,1,0)</f>
        <v>#N/A</v>
      </c>
      <c r="K600" s="31" t="e">
        <f ca="1">IF(OFFSET($C$3,MATCH(I599,$B$3:$B$102,0)-1,K$2-1)=$I600,1,0)</f>
        <v>#N/A</v>
      </c>
      <c r="L600" s="31" t="e">
        <f ca="1">IF(OFFSET($C$3,MATCH(I599,$B$3:$B$102,0)-1,L$2-1)=$I600,1,0)</f>
        <v>#N/A</v>
      </c>
      <c r="M600" s="31" t="e">
        <f ca="1">IF(OFFSET($C$3,MATCH(I599,$B$3:$B$102,0)-1,M$2-1)=$I600,1,0)</f>
        <v>#N/A</v>
      </c>
      <c r="N600" s="32" t="e">
        <f ca="1">IF(OFFSET($C$3,MATCH(I599,$B$3:$B$102,0)-1,N$2-1)=$I600,1,0)</f>
        <v>#N/A</v>
      </c>
    </row>
    <row r="601" spans="9:15" x14ac:dyDescent="0.25">
      <c r="I601" s="39">
        <v>1</v>
      </c>
      <c r="J601" s="33" t="e">
        <f ca="1">IF(OFFSET($C$3,MATCH(I599,$B$3:$B$102,0)-1,J$2-1)=$I601,1,0)</f>
        <v>#N/A</v>
      </c>
      <c r="K601" s="34" t="e">
        <f ca="1">IF(OFFSET($C$3,MATCH(I599,$B$3:$B$102,0)-1,K$2-1)=$I601,1,0)</f>
        <v>#N/A</v>
      </c>
      <c r="L601" s="34" t="e">
        <f ca="1">IF(OFFSET($C$3,MATCH(I599,$B$3:$B$102,0)-1,L$2-1)=$I601,1,0)</f>
        <v>#N/A</v>
      </c>
      <c r="M601" s="34" t="e">
        <f ca="1">IF(OFFSET($C$3,MATCH(I599,$B$3:$B$102,0)-1,M$2-1)=$I601,1,0)</f>
        <v>#N/A</v>
      </c>
      <c r="N601" s="35" t="e">
        <f ca="1">IF(OFFSET($C$3,MATCH(I599,$B$3:$B$102,0)-1,N$2-1)=$I601,1,0)</f>
        <v>#N/A</v>
      </c>
    </row>
    <row r="602" spans="9:15" x14ac:dyDescent="0.25">
      <c r="I602" s="39">
        <v>2</v>
      </c>
      <c r="J602" s="43" t="e">
        <f ca="1">IF(OFFSET($C$3,MATCH(I599,$B$3:$B$102,0)-1,J$2-1)=$I602,1,0)</f>
        <v>#N/A</v>
      </c>
      <c r="K602" s="44" t="e">
        <f ca="1">IF(OFFSET($C$3,MATCH(I599,$B$3:$B$102,0)-1,K$2-1)=$I602,1,0)</f>
        <v>#N/A</v>
      </c>
      <c r="L602" s="44" t="e">
        <f ca="1">IF(OFFSET($C$3,MATCH(I599,$B$3:$B$102,0)-1,L$2-1)=$I602,1,0)</f>
        <v>#N/A</v>
      </c>
      <c r="M602" s="44" t="e">
        <f ca="1">IF(OFFSET($C$3,MATCH(I599,$B$3:$B$102,0)-1,M$2-1)=$I602,1,0)</f>
        <v>#N/A</v>
      </c>
      <c r="N602" s="45" t="e">
        <f ca="1">IF(OFFSET($C$3,MATCH(I599,$B$3:$B$102,0)-1,N$2-1)=$I602,1,0)</f>
        <v>#N/A</v>
      </c>
    </row>
    <row r="603" spans="9:15" ht="15.75" thickBot="1" x14ac:dyDescent="0.3">
      <c r="I603" s="39">
        <v>3</v>
      </c>
      <c r="J603" s="36" t="e">
        <f ca="1">IF(OFFSET($C$3,MATCH(I599,$B$3:$B$102,0)-1,J$2-1)=$I603,1,0)</f>
        <v>#N/A</v>
      </c>
      <c r="K603" s="37" t="e">
        <f ca="1">IF(OFFSET($C$3,MATCH(I599,$B$3:$B$102,0)-1,K$2-1)=$I603,1,0)</f>
        <v>#N/A</v>
      </c>
      <c r="L603" s="37" t="e">
        <f ca="1">IF(OFFSET($C$3,MATCH(I599,$B$3:$B$102,0)-1,L$2-1)=$I603,1,0)</f>
        <v>#N/A</v>
      </c>
      <c r="M603" s="37" t="e">
        <f ca="1">IF(OFFSET($C$3,MATCH(I599,$B$3:$B$102,0)-1,M$2-1)=$I603,1,0)</f>
        <v>#N/A</v>
      </c>
      <c r="N603" s="38" t="e">
        <f ca="1">IF(OFFSET($C$3,MATCH(I599,$B$3:$B$102,0)-1,N$2-1)=$I603,1,0)</f>
        <v>#N/A</v>
      </c>
    </row>
    <row r="604" spans="9:15" x14ac:dyDescent="0.25">
      <c r="J604" s="42"/>
      <c r="K604" s="42"/>
      <c r="L604" s="42"/>
      <c r="M604" s="42"/>
      <c r="N604" s="42"/>
    </row>
    <row r="605" spans="9:15" ht="15.75" thickBot="1" x14ac:dyDescent="0.3">
      <c r="I605" t="str">
        <f>MID(I599,1,5)&amp;MID(I599,6,2)+1</f>
        <v>Line_68</v>
      </c>
      <c r="O605" s="40">
        <f>VALUE(MID($I605,6,3))</f>
        <v>68</v>
      </c>
    </row>
    <row r="606" spans="9:15" x14ac:dyDescent="0.25">
      <c r="I606" s="39">
        <v>0</v>
      </c>
      <c r="J606" s="30" t="e">
        <f ca="1">IF(OFFSET($C$3,MATCH(I605,$B$3:$B$102,0)-1,J$2-1)=$I606,1,0)</f>
        <v>#N/A</v>
      </c>
      <c r="K606" s="31" t="e">
        <f ca="1">IF(OFFSET($C$3,MATCH(I605,$B$3:$B$102,0)-1,K$2-1)=$I606,1,0)</f>
        <v>#N/A</v>
      </c>
      <c r="L606" s="31" t="e">
        <f ca="1">IF(OFFSET($C$3,MATCH(I605,$B$3:$B$102,0)-1,L$2-1)=$I606,1,0)</f>
        <v>#N/A</v>
      </c>
      <c r="M606" s="31" t="e">
        <f ca="1">IF(OFFSET($C$3,MATCH(I605,$B$3:$B$102,0)-1,M$2-1)=$I606,1,0)</f>
        <v>#N/A</v>
      </c>
      <c r="N606" s="32" t="e">
        <f ca="1">IF(OFFSET($C$3,MATCH(I605,$B$3:$B$102,0)-1,N$2-1)=$I606,1,0)</f>
        <v>#N/A</v>
      </c>
    </row>
    <row r="607" spans="9:15" x14ac:dyDescent="0.25">
      <c r="I607" s="39">
        <v>1</v>
      </c>
      <c r="J607" s="33" t="e">
        <f ca="1">IF(OFFSET($C$3,MATCH(I605,$B$3:$B$102,0)-1,J$2-1)=$I607,1,0)</f>
        <v>#N/A</v>
      </c>
      <c r="K607" s="34" t="e">
        <f ca="1">IF(OFFSET($C$3,MATCH(I605,$B$3:$B$102,0)-1,K$2-1)=$I607,1,0)</f>
        <v>#N/A</v>
      </c>
      <c r="L607" s="34" t="e">
        <f ca="1">IF(OFFSET($C$3,MATCH(I605,$B$3:$B$102,0)-1,L$2-1)=$I607,1,0)</f>
        <v>#N/A</v>
      </c>
      <c r="M607" s="34" t="e">
        <f ca="1">IF(OFFSET($C$3,MATCH(I605,$B$3:$B$102,0)-1,M$2-1)=$I607,1,0)</f>
        <v>#N/A</v>
      </c>
      <c r="N607" s="35" t="e">
        <f ca="1">IF(OFFSET($C$3,MATCH(I605,$B$3:$B$102,0)-1,N$2-1)=$I607,1,0)</f>
        <v>#N/A</v>
      </c>
    </row>
    <row r="608" spans="9:15" x14ac:dyDescent="0.25">
      <c r="I608" s="39">
        <v>2</v>
      </c>
      <c r="J608" s="43" t="e">
        <f ca="1">IF(OFFSET($C$3,MATCH(I605,$B$3:$B$102,0)-1,J$2-1)=$I608,1,0)</f>
        <v>#N/A</v>
      </c>
      <c r="K608" s="44" t="e">
        <f ca="1">IF(OFFSET($C$3,MATCH(I605,$B$3:$B$102,0)-1,K$2-1)=$I608,1,0)</f>
        <v>#N/A</v>
      </c>
      <c r="L608" s="44" t="e">
        <f ca="1">IF(OFFSET($C$3,MATCH(I605,$B$3:$B$102,0)-1,L$2-1)=$I608,1,0)</f>
        <v>#N/A</v>
      </c>
      <c r="M608" s="44" t="e">
        <f ca="1">IF(OFFSET($C$3,MATCH(I605,$B$3:$B$102,0)-1,M$2-1)=$I608,1,0)</f>
        <v>#N/A</v>
      </c>
      <c r="N608" s="45" t="e">
        <f ca="1">IF(OFFSET($C$3,MATCH(I605,$B$3:$B$102,0)-1,N$2-1)=$I608,1,0)</f>
        <v>#N/A</v>
      </c>
    </row>
    <row r="609" spans="9:15" ht="15.75" thickBot="1" x14ac:dyDescent="0.3">
      <c r="I609" s="39">
        <v>3</v>
      </c>
      <c r="J609" s="36" t="e">
        <f ca="1">IF(OFFSET($C$3,MATCH(I605,$B$3:$B$102,0)-1,J$2-1)=$I609,1,0)</f>
        <v>#N/A</v>
      </c>
      <c r="K609" s="37" t="e">
        <f ca="1">IF(OFFSET($C$3,MATCH(I605,$B$3:$B$102,0)-1,K$2-1)=$I609,1,0)</f>
        <v>#N/A</v>
      </c>
      <c r="L609" s="37" t="e">
        <f ca="1">IF(OFFSET($C$3,MATCH(I605,$B$3:$B$102,0)-1,L$2-1)=$I609,1,0)</f>
        <v>#N/A</v>
      </c>
      <c r="M609" s="37" t="e">
        <f ca="1">IF(OFFSET($C$3,MATCH(I605,$B$3:$B$102,0)-1,M$2-1)=$I609,1,0)</f>
        <v>#N/A</v>
      </c>
      <c r="N609" s="38" t="e">
        <f ca="1">IF(OFFSET($C$3,MATCH(I605,$B$3:$B$102,0)-1,N$2-1)=$I609,1,0)</f>
        <v>#N/A</v>
      </c>
    </row>
    <row r="610" spans="9:15" x14ac:dyDescent="0.25">
      <c r="I610" s="39"/>
      <c r="J610" s="20"/>
      <c r="K610" s="20"/>
      <c r="L610" s="20"/>
      <c r="M610" s="20"/>
      <c r="N610" s="20"/>
    </row>
    <row r="611" spans="9:15" ht="15.75" thickBot="1" x14ac:dyDescent="0.3">
      <c r="I611" t="str">
        <f>MID(I605,1,5)&amp;MID(I605,6,2)+1</f>
        <v>Line_69</v>
      </c>
      <c r="O611" s="40">
        <f>VALUE(MID($I611,6,3))</f>
        <v>69</v>
      </c>
    </row>
    <row r="612" spans="9:15" x14ac:dyDescent="0.25">
      <c r="I612" s="39">
        <v>0</v>
      </c>
      <c r="J612" s="30" t="e">
        <f ca="1">IF(OFFSET($C$3,MATCH(I611,$B$3:$B$102,0)-1,J$2-1)=$I612,1,0)</f>
        <v>#N/A</v>
      </c>
      <c r="K612" s="31" t="e">
        <f ca="1">IF(OFFSET($C$3,MATCH(I611,$B$3:$B$102,0)-1,K$2-1)=$I612,1,0)</f>
        <v>#N/A</v>
      </c>
      <c r="L612" s="31" t="e">
        <f ca="1">IF(OFFSET($C$3,MATCH(I611,$B$3:$B$102,0)-1,L$2-1)=$I612,1,0)</f>
        <v>#N/A</v>
      </c>
      <c r="M612" s="31" t="e">
        <f ca="1">IF(OFFSET($C$3,MATCH(I611,$B$3:$B$102,0)-1,M$2-1)=$I612,1,0)</f>
        <v>#N/A</v>
      </c>
      <c r="N612" s="32" t="e">
        <f ca="1">IF(OFFSET($C$3,MATCH(I611,$B$3:$B$102,0)-1,N$2-1)=$I612,1,0)</f>
        <v>#N/A</v>
      </c>
    </row>
    <row r="613" spans="9:15" x14ac:dyDescent="0.25">
      <c r="I613" s="39">
        <v>1</v>
      </c>
      <c r="J613" s="33" t="e">
        <f ca="1">IF(OFFSET($C$3,MATCH(I611,$B$3:$B$102,0)-1,J$2-1)=$I613,1,0)</f>
        <v>#N/A</v>
      </c>
      <c r="K613" s="34" t="e">
        <f ca="1">IF(OFFSET($C$3,MATCH(I611,$B$3:$B$102,0)-1,K$2-1)=$I613,1,0)</f>
        <v>#N/A</v>
      </c>
      <c r="L613" s="34" t="e">
        <f ca="1">IF(OFFSET($C$3,MATCH(I611,$B$3:$B$102,0)-1,L$2-1)=$I613,1,0)</f>
        <v>#N/A</v>
      </c>
      <c r="M613" s="34" t="e">
        <f ca="1">IF(OFFSET($C$3,MATCH(I611,$B$3:$B$102,0)-1,M$2-1)=$I613,1,0)</f>
        <v>#N/A</v>
      </c>
      <c r="N613" s="35" t="e">
        <f ca="1">IF(OFFSET($C$3,MATCH(I611,$B$3:$B$102,0)-1,N$2-1)=$I613,1,0)</f>
        <v>#N/A</v>
      </c>
    </row>
    <row r="614" spans="9:15" x14ac:dyDescent="0.25">
      <c r="I614" s="39">
        <v>2</v>
      </c>
      <c r="J614" s="43" t="e">
        <f ca="1">IF(OFFSET($C$3,MATCH(I611,$B$3:$B$102,0)-1,J$2-1)=$I614,1,0)</f>
        <v>#N/A</v>
      </c>
      <c r="K614" s="44" t="e">
        <f ca="1">IF(OFFSET($C$3,MATCH(I611,$B$3:$B$102,0)-1,K$2-1)=$I614,1,0)</f>
        <v>#N/A</v>
      </c>
      <c r="L614" s="44" t="e">
        <f ca="1">IF(OFFSET($C$3,MATCH(I611,$B$3:$B$102,0)-1,L$2-1)=$I614,1,0)</f>
        <v>#N/A</v>
      </c>
      <c r="M614" s="44" t="e">
        <f ca="1">IF(OFFSET($C$3,MATCH(I611,$B$3:$B$102,0)-1,M$2-1)=$I614,1,0)</f>
        <v>#N/A</v>
      </c>
      <c r="N614" s="45" t="e">
        <f ca="1">IF(OFFSET($C$3,MATCH(I611,$B$3:$B$102,0)-1,N$2-1)=$I614,1,0)</f>
        <v>#N/A</v>
      </c>
    </row>
    <row r="615" spans="9:15" ht="15.75" thickBot="1" x14ac:dyDescent="0.3">
      <c r="I615" s="39">
        <v>3</v>
      </c>
      <c r="J615" s="36" t="e">
        <f ca="1">IF(OFFSET($C$3,MATCH(I611,$B$3:$B$102,0)-1,J$2-1)=$I615,1,0)</f>
        <v>#N/A</v>
      </c>
      <c r="K615" s="37" t="e">
        <f ca="1">IF(OFFSET($C$3,MATCH(I611,$B$3:$B$102,0)-1,K$2-1)=$I615,1,0)</f>
        <v>#N/A</v>
      </c>
      <c r="L615" s="37" t="e">
        <f ca="1">IF(OFFSET($C$3,MATCH(I611,$B$3:$B$102,0)-1,L$2-1)=$I615,1,0)</f>
        <v>#N/A</v>
      </c>
      <c r="M615" s="37" t="e">
        <f ca="1">IF(OFFSET($C$3,MATCH(I611,$B$3:$B$102,0)-1,M$2-1)=$I615,1,0)</f>
        <v>#N/A</v>
      </c>
      <c r="N615" s="38" t="e">
        <f ca="1">IF(OFFSET($C$3,MATCH(I611,$B$3:$B$102,0)-1,N$2-1)=$I615,1,0)</f>
        <v>#N/A</v>
      </c>
    </row>
    <row r="617" spans="9:15" ht="15.75" thickBot="1" x14ac:dyDescent="0.3">
      <c r="I617" t="str">
        <f>MID(I611,1,5)&amp;MID(I611,6,2)+1</f>
        <v>Line_70</v>
      </c>
      <c r="O617" s="40">
        <f>VALUE(MID($I617,6,3))</f>
        <v>70</v>
      </c>
    </row>
    <row r="618" spans="9:15" x14ac:dyDescent="0.25">
      <c r="I618" s="39">
        <v>0</v>
      </c>
      <c r="J618" s="30" t="e">
        <f ca="1">IF(OFFSET($C$3,MATCH(I617,$B$3:$B$102,0)-1,J$2-1)=$I618,1,0)</f>
        <v>#N/A</v>
      </c>
      <c r="K618" s="31" t="e">
        <f ca="1">IF(OFFSET($C$3,MATCH(I617,$B$3:$B$102,0)-1,K$2-1)=$I618,1,0)</f>
        <v>#N/A</v>
      </c>
      <c r="L618" s="31" t="e">
        <f ca="1">IF(OFFSET($C$3,MATCH(I617,$B$3:$B$102,0)-1,L$2-1)=$I618,1,0)</f>
        <v>#N/A</v>
      </c>
      <c r="M618" s="31" t="e">
        <f ca="1">IF(OFFSET($C$3,MATCH(I617,$B$3:$B$102,0)-1,M$2-1)=$I618,1,0)</f>
        <v>#N/A</v>
      </c>
      <c r="N618" s="32" t="e">
        <f ca="1">IF(OFFSET($C$3,MATCH(I617,$B$3:$B$102,0)-1,N$2-1)=$I618,1,0)</f>
        <v>#N/A</v>
      </c>
    </row>
    <row r="619" spans="9:15" x14ac:dyDescent="0.25">
      <c r="I619" s="39">
        <v>1</v>
      </c>
      <c r="J619" s="33" t="e">
        <f ca="1">IF(OFFSET($C$3,MATCH(I617,$B$3:$B$102,0)-1,J$2-1)=$I619,1,0)</f>
        <v>#N/A</v>
      </c>
      <c r="K619" s="34" t="e">
        <f ca="1">IF(OFFSET($C$3,MATCH(I617,$B$3:$B$102,0)-1,K$2-1)=$I619,1,0)</f>
        <v>#N/A</v>
      </c>
      <c r="L619" s="34" t="e">
        <f ca="1">IF(OFFSET($C$3,MATCH(I617,$B$3:$B$102,0)-1,L$2-1)=$I619,1,0)</f>
        <v>#N/A</v>
      </c>
      <c r="M619" s="34" t="e">
        <f ca="1">IF(OFFSET($C$3,MATCH(I617,$B$3:$B$102,0)-1,M$2-1)=$I619,1,0)</f>
        <v>#N/A</v>
      </c>
      <c r="N619" s="35" t="e">
        <f ca="1">IF(OFFSET($C$3,MATCH(I617,$B$3:$B$102,0)-1,N$2-1)=$I619,1,0)</f>
        <v>#N/A</v>
      </c>
    </row>
    <row r="620" spans="9:15" x14ac:dyDescent="0.25">
      <c r="I620" s="39">
        <v>2</v>
      </c>
      <c r="J620" s="43" t="e">
        <f ca="1">IF(OFFSET($C$3,MATCH(I617,$B$3:$B$102,0)-1,J$2-1)=$I620,1,0)</f>
        <v>#N/A</v>
      </c>
      <c r="K620" s="44" t="e">
        <f ca="1">IF(OFFSET($C$3,MATCH(I617,$B$3:$B$102,0)-1,K$2-1)=$I620,1,0)</f>
        <v>#N/A</v>
      </c>
      <c r="L620" s="44" t="e">
        <f ca="1">IF(OFFSET($C$3,MATCH(I617,$B$3:$B$102,0)-1,L$2-1)=$I620,1,0)</f>
        <v>#N/A</v>
      </c>
      <c r="M620" s="44" t="e">
        <f ca="1">IF(OFFSET($C$3,MATCH(I617,$B$3:$B$102,0)-1,M$2-1)=$I620,1,0)</f>
        <v>#N/A</v>
      </c>
      <c r="N620" s="45" t="e">
        <f ca="1">IF(OFFSET($C$3,MATCH(I617,$B$3:$B$102,0)-1,N$2-1)=$I620,1,0)</f>
        <v>#N/A</v>
      </c>
    </row>
    <row r="621" spans="9:15" ht="15.75" thickBot="1" x14ac:dyDescent="0.3">
      <c r="I621" s="39">
        <v>3</v>
      </c>
      <c r="J621" s="36" t="e">
        <f ca="1">IF(OFFSET($C$3,MATCH(I617,$B$3:$B$102,0)-1,J$2-1)=$I621,1,0)</f>
        <v>#N/A</v>
      </c>
      <c r="K621" s="37" t="e">
        <f ca="1">IF(OFFSET($C$3,MATCH(I617,$B$3:$B$102,0)-1,K$2-1)=$I621,1,0)</f>
        <v>#N/A</v>
      </c>
      <c r="L621" s="37" t="e">
        <f ca="1">IF(OFFSET($C$3,MATCH(I617,$B$3:$B$102,0)-1,L$2-1)=$I621,1,0)</f>
        <v>#N/A</v>
      </c>
      <c r="M621" s="37" t="e">
        <f ca="1">IF(OFFSET($C$3,MATCH(I617,$B$3:$B$102,0)-1,M$2-1)=$I621,1,0)</f>
        <v>#N/A</v>
      </c>
      <c r="N621" s="38" t="e">
        <f ca="1">IF(OFFSET($C$3,MATCH(I617,$B$3:$B$102,0)-1,N$2-1)=$I621,1,0)</f>
        <v>#N/A</v>
      </c>
    </row>
    <row r="622" spans="9:15" x14ac:dyDescent="0.25">
      <c r="I622" s="39"/>
    </row>
    <row r="623" spans="9:15" ht="15.75" thickBot="1" x14ac:dyDescent="0.3">
      <c r="I623" t="str">
        <f>MID(I617,1,5)&amp;MID(I617,6,2)+1</f>
        <v>Line_71</v>
      </c>
      <c r="O623" s="40">
        <f>VALUE(MID($I623,6,3))</f>
        <v>71</v>
      </c>
    </row>
    <row r="624" spans="9:15" x14ac:dyDescent="0.25">
      <c r="I624" s="39">
        <v>0</v>
      </c>
      <c r="J624" s="30" t="e">
        <f ca="1">IF(OFFSET($C$3,MATCH(I623,$B$3:$B$102,0)-1,J$2-1)=$I624,1,0)</f>
        <v>#N/A</v>
      </c>
      <c r="K624" s="31" t="e">
        <f ca="1">IF(OFFSET($C$3,MATCH(I623,$B$3:$B$102,0)-1,K$2-1)=$I624,1,0)</f>
        <v>#N/A</v>
      </c>
      <c r="L624" s="31" t="e">
        <f ca="1">IF(OFFSET($C$3,MATCH(I623,$B$3:$B$102,0)-1,L$2-1)=$I624,1,0)</f>
        <v>#N/A</v>
      </c>
      <c r="M624" s="31" t="e">
        <f ca="1">IF(OFFSET($C$3,MATCH(I623,$B$3:$B$102,0)-1,M$2-1)=$I624,1,0)</f>
        <v>#N/A</v>
      </c>
      <c r="N624" s="32" t="e">
        <f ca="1">IF(OFFSET($C$3,MATCH(I623,$B$3:$B$102,0)-1,N$2-1)=$I624,1,0)</f>
        <v>#N/A</v>
      </c>
    </row>
    <row r="625" spans="9:15" x14ac:dyDescent="0.25">
      <c r="I625" s="39">
        <v>1</v>
      </c>
      <c r="J625" s="33" t="e">
        <f ca="1">IF(OFFSET($C$3,MATCH(I623,$B$3:$B$102,0)-1,J$2-1)=$I625,1,0)</f>
        <v>#N/A</v>
      </c>
      <c r="K625" s="34" t="e">
        <f ca="1">IF(OFFSET($C$3,MATCH(I623,$B$3:$B$102,0)-1,K$2-1)=$I625,1,0)</f>
        <v>#N/A</v>
      </c>
      <c r="L625" s="34" t="e">
        <f ca="1">IF(OFFSET($C$3,MATCH(I623,$B$3:$B$102,0)-1,L$2-1)=$I625,1,0)</f>
        <v>#N/A</v>
      </c>
      <c r="M625" s="34" t="e">
        <f ca="1">IF(OFFSET($C$3,MATCH(I623,$B$3:$B$102,0)-1,M$2-1)=$I625,1,0)</f>
        <v>#N/A</v>
      </c>
      <c r="N625" s="35" t="e">
        <f ca="1">IF(OFFSET($C$3,MATCH(I623,$B$3:$B$102,0)-1,N$2-1)=$I625,1,0)</f>
        <v>#N/A</v>
      </c>
    </row>
    <row r="626" spans="9:15" x14ac:dyDescent="0.25">
      <c r="I626" s="39">
        <v>2</v>
      </c>
      <c r="J626" s="43" t="e">
        <f ca="1">IF(OFFSET($C$3,MATCH(I623,$B$3:$B$102,0)-1,J$2-1)=$I626,1,0)</f>
        <v>#N/A</v>
      </c>
      <c r="K626" s="44" t="e">
        <f ca="1">IF(OFFSET($C$3,MATCH(I623,$B$3:$B$102,0)-1,K$2-1)=$I626,1,0)</f>
        <v>#N/A</v>
      </c>
      <c r="L626" s="44" t="e">
        <f ca="1">IF(OFFSET($C$3,MATCH(I623,$B$3:$B$102,0)-1,L$2-1)=$I626,1,0)</f>
        <v>#N/A</v>
      </c>
      <c r="M626" s="44" t="e">
        <f ca="1">IF(OFFSET($C$3,MATCH(I623,$B$3:$B$102,0)-1,M$2-1)=$I626,1,0)</f>
        <v>#N/A</v>
      </c>
      <c r="N626" s="45" t="e">
        <f ca="1">IF(OFFSET($C$3,MATCH(I623,$B$3:$B$102,0)-1,N$2-1)=$I626,1,0)</f>
        <v>#N/A</v>
      </c>
    </row>
    <row r="627" spans="9:15" ht="15.75" thickBot="1" x14ac:dyDescent="0.3">
      <c r="I627" s="39">
        <v>3</v>
      </c>
      <c r="J627" s="36" t="e">
        <f ca="1">IF(OFFSET($C$3,MATCH(I623,$B$3:$B$102,0)-1,J$2-1)=$I627,1,0)</f>
        <v>#N/A</v>
      </c>
      <c r="K627" s="37" t="e">
        <f ca="1">IF(OFFSET($C$3,MATCH(I623,$B$3:$B$102,0)-1,K$2-1)=$I627,1,0)</f>
        <v>#N/A</v>
      </c>
      <c r="L627" s="37" t="e">
        <f ca="1">IF(OFFSET($C$3,MATCH(I623,$B$3:$B$102,0)-1,L$2-1)=$I627,1,0)</f>
        <v>#N/A</v>
      </c>
      <c r="M627" s="37" t="e">
        <f ca="1">IF(OFFSET($C$3,MATCH(I623,$B$3:$B$102,0)-1,M$2-1)=$I627,1,0)</f>
        <v>#N/A</v>
      </c>
      <c r="N627" s="38" t="e">
        <f ca="1">IF(OFFSET($C$3,MATCH(I623,$B$3:$B$102,0)-1,N$2-1)=$I627,1,0)</f>
        <v>#N/A</v>
      </c>
    </row>
    <row r="628" spans="9:15" x14ac:dyDescent="0.25">
      <c r="I628" s="39"/>
      <c r="J628" s="42"/>
      <c r="K628" s="42"/>
      <c r="L628" s="42"/>
      <c r="M628" s="42"/>
      <c r="N628" s="42"/>
    </row>
    <row r="629" spans="9:15" ht="15.75" thickBot="1" x14ac:dyDescent="0.3">
      <c r="I629" t="str">
        <f>MID(I623,1,5)&amp;MID(I623,6,2)+1</f>
        <v>Line_72</v>
      </c>
      <c r="O629" s="40">
        <f>VALUE(MID($I629,6,3))</f>
        <v>72</v>
      </c>
    </row>
    <row r="630" spans="9:15" x14ac:dyDescent="0.25">
      <c r="I630" s="39">
        <v>0</v>
      </c>
      <c r="J630" s="30" t="e">
        <f ca="1">IF(OFFSET($C$3,MATCH(I629,$B$3:$B$102,0)-1,J$2-1)=$I630,1,0)</f>
        <v>#N/A</v>
      </c>
      <c r="K630" s="31" t="e">
        <f ca="1">IF(OFFSET($C$3,MATCH(I629,$B$3:$B$102,0)-1,K$2-1)=$I630,1,0)</f>
        <v>#N/A</v>
      </c>
      <c r="L630" s="31" t="e">
        <f ca="1">IF(OFFSET($C$3,MATCH(I629,$B$3:$B$102,0)-1,L$2-1)=$I630,1,0)</f>
        <v>#N/A</v>
      </c>
      <c r="M630" s="31" t="e">
        <f ca="1">IF(OFFSET($C$3,MATCH(I629,$B$3:$B$102,0)-1,M$2-1)=$I630,1,0)</f>
        <v>#N/A</v>
      </c>
      <c r="N630" s="32" t="e">
        <f ca="1">IF(OFFSET($C$3,MATCH(I629,$B$3:$B$102,0)-1,N$2-1)=$I630,1,0)</f>
        <v>#N/A</v>
      </c>
    </row>
    <row r="631" spans="9:15" x14ac:dyDescent="0.25">
      <c r="I631" s="39">
        <v>1</v>
      </c>
      <c r="J631" s="33" t="e">
        <f ca="1">IF(OFFSET($C$3,MATCH(I629,$B$3:$B$102,0)-1,J$2-1)=$I631,1,0)</f>
        <v>#N/A</v>
      </c>
      <c r="K631" s="34" t="e">
        <f ca="1">IF(OFFSET($C$3,MATCH(I629,$B$3:$B$102,0)-1,K$2-1)=$I631,1,0)</f>
        <v>#N/A</v>
      </c>
      <c r="L631" s="34" t="e">
        <f ca="1">IF(OFFSET($C$3,MATCH(I629,$B$3:$B$102,0)-1,L$2-1)=$I631,1,0)</f>
        <v>#N/A</v>
      </c>
      <c r="M631" s="34" t="e">
        <f ca="1">IF(OFFSET($C$3,MATCH(I629,$B$3:$B$102,0)-1,M$2-1)=$I631,1,0)</f>
        <v>#N/A</v>
      </c>
      <c r="N631" s="35" t="e">
        <f ca="1">IF(OFFSET($C$3,MATCH(I629,$B$3:$B$102,0)-1,N$2-1)=$I631,1,0)</f>
        <v>#N/A</v>
      </c>
    </row>
    <row r="632" spans="9:15" x14ac:dyDescent="0.25">
      <c r="I632" s="39">
        <v>2</v>
      </c>
      <c r="J632" s="43" t="e">
        <f ca="1">IF(OFFSET($C$3,MATCH(I629,$B$3:$B$102,0)-1,J$2-1)=$I632,1,0)</f>
        <v>#N/A</v>
      </c>
      <c r="K632" s="44" t="e">
        <f ca="1">IF(OFFSET($C$3,MATCH(I629,$B$3:$B$102,0)-1,K$2-1)=$I632,1,0)</f>
        <v>#N/A</v>
      </c>
      <c r="L632" s="44" t="e">
        <f ca="1">IF(OFFSET($C$3,MATCH(I629,$B$3:$B$102,0)-1,L$2-1)=$I632,1,0)</f>
        <v>#N/A</v>
      </c>
      <c r="M632" s="44" t="e">
        <f ca="1">IF(OFFSET($C$3,MATCH(I629,$B$3:$B$102,0)-1,M$2-1)=$I632,1,0)</f>
        <v>#N/A</v>
      </c>
      <c r="N632" s="45" t="e">
        <f ca="1">IF(OFFSET($C$3,MATCH(I629,$B$3:$B$102,0)-1,N$2-1)=$I632,1,0)</f>
        <v>#N/A</v>
      </c>
    </row>
    <row r="633" spans="9:15" ht="15.75" thickBot="1" x14ac:dyDescent="0.3">
      <c r="I633" s="39">
        <v>3</v>
      </c>
      <c r="J633" s="36" t="e">
        <f ca="1">IF(OFFSET($C$3,MATCH(I629,$B$3:$B$102,0)-1,J$2-1)=$I633,1,0)</f>
        <v>#N/A</v>
      </c>
      <c r="K633" s="37" t="e">
        <f ca="1">IF(OFFSET($C$3,MATCH(I629,$B$3:$B$102,0)-1,K$2-1)=$I633,1,0)</f>
        <v>#N/A</v>
      </c>
      <c r="L633" s="37" t="e">
        <f ca="1">IF(OFFSET($C$3,MATCH(I629,$B$3:$B$102,0)-1,L$2-1)=$I633,1,0)</f>
        <v>#N/A</v>
      </c>
      <c r="M633" s="37" t="e">
        <f ca="1">IF(OFFSET($C$3,MATCH(I629,$B$3:$B$102,0)-1,M$2-1)=$I633,1,0)</f>
        <v>#N/A</v>
      </c>
      <c r="N633" s="38" t="e">
        <f ca="1">IF(OFFSET($C$3,MATCH(I629,$B$3:$B$102,0)-1,N$2-1)=$I633,1,0)</f>
        <v>#N/A</v>
      </c>
    </row>
    <row r="635" spans="9:15" ht="15.75" thickBot="1" x14ac:dyDescent="0.3">
      <c r="I635" t="str">
        <f>MID(I629,1,5)&amp;MID(I629,6,2)+1</f>
        <v>Line_73</v>
      </c>
      <c r="O635" s="40">
        <f>VALUE(MID($I635,6,3))</f>
        <v>73</v>
      </c>
    </row>
    <row r="636" spans="9:15" x14ac:dyDescent="0.25">
      <c r="I636" s="39">
        <v>0</v>
      </c>
      <c r="J636" s="30" t="e">
        <f ca="1">IF(OFFSET($C$3,MATCH(I635,$B$3:$B$102,0)-1,J$2-1)=$I636,1,0)</f>
        <v>#N/A</v>
      </c>
      <c r="K636" s="31" t="e">
        <f ca="1">IF(OFFSET($C$3,MATCH(I635,$B$3:$B$102,0)-1,K$2-1)=$I636,1,0)</f>
        <v>#N/A</v>
      </c>
      <c r="L636" s="31" t="e">
        <f ca="1">IF(OFFSET($C$3,MATCH(I635,$B$3:$B$102,0)-1,L$2-1)=$I636,1,0)</f>
        <v>#N/A</v>
      </c>
      <c r="M636" s="31" t="e">
        <f ca="1">IF(OFFSET($C$3,MATCH(I635,$B$3:$B$102,0)-1,M$2-1)=$I636,1,0)</f>
        <v>#N/A</v>
      </c>
      <c r="N636" s="32" t="e">
        <f ca="1">IF(OFFSET($C$3,MATCH(I635,$B$3:$B$102,0)-1,N$2-1)=$I636,1,0)</f>
        <v>#N/A</v>
      </c>
    </row>
    <row r="637" spans="9:15" x14ac:dyDescent="0.25">
      <c r="I637" s="39">
        <v>1</v>
      </c>
      <c r="J637" s="33" t="e">
        <f ca="1">IF(OFFSET($C$3,MATCH(I635,$B$3:$B$102,0)-1,J$2-1)=$I637,1,0)</f>
        <v>#N/A</v>
      </c>
      <c r="K637" s="34" t="e">
        <f ca="1">IF(OFFSET($C$3,MATCH(I635,$B$3:$B$102,0)-1,K$2-1)=$I637,1,0)</f>
        <v>#N/A</v>
      </c>
      <c r="L637" s="34" t="e">
        <f ca="1">IF(OFFSET($C$3,MATCH(I635,$B$3:$B$102,0)-1,L$2-1)=$I637,1,0)</f>
        <v>#N/A</v>
      </c>
      <c r="M637" s="34" t="e">
        <f ca="1">IF(OFFSET($C$3,MATCH(I635,$B$3:$B$102,0)-1,M$2-1)=$I637,1,0)</f>
        <v>#N/A</v>
      </c>
      <c r="N637" s="35" t="e">
        <f ca="1">IF(OFFSET($C$3,MATCH(I635,$B$3:$B$102,0)-1,N$2-1)=$I637,1,0)</f>
        <v>#N/A</v>
      </c>
    </row>
    <row r="638" spans="9:15" x14ac:dyDescent="0.25">
      <c r="I638" s="39">
        <v>2</v>
      </c>
      <c r="J638" s="43" t="e">
        <f ca="1">IF(OFFSET($C$3,MATCH(I635,$B$3:$B$102,0)-1,J$2-1)=$I638,1,0)</f>
        <v>#N/A</v>
      </c>
      <c r="K638" s="44" t="e">
        <f ca="1">IF(OFFSET($C$3,MATCH(I635,$B$3:$B$102,0)-1,K$2-1)=$I638,1,0)</f>
        <v>#N/A</v>
      </c>
      <c r="L638" s="44" t="e">
        <f ca="1">IF(OFFSET($C$3,MATCH(I635,$B$3:$B$102,0)-1,L$2-1)=$I638,1,0)</f>
        <v>#N/A</v>
      </c>
      <c r="M638" s="44" t="e">
        <f ca="1">IF(OFFSET($C$3,MATCH(I635,$B$3:$B$102,0)-1,M$2-1)=$I638,1,0)</f>
        <v>#N/A</v>
      </c>
      <c r="N638" s="45" t="e">
        <f ca="1">IF(OFFSET($C$3,MATCH(I635,$B$3:$B$102,0)-1,N$2-1)=$I638,1,0)</f>
        <v>#N/A</v>
      </c>
    </row>
    <row r="639" spans="9:15" ht="15.75" thickBot="1" x14ac:dyDescent="0.3">
      <c r="I639" s="39">
        <v>3</v>
      </c>
      <c r="J639" s="36" t="e">
        <f ca="1">IF(OFFSET($C$3,MATCH(I635,$B$3:$B$102,0)-1,J$2-1)=$I639,1,0)</f>
        <v>#N/A</v>
      </c>
      <c r="K639" s="37" t="e">
        <f ca="1">IF(OFFSET($C$3,MATCH(I635,$B$3:$B$102,0)-1,K$2-1)=$I639,1,0)</f>
        <v>#N/A</v>
      </c>
      <c r="L639" s="37" t="e">
        <f ca="1">IF(OFFSET($C$3,MATCH(I635,$B$3:$B$102,0)-1,L$2-1)=$I639,1,0)</f>
        <v>#N/A</v>
      </c>
      <c r="M639" s="37" t="e">
        <f ca="1">IF(OFFSET($C$3,MATCH(I635,$B$3:$B$102,0)-1,M$2-1)=$I639,1,0)</f>
        <v>#N/A</v>
      </c>
      <c r="N639" s="38" t="e">
        <f ca="1">IF(OFFSET($C$3,MATCH(I635,$B$3:$B$102,0)-1,N$2-1)=$I639,1,0)</f>
        <v>#N/A</v>
      </c>
    </row>
    <row r="640" spans="9:15" x14ac:dyDescent="0.25">
      <c r="I640" s="39"/>
      <c r="J640" s="20"/>
      <c r="K640" s="20"/>
      <c r="L640" s="20"/>
      <c r="M640" s="20"/>
      <c r="N640" s="20"/>
    </row>
    <row r="641" spans="9:15" ht="15.75" thickBot="1" x14ac:dyDescent="0.3">
      <c r="I641" t="str">
        <f>MID(I635,1,5)&amp;MID(I635,6,2)+1</f>
        <v>Line_74</v>
      </c>
      <c r="O641" s="40">
        <f>VALUE(MID($I641,6,3))</f>
        <v>74</v>
      </c>
    </row>
    <row r="642" spans="9:15" x14ac:dyDescent="0.25">
      <c r="I642" s="39">
        <v>0</v>
      </c>
      <c r="J642" s="30" t="e">
        <f ca="1">IF(OFFSET($C$3,MATCH(I641,$B$3:$B$102,0)-1,J$2-1)=$I642,1,0)</f>
        <v>#N/A</v>
      </c>
      <c r="K642" s="31" t="e">
        <f ca="1">IF(OFFSET($C$3,MATCH(I641,$B$3:$B$102,0)-1,K$2-1)=$I642,1,0)</f>
        <v>#N/A</v>
      </c>
      <c r="L642" s="31" t="e">
        <f ca="1">IF(OFFSET($C$3,MATCH(I641,$B$3:$B$102,0)-1,L$2-1)=$I642,1,0)</f>
        <v>#N/A</v>
      </c>
      <c r="M642" s="31" t="e">
        <f ca="1">IF(OFFSET($C$3,MATCH(I641,$B$3:$B$102,0)-1,M$2-1)=$I642,1,0)</f>
        <v>#N/A</v>
      </c>
      <c r="N642" s="32" t="e">
        <f ca="1">IF(OFFSET($C$3,MATCH(I641,$B$3:$B$102,0)-1,N$2-1)=$I642,1,0)</f>
        <v>#N/A</v>
      </c>
    </row>
    <row r="643" spans="9:15" x14ac:dyDescent="0.25">
      <c r="I643" s="39">
        <v>1</v>
      </c>
      <c r="J643" s="33" t="e">
        <f ca="1">IF(OFFSET($C$3,MATCH(I641,$B$3:$B$102,0)-1,J$2-1)=$I643,1,0)</f>
        <v>#N/A</v>
      </c>
      <c r="K643" s="34" t="e">
        <f ca="1">IF(OFFSET($C$3,MATCH(I641,$B$3:$B$102,0)-1,K$2-1)=$I643,1,0)</f>
        <v>#N/A</v>
      </c>
      <c r="L643" s="34" t="e">
        <f ca="1">IF(OFFSET($C$3,MATCH(I641,$B$3:$B$102,0)-1,L$2-1)=$I643,1,0)</f>
        <v>#N/A</v>
      </c>
      <c r="M643" s="34" t="e">
        <f ca="1">IF(OFFSET($C$3,MATCH(I641,$B$3:$B$102,0)-1,M$2-1)=$I643,1,0)</f>
        <v>#N/A</v>
      </c>
      <c r="N643" s="35" t="e">
        <f ca="1">IF(OFFSET($C$3,MATCH(I641,$B$3:$B$102,0)-1,N$2-1)=$I643,1,0)</f>
        <v>#N/A</v>
      </c>
    </row>
    <row r="644" spans="9:15" x14ac:dyDescent="0.25">
      <c r="I644" s="39">
        <v>2</v>
      </c>
      <c r="J644" s="43" t="e">
        <f ca="1">IF(OFFSET($C$3,MATCH(I641,$B$3:$B$102,0)-1,J$2-1)=$I644,1,0)</f>
        <v>#N/A</v>
      </c>
      <c r="K644" s="44" t="e">
        <f ca="1">IF(OFFSET($C$3,MATCH(I641,$B$3:$B$102,0)-1,K$2-1)=$I644,1,0)</f>
        <v>#N/A</v>
      </c>
      <c r="L644" s="44" t="e">
        <f ca="1">IF(OFFSET($C$3,MATCH(I641,$B$3:$B$102,0)-1,L$2-1)=$I644,1,0)</f>
        <v>#N/A</v>
      </c>
      <c r="M644" s="44" t="e">
        <f ca="1">IF(OFFSET($C$3,MATCH(I641,$B$3:$B$102,0)-1,M$2-1)=$I644,1,0)</f>
        <v>#N/A</v>
      </c>
      <c r="N644" s="45" t="e">
        <f ca="1">IF(OFFSET($C$3,MATCH(I641,$B$3:$B$102,0)-1,N$2-1)=$I644,1,0)</f>
        <v>#N/A</v>
      </c>
    </row>
    <row r="645" spans="9:15" ht="15.75" thickBot="1" x14ac:dyDescent="0.3">
      <c r="I645" s="39">
        <v>3</v>
      </c>
      <c r="J645" s="36" t="e">
        <f ca="1">IF(OFFSET($C$3,MATCH(I641,$B$3:$B$102,0)-1,J$2-1)=$I645,1,0)</f>
        <v>#N/A</v>
      </c>
      <c r="K645" s="37" t="e">
        <f ca="1">IF(OFFSET($C$3,MATCH(I641,$B$3:$B$102,0)-1,K$2-1)=$I645,1,0)</f>
        <v>#N/A</v>
      </c>
      <c r="L645" s="37" t="e">
        <f ca="1">IF(OFFSET($C$3,MATCH(I641,$B$3:$B$102,0)-1,L$2-1)=$I645,1,0)</f>
        <v>#N/A</v>
      </c>
      <c r="M645" s="37" t="e">
        <f ca="1">IF(OFFSET($C$3,MATCH(I641,$B$3:$B$102,0)-1,M$2-1)=$I645,1,0)</f>
        <v>#N/A</v>
      </c>
      <c r="N645" s="38" t="e">
        <f ca="1">IF(OFFSET($C$3,MATCH(I641,$B$3:$B$102,0)-1,N$2-1)=$I645,1,0)</f>
        <v>#N/A</v>
      </c>
    </row>
    <row r="646" spans="9:15" x14ac:dyDescent="0.25">
      <c r="I646" s="39"/>
      <c r="J646" s="42"/>
      <c r="K646" s="42"/>
      <c r="L646" s="42"/>
      <c r="M646" s="42"/>
      <c r="N646" s="42"/>
    </row>
    <row r="647" spans="9:15" ht="15.75" thickBot="1" x14ac:dyDescent="0.3">
      <c r="I647" t="str">
        <f>MID(I641,1,5)&amp;MID(I641,6,2)+1</f>
        <v>Line_75</v>
      </c>
      <c r="O647" s="40">
        <f>VALUE(MID($I647,6,3))</f>
        <v>75</v>
      </c>
    </row>
    <row r="648" spans="9:15" x14ac:dyDescent="0.25">
      <c r="I648" s="39">
        <v>0</v>
      </c>
      <c r="J648" s="30" t="e">
        <f ca="1">IF(OFFSET($C$3,MATCH(I647,$B$3:$B$102,0)-1,J$2-1)=$I648,1,0)</f>
        <v>#N/A</v>
      </c>
      <c r="K648" s="31" t="e">
        <f ca="1">IF(OFFSET($C$3,MATCH(I647,$B$3:$B$102,0)-1,K$2-1)=$I648,1,0)</f>
        <v>#N/A</v>
      </c>
      <c r="L648" s="31" t="e">
        <f ca="1">IF(OFFSET($C$3,MATCH(I647,$B$3:$B$102,0)-1,L$2-1)=$I648,1,0)</f>
        <v>#N/A</v>
      </c>
      <c r="M648" s="31" t="e">
        <f ca="1">IF(OFFSET($C$3,MATCH(I647,$B$3:$B$102,0)-1,M$2-1)=$I648,1,0)</f>
        <v>#N/A</v>
      </c>
      <c r="N648" s="32" t="e">
        <f ca="1">IF(OFFSET($C$3,MATCH(I647,$B$3:$B$102,0)-1,N$2-1)=$I648,1,0)</f>
        <v>#N/A</v>
      </c>
    </row>
    <row r="649" spans="9:15" x14ac:dyDescent="0.25">
      <c r="I649" s="39">
        <v>1</v>
      </c>
      <c r="J649" s="33" t="e">
        <f ca="1">IF(OFFSET($C$3,MATCH(I647,$B$3:$B$102,0)-1,J$2-1)=$I649,1,0)</f>
        <v>#N/A</v>
      </c>
      <c r="K649" s="34" t="e">
        <f ca="1">IF(OFFSET($C$3,MATCH(I647,$B$3:$B$102,0)-1,K$2-1)=$I649,1,0)</f>
        <v>#N/A</v>
      </c>
      <c r="L649" s="34" t="e">
        <f ca="1">IF(OFFSET($C$3,MATCH(I647,$B$3:$B$102,0)-1,L$2-1)=$I649,1,0)</f>
        <v>#N/A</v>
      </c>
      <c r="M649" s="34" t="e">
        <f ca="1">IF(OFFSET($C$3,MATCH(I647,$B$3:$B$102,0)-1,M$2-1)=$I649,1,0)</f>
        <v>#N/A</v>
      </c>
      <c r="N649" s="35" t="e">
        <f ca="1">IF(OFFSET($C$3,MATCH(I647,$B$3:$B$102,0)-1,N$2-1)=$I649,1,0)</f>
        <v>#N/A</v>
      </c>
    </row>
    <row r="650" spans="9:15" x14ac:dyDescent="0.25">
      <c r="I650" s="39">
        <v>2</v>
      </c>
      <c r="J650" s="43" t="e">
        <f ca="1">IF(OFFSET($C$3,MATCH(I647,$B$3:$B$102,0)-1,J$2-1)=$I650,1,0)</f>
        <v>#N/A</v>
      </c>
      <c r="K650" s="44" t="e">
        <f ca="1">IF(OFFSET($C$3,MATCH(I647,$B$3:$B$102,0)-1,K$2-1)=$I650,1,0)</f>
        <v>#N/A</v>
      </c>
      <c r="L650" s="44" t="e">
        <f ca="1">IF(OFFSET($C$3,MATCH(I647,$B$3:$B$102,0)-1,L$2-1)=$I650,1,0)</f>
        <v>#N/A</v>
      </c>
      <c r="M650" s="44" t="e">
        <f ca="1">IF(OFFSET($C$3,MATCH(I647,$B$3:$B$102,0)-1,M$2-1)=$I650,1,0)</f>
        <v>#N/A</v>
      </c>
      <c r="N650" s="45" t="e">
        <f ca="1">IF(OFFSET($C$3,MATCH(I647,$B$3:$B$102,0)-1,N$2-1)=$I650,1,0)</f>
        <v>#N/A</v>
      </c>
    </row>
    <row r="651" spans="9:15" ht="15.75" thickBot="1" x14ac:dyDescent="0.3">
      <c r="I651" s="39">
        <v>3</v>
      </c>
      <c r="J651" s="36" t="e">
        <f ca="1">IF(OFFSET($C$3,MATCH(I647,$B$3:$B$102,0)-1,J$2-1)=$I651,1,0)</f>
        <v>#N/A</v>
      </c>
      <c r="K651" s="37" t="e">
        <f ca="1">IF(OFFSET($C$3,MATCH(I647,$B$3:$B$102,0)-1,K$2-1)=$I651,1,0)</f>
        <v>#N/A</v>
      </c>
      <c r="L651" s="37" t="e">
        <f ca="1">IF(OFFSET($C$3,MATCH(I647,$B$3:$B$102,0)-1,L$2-1)=$I651,1,0)</f>
        <v>#N/A</v>
      </c>
      <c r="M651" s="37" t="e">
        <f ca="1">IF(OFFSET($C$3,MATCH(I647,$B$3:$B$102,0)-1,M$2-1)=$I651,1,0)</f>
        <v>#N/A</v>
      </c>
      <c r="N651" s="38" t="e">
        <f ca="1">IF(OFFSET($C$3,MATCH(I647,$B$3:$B$102,0)-1,N$2-1)=$I651,1,0)</f>
        <v>#N/A</v>
      </c>
    </row>
    <row r="652" spans="9:15" x14ac:dyDescent="0.25">
      <c r="I652" s="39"/>
      <c r="J652" s="20"/>
      <c r="K652" s="20"/>
      <c r="L652" s="20"/>
      <c r="M652" s="20"/>
      <c r="N652" s="20"/>
    </row>
    <row r="653" spans="9:15" ht="15.75" thickBot="1" x14ac:dyDescent="0.3">
      <c r="I653" t="str">
        <f>MID(I647,1,5)&amp;MID(I647,6,2)+1</f>
        <v>Line_76</v>
      </c>
      <c r="O653" s="40">
        <f>VALUE(MID($I653,6,3))</f>
        <v>76</v>
      </c>
    </row>
    <row r="654" spans="9:15" x14ac:dyDescent="0.25">
      <c r="I654" s="39">
        <v>0</v>
      </c>
      <c r="J654" s="30" t="e">
        <f ca="1">IF(OFFSET($C$3,MATCH(I653,$B$3:$B$102,0)-1,J$2-1)=$I654,1,0)</f>
        <v>#N/A</v>
      </c>
      <c r="K654" s="31" t="e">
        <f ca="1">IF(OFFSET($C$3,MATCH(I653,$B$3:$B$102,0)-1,K$2-1)=$I654,1,0)</f>
        <v>#N/A</v>
      </c>
      <c r="L654" s="31" t="e">
        <f ca="1">IF(OFFSET($C$3,MATCH(I653,$B$3:$B$102,0)-1,L$2-1)=$I654,1,0)</f>
        <v>#N/A</v>
      </c>
      <c r="M654" s="31" t="e">
        <f ca="1">IF(OFFSET($C$3,MATCH(I653,$B$3:$B$102,0)-1,M$2-1)=$I654,1,0)</f>
        <v>#N/A</v>
      </c>
      <c r="N654" s="32" t="e">
        <f ca="1">IF(OFFSET($C$3,MATCH(I653,$B$3:$B$102,0)-1,N$2-1)=$I654,1,0)</f>
        <v>#N/A</v>
      </c>
    </row>
    <row r="655" spans="9:15" x14ac:dyDescent="0.25">
      <c r="I655" s="39">
        <v>1</v>
      </c>
      <c r="J655" s="33" t="e">
        <f ca="1">IF(OFFSET($C$3,MATCH(I653,$B$3:$B$102,0)-1,J$2-1)=$I655,1,0)</f>
        <v>#N/A</v>
      </c>
      <c r="K655" s="34" t="e">
        <f ca="1">IF(OFFSET($C$3,MATCH(I653,$B$3:$B$102,0)-1,K$2-1)=$I655,1,0)</f>
        <v>#N/A</v>
      </c>
      <c r="L655" s="34" t="e">
        <f ca="1">IF(OFFSET($C$3,MATCH(I653,$B$3:$B$102,0)-1,L$2-1)=$I655,1,0)</f>
        <v>#N/A</v>
      </c>
      <c r="M655" s="34" t="e">
        <f ca="1">IF(OFFSET($C$3,MATCH(I653,$B$3:$B$102,0)-1,M$2-1)=$I655,1,0)</f>
        <v>#N/A</v>
      </c>
      <c r="N655" s="35" t="e">
        <f ca="1">IF(OFFSET($C$3,MATCH(I653,$B$3:$B$102,0)-1,N$2-1)=$I655,1,0)</f>
        <v>#N/A</v>
      </c>
    </row>
    <row r="656" spans="9:15" x14ac:dyDescent="0.25">
      <c r="I656" s="39">
        <v>2</v>
      </c>
      <c r="J656" s="43" t="e">
        <f ca="1">IF(OFFSET($C$3,MATCH(I653,$B$3:$B$102,0)-1,J$2-1)=$I656,1,0)</f>
        <v>#N/A</v>
      </c>
      <c r="K656" s="44" t="e">
        <f ca="1">IF(OFFSET($C$3,MATCH(I653,$B$3:$B$102,0)-1,K$2-1)=$I656,1,0)</f>
        <v>#N/A</v>
      </c>
      <c r="L656" s="44" t="e">
        <f ca="1">IF(OFFSET($C$3,MATCH(I653,$B$3:$B$102,0)-1,L$2-1)=$I656,1,0)</f>
        <v>#N/A</v>
      </c>
      <c r="M656" s="44" t="e">
        <f ca="1">IF(OFFSET($C$3,MATCH(I653,$B$3:$B$102,0)-1,M$2-1)=$I656,1,0)</f>
        <v>#N/A</v>
      </c>
      <c r="N656" s="45" t="e">
        <f ca="1">IF(OFFSET($C$3,MATCH(I653,$B$3:$B$102,0)-1,N$2-1)=$I656,1,0)</f>
        <v>#N/A</v>
      </c>
    </row>
    <row r="657" spans="9:15" ht="15.75" thickBot="1" x14ac:dyDescent="0.3">
      <c r="I657" s="39">
        <v>3</v>
      </c>
      <c r="J657" s="36" t="e">
        <f ca="1">IF(OFFSET($C$3,MATCH(I653,$B$3:$B$102,0)-1,J$2-1)=$I657,1,0)</f>
        <v>#N/A</v>
      </c>
      <c r="K657" s="37" t="e">
        <f ca="1">IF(OFFSET($C$3,MATCH(I653,$B$3:$B$102,0)-1,K$2-1)=$I657,1,0)</f>
        <v>#N/A</v>
      </c>
      <c r="L657" s="37" t="e">
        <f ca="1">IF(OFFSET($C$3,MATCH(I653,$B$3:$B$102,0)-1,L$2-1)=$I657,1,0)</f>
        <v>#N/A</v>
      </c>
      <c r="M657" s="37" t="e">
        <f ca="1">IF(OFFSET($C$3,MATCH(I653,$B$3:$B$102,0)-1,M$2-1)=$I657,1,0)</f>
        <v>#N/A</v>
      </c>
      <c r="N657" s="38" t="e">
        <f ca="1">IF(OFFSET($C$3,MATCH(I653,$B$3:$B$102,0)-1,N$2-1)=$I657,1,0)</f>
        <v>#N/A</v>
      </c>
    </row>
    <row r="659" spans="9:15" ht="15.75" thickBot="1" x14ac:dyDescent="0.3">
      <c r="I659" t="str">
        <f>MID(I653,1,5)&amp;MID(I653,6,2)+1</f>
        <v>Line_77</v>
      </c>
      <c r="O659" s="40">
        <f>VALUE(MID($I659,6,3))</f>
        <v>77</v>
      </c>
    </row>
    <row r="660" spans="9:15" x14ac:dyDescent="0.25">
      <c r="I660" s="39">
        <v>0</v>
      </c>
      <c r="J660" s="30" t="e">
        <f ca="1">IF(OFFSET($C$3,MATCH(I659,$B$3:$B$102,0)-1,J$2-1)=$I660,1,0)</f>
        <v>#N/A</v>
      </c>
      <c r="K660" s="31" t="e">
        <f ca="1">IF(OFFSET($C$3,MATCH(I659,$B$3:$B$102,0)-1,K$2-1)=$I660,1,0)</f>
        <v>#N/A</v>
      </c>
      <c r="L660" s="31" t="e">
        <f ca="1">IF(OFFSET($C$3,MATCH(I659,$B$3:$B$102,0)-1,L$2-1)=$I660,1,0)</f>
        <v>#N/A</v>
      </c>
      <c r="M660" s="31" t="e">
        <f ca="1">IF(OFFSET($C$3,MATCH(I659,$B$3:$B$102,0)-1,M$2-1)=$I660,1,0)</f>
        <v>#N/A</v>
      </c>
      <c r="N660" s="32" t="e">
        <f ca="1">IF(OFFSET($C$3,MATCH(I659,$B$3:$B$102,0)-1,N$2-1)=$I660,1,0)</f>
        <v>#N/A</v>
      </c>
    </row>
    <row r="661" spans="9:15" x14ac:dyDescent="0.25">
      <c r="I661" s="39">
        <v>1</v>
      </c>
      <c r="J661" s="33" t="e">
        <f ca="1">IF(OFFSET($C$3,MATCH(I659,$B$3:$B$102,0)-1,J$2-1)=$I661,1,0)</f>
        <v>#N/A</v>
      </c>
      <c r="K661" s="34" t="e">
        <f ca="1">IF(OFFSET($C$3,MATCH(I659,$B$3:$B$102,0)-1,K$2-1)=$I661,1,0)</f>
        <v>#N/A</v>
      </c>
      <c r="L661" s="34" t="e">
        <f ca="1">IF(OFFSET($C$3,MATCH(I659,$B$3:$B$102,0)-1,L$2-1)=$I661,1,0)</f>
        <v>#N/A</v>
      </c>
      <c r="M661" s="34" t="e">
        <f ca="1">IF(OFFSET($C$3,MATCH(I659,$B$3:$B$102,0)-1,M$2-1)=$I661,1,0)</f>
        <v>#N/A</v>
      </c>
      <c r="N661" s="35" t="e">
        <f ca="1">IF(OFFSET($C$3,MATCH(I659,$B$3:$B$102,0)-1,N$2-1)=$I661,1,0)</f>
        <v>#N/A</v>
      </c>
    </row>
    <row r="662" spans="9:15" x14ac:dyDescent="0.25">
      <c r="I662" s="39">
        <v>2</v>
      </c>
      <c r="J662" s="43" t="e">
        <f ca="1">IF(OFFSET($C$3,MATCH(I659,$B$3:$B$102,0)-1,J$2-1)=$I662,1,0)</f>
        <v>#N/A</v>
      </c>
      <c r="K662" s="44" t="e">
        <f ca="1">IF(OFFSET($C$3,MATCH(I659,$B$3:$B$102,0)-1,K$2-1)=$I662,1,0)</f>
        <v>#N/A</v>
      </c>
      <c r="L662" s="44" t="e">
        <f ca="1">IF(OFFSET($C$3,MATCH(I659,$B$3:$B$102,0)-1,L$2-1)=$I662,1,0)</f>
        <v>#N/A</v>
      </c>
      <c r="M662" s="44" t="e">
        <f ca="1">IF(OFFSET($C$3,MATCH(I659,$B$3:$B$102,0)-1,M$2-1)=$I662,1,0)</f>
        <v>#N/A</v>
      </c>
      <c r="N662" s="45" t="e">
        <f ca="1">IF(OFFSET($C$3,MATCH(I659,$B$3:$B$102,0)-1,N$2-1)=$I662,1,0)</f>
        <v>#N/A</v>
      </c>
    </row>
    <row r="663" spans="9:15" ht="15.75" thickBot="1" x14ac:dyDescent="0.3">
      <c r="I663" s="39">
        <v>3</v>
      </c>
      <c r="J663" s="36" t="e">
        <f ca="1">IF(OFFSET($C$3,MATCH(I659,$B$3:$B$102,0)-1,J$2-1)=$I663,1,0)</f>
        <v>#N/A</v>
      </c>
      <c r="K663" s="37" t="e">
        <f ca="1">IF(OFFSET($C$3,MATCH(I659,$B$3:$B$102,0)-1,K$2-1)=$I663,1,0)</f>
        <v>#N/A</v>
      </c>
      <c r="L663" s="37" t="e">
        <f ca="1">IF(OFFSET($C$3,MATCH(I659,$B$3:$B$102,0)-1,L$2-1)=$I663,1,0)</f>
        <v>#N/A</v>
      </c>
      <c r="M663" s="37" t="e">
        <f ca="1">IF(OFFSET($C$3,MATCH(I659,$B$3:$B$102,0)-1,M$2-1)=$I663,1,0)</f>
        <v>#N/A</v>
      </c>
      <c r="N663" s="38" t="e">
        <f ca="1">IF(OFFSET($C$3,MATCH(I659,$B$3:$B$102,0)-1,N$2-1)=$I663,1,0)</f>
        <v>#N/A</v>
      </c>
    </row>
    <row r="665" spans="9:15" ht="15.75" thickBot="1" x14ac:dyDescent="0.3">
      <c r="I665" t="str">
        <f>MID(I659,1,5)&amp;MID(I659,6,2)+1</f>
        <v>Line_78</v>
      </c>
      <c r="O665" s="40">
        <f>VALUE(MID($I665,6,3))</f>
        <v>78</v>
      </c>
    </row>
    <row r="666" spans="9:15" x14ac:dyDescent="0.25">
      <c r="I666" s="39">
        <v>0</v>
      </c>
      <c r="J666" s="30" t="e">
        <f ca="1">IF(OFFSET($C$3,MATCH(I665,$B$3:$B$102,0)-1,J$2-1)=$I666,1,0)</f>
        <v>#N/A</v>
      </c>
      <c r="K666" s="31" t="e">
        <f ca="1">IF(OFFSET($C$3,MATCH(I665,$B$3:$B$102,0)-1,K$2-1)=$I666,1,0)</f>
        <v>#N/A</v>
      </c>
      <c r="L666" s="31" t="e">
        <f ca="1">IF(OFFSET($C$3,MATCH(I665,$B$3:$B$102,0)-1,L$2-1)=$I666,1,0)</f>
        <v>#N/A</v>
      </c>
      <c r="M666" s="31" t="e">
        <f ca="1">IF(OFFSET($C$3,MATCH(I665,$B$3:$B$102,0)-1,M$2-1)=$I666,1,0)</f>
        <v>#N/A</v>
      </c>
      <c r="N666" s="32" t="e">
        <f ca="1">IF(OFFSET($C$3,MATCH(I665,$B$3:$B$102,0)-1,N$2-1)=$I666,1,0)</f>
        <v>#N/A</v>
      </c>
    </row>
    <row r="667" spans="9:15" x14ac:dyDescent="0.25">
      <c r="I667" s="39">
        <v>1</v>
      </c>
      <c r="J667" s="33" t="e">
        <f ca="1">IF(OFFSET($C$3,MATCH(I665,$B$3:$B$102,0)-1,J$2-1)=$I667,1,0)</f>
        <v>#N/A</v>
      </c>
      <c r="K667" s="34" t="e">
        <f ca="1">IF(OFFSET($C$3,MATCH(I665,$B$3:$B$102,0)-1,K$2-1)=$I667,1,0)</f>
        <v>#N/A</v>
      </c>
      <c r="L667" s="34" t="e">
        <f ca="1">IF(OFFSET($C$3,MATCH(I665,$B$3:$B$102,0)-1,L$2-1)=$I667,1,0)</f>
        <v>#N/A</v>
      </c>
      <c r="M667" s="34" t="e">
        <f ca="1">IF(OFFSET($C$3,MATCH(I665,$B$3:$B$102,0)-1,M$2-1)=$I667,1,0)</f>
        <v>#N/A</v>
      </c>
      <c r="N667" s="35" t="e">
        <f ca="1">IF(OFFSET($C$3,MATCH(I665,$B$3:$B$102,0)-1,N$2-1)=$I667,1,0)</f>
        <v>#N/A</v>
      </c>
    </row>
    <row r="668" spans="9:15" x14ac:dyDescent="0.25">
      <c r="I668" s="39">
        <v>2</v>
      </c>
      <c r="J668" s="43" t="e">
        <f ca="1">IF(OFFSET($C$3,MATCH(I665,$B$3:$B$102,0)-1,J$2-1)=$I668,1,0)</f>
        <v>#N/A</v>
      </c>
      <c r="K668" s="44" t="e">
        <f ca="1">IF(OFFSET($C$3,MATCH(I665,$B$3:$B$102,0)-1,K$2-1)=$I668,1,0)</f>
        <v>#N/A</v>
      </c>
      <c r="L668" s="44" t="e">
        <f ca="1">IF(OFFSET($C$3,MATCH(I665,$B$3:$B$102,0)-1,L$2-1)=$I668,1,0)</f>
        <v>#N/A</v>
      </c>
      <c r="M668" s="44" t="e">
        <f ca="1">IF(OFFSET($C$3,MATCH(I665,$B$3:$B$102,0)-1,M$2-1)=$I668,1,0)</f>
        <v>#N/A</v>
      </c>
      <c r="N668" s="45" t="e">
        <f ca="1">IF(OFFSET($C$3,MATCH(I665,$B$3:$B$102,0)-1,N$2-1)=$I668,1,0)</f>
        <v>#N/A</v>
      </c>
    </row>
    <row r="669" spans="9:15" ht="15.75" thickBot="1" x14ac:dyDescent="0.3">
      <c r="I669" s="39">
        <v>3</v>
      </c>
      <c r="J669" s="36" t="e">
        <f ca="1">IF(OFFSET($C$3,MATCH(I665,$B$3:$B$102,0)-1,J$2-1)=$I669,1,0)</f>
        <v>#N/A</v>
      </c>
      <c r="K669" s="37" t="e">
        <f ca="1">IF(OFFSET($C$3,MATCH(I665,$B$3:$B$102,0)-1,K$2-1)=$I669,1,0)</f>
        <v>#N/A</v>
      </c>
      <c r="L669" s="37" t="e">
        <f ca="1">IF(OFFSET($C$3,MATCH(I665,$B$3:$B$102,0)-1,L$2-1)=$I669,1,0)</f>
        <v>#N/A</v>
      </c>
      <c r="M669" s="37" t="e">
        <f ca="1">IF(OFFSET($C$3,MATCH(I665,$B$3:$B$102,0)-1,M$2-1)=$I669,1,0)</f>
        <v>#N/A</v>
      </c>
      <c r="N669" s="38" t="e">
        <f ca="1">IF(OFFSET($C$3,MATCH(I665,$B$3:$B$102,0)-1,N$2-1)=$I669,1,0)</f>
        <v>#N/A</v>
      </c>
    </row>
    <row r="670" spans="9:15" x14ac:dyDescent="0.25">
      <c r="I670" s="39"/>
      <c r="J670" s="20"/>
      <c r="K670" s="20"/>
      <c r="L670" s="20"/>
      <c r="M670" s="20"/>
      <c r="N670" s="20"/>
    </row>
    <row r="671" spans="9:15" ht="15.75" thickBot="1" x14ac:dyDescent="0.3">
      <c r="I671" t="str">
        <f>MID(I665,1,5)&amp;MID(I665,6,2)+1</f>
        <v>Line_79</v>
      </c>
      <c r="O671" s="40">
        <f>VALUE(MID($I671,6,3))</f>
        <v>79</v>
      </c>
    </row>
    <row r="672" spans="9:15" x14ac:dyDescent="0.25">
      <c r="I672" s="39">
        <v>0</v>
      </c>
      <c r="J672" s="30" t="e">
        <f ca="1">IF(OFFSET($C$3,MATCH(I671,$B$3:$B$102,0)-1,J$2-1)=$I672,1,0)</f>
        <v>#N/A</v>
      </c>
      <c r="K672" s="31" t="e">
        <f ca="1">IF(OFFSET($C$3,MATCH(I671,$B$3:$B$102,0)-1,K$2-1)=$I672,1,0)</f>
        <v>#N/A</v>
      </c>
      <c r="L672" s="31" t="e">
        <f ca="1">IF(OFFSET($C$3,MATCH(I671,$B$3:$B$102,0)-1,L$2-1)=$I672,1,0)</f>
        <v>#N/A</v>
      </c>
      <c r="M672" s="31" t="e">
        <f ca="1">IF(OFFSET($C$3,MATCH(I671,$B$3:$B$102,0)-1,M$2-1)=$I672,1,0)</f>
        <v>#N/A</v>
      </c>
      <c r="N672" s="32" t="e">
        <f ca="1">IF(OFFSET($C$3,MATCH(I671,$B$3:$B$102,0)-1,N$2-1)=$I672,1,0)</f>
        <v>#N/A</v>
      </c>
    </row>
    <row r="673" spans="9:15" x14ac:dyDescent="0.25">
      <c r="I673" s="39">
        <v>1</v>
      </c>
      <c r="J673" s="33" t="e">
        <f ca="1">IF(OFFSET($C$3,MATCH(I671,$B$3:$B$102,0)-1,J$2-1)=$I673,1,0)</f>
        <v>#N/A</v>
      </c>
      <c r="K673" s="34" t="e">
        <f ca="1">IF(OFFSET($C$3,MATCH(I671,$B$3:$B$102,0)-1,K$2-1)=$I673,1,0)</f>
        <v>#N/A</v>
      </c>
      <c r="L673" s="34" t="e">
        <f ca="1">IF(OFFSET($C$3,MATCH(I671,$B$3:$B$102,0)-1,L$2-1)=$I673,1,0)</f>
        <v>#N/A</v>
      </c>
      <c r="M673" s="34" t="e">
        <f ca="1">IF(OFFSET($C$3,MATCH(I671,$B$3:$B$102,0)-1,M$2-1)=$I673,1,0)</f>
        <v>#N/A</v>
      </c>
      <c r="N673" s="35" t="e">
        <f ca="1">IF(OFFSET($C$3,MATCH(I671,$B$3:$B$102,0)-1,N$2-1)=$I673,1,0)</f>
        <v>#N/A</v>
      </c>
    </row>
    <row r="674" spans="9:15" x14ac:dyDescent="0.25">
      <c r="I674" s="39">
        <v>2</v>
      </c>
      <c r="J674" s="43" t="e">
        <f ca="1">IF(OFFSET($C$3,MATCH(I671,$B$3:$B$102,0)-1,J$2-1)=$I674,1,0)</f>
        <v>#N/A</v>
      </c>
      <c r="K674" s="44" t="e">
        <f ca="1">IF(OFFSET($C$3,MATCH(I671,$B$3:$B$102,0)-1,K$2-1)=$I674,1,0)</f>
        <v>#N/A</v>
      </c>
      <c r="L674" s="44" t="e">
        <f ca="1">IF(OFFSET($C$3,MATCH(I671,$B$3:$B$102,0)-1,L$2-1)=$I674,1,0)</f>
        <v>#N/A</v>
      </c>
      <c r="M674" s="44" t="e">
        <f ca="1">IF(OFFSET($C$3,MATCH(I671,$B$3:$B$102,0)-1,M$2-1)=$I674,1,0)</f>
        <v>#N/A</v>
      </c>
      <c r="N674" s="45" t="e">
        <f ca="1">IF(OFFSET($C$3,MATCH(I671,$B$3:$B$102,0)-1,N$2-1)=$I674,1,0)</f>
        <v>#N/A</v>
      </c>
    </row>
    <row r="675" spans="9:15" ht="15.75" thickBot="1" x14ac:dyDescent="0.3">
      <c r="I675" s="39">
        <v>3</v>
      </c>
      <c r="J675" s="36" t="e">
        <f ca="1">IF(OFFSET($C$3,MATCH(I671,$B$3:$B$102,0)-1,J$2-1)=$I675,1,0)</f>
        <v>#N/A</v>
      </c>
      <c r="K675" s="37" t="e">
        <f ca="1">IF(OFFSET($C$3,MATCH(I671,$B$3:$B$102,0)-1,K$2-1)=$I675,1,0)</f>
        <v>#N/A</v>
      </c>
      <c r="L675" s="37" t="e">
        <f ca="1">IF(OFFSET($C$3,MATCH(I671,$B$3:$B$102,0)-1,L$2-1)=$I675,1,0)</f>
        <v>#N/A</v>
      </c>
      <c r="M675" s="37" t="e">
        <f ca="1">IF(OFFSET($C$3,MATCH(I671,$B$3:$B$102,0)-1,M$2-1)=$I675,1,0)</f>
        <v>#N/A</v>
      </c>
      <c r="N675" s="38" t="e">
        <f ca="1">IF(OFFSET($C$3,MATCH(I671,$B$3:$B$102,0)-1,N$2-1)=$I675,1,0)</f>
        <v>#N/A</v>
      </c>
    </row>
    <row r="677" spans="9:15" ht="15.75" thickBot="1" x14ac:dyDescent="0.3">
      <c r="I677" t="str">
        <f>MID(I671,1,5)&amp;MID(I671,6,2)+1</f>
        <v>Line_80</v>
      </c>
      <c r="O677" s="40">
        <f>VALUE(MID($I677,6,3))</f>
        <v>80</v>
      </c>
    </row>
    <row r="678" spans="9:15" x14ac:dyDescent="0.25">
      <c r="I678" s="39">
        <v>0</v>
      </c>
      <c r="J678" s="30" t="e">
        <f ca="1">IF(OFFSET($C$3,MATCH(I677,$B$3:$B$102,0)-1,J$2-1)=$I678,1,0)</f>
        <v>#N/A</v>
      </c>
      <c r="K678" s="31" t="e">
        <f ca="1">IF(OFFSET($C$3,MATCH(I677,$B$3:$B$102,0)-1,K$2-1)=$I678,1,0)</f>
        <v>#N/A</v>
      </c>
      <c r="L678" s="31" t="e">
        <f ca="1">IF(OFFSET($C$3,MATCH(I677,$B$3:$B$102,0)-1,L$2-1)=$I678,1,0)</f>
        <v>#N/A</v>
      </c>
      <c r="M678" s="31" t="e">
        <f ca="1">IF(OFFSET($C$3,MATCH(I677,$B$3:$B$102,0)-1,M$2-1)=$I678,1,0)</f>
        <v>#N/A</v>
      </c>
      <c r="N678" s="32" t="e">
        <f ca="1">IF(OFFSET($C$3,MATCH(I677,$B$3:$B$102,0)-1,N$2-1)=$I678,1,0)</f>
        <v>#N/A</v>
      </c>
    </row>
    <row r="679" spans="9:15" x14ac:dyDescent="0.25">
      <c r="I679" s="39">
        <v>1</v>
      </c>
      <c r="J679" s="33" t="e">
        <f ca="1">IF(OFFSET($C$3,MATCH(I677,$B$3:$B$102,0)-1,J$2-1)=$I679,1,0)</f>
        <v>#N/A</v>
      </c>
      <c r="K679" s="34" t="e">
        <f ca="1">IF(OFFSET($C$3,MATCH(I677,$B$3:$B$102,0)-1,K$2-1)=$I679,1,0)</f>
        <v>#N/A</v>
      </c>
      <c r="L679" s="34" t="e">
        <f ca="1">IF(OFFSET($C$3,MATCH(I677,$B$3:$B$102,0)-1,L$2-1)=$I679,1,0)</f>
        <v>#N/A</v>
      </c>
      <c r="M679" s="34" t="e">
        <f ca="1">IF(OFFSET($C$3,MATCH(I677,$B$3:$B$102,0)-1,M$2-1)=$I679,1,0)</f>
        <v>#N/A</v>
      </c>
      <c r="N679" s="35" t="e">
        <f ca="1">IF(OFFSET($C$3,MATCH(I677,$B$3:$B$102,0)-1,N$2-1)=$I679,1,0)</f>
        <v>#N/A</v>
      </c>
    </row>
    <row r="680" spans="9:15" x14ac:dyDescent="0.25">
      <c r="I680" s="39">
        <v>2</v>
      </c>
      <c r="J680" s="43" t="e">
        <f ca="1">IF(OFFSET($C$3,MATCH(I677,$B$3:$B$102,0)-1,J$2-1)=$I680,1,0)</f>
        <v>#N/A</v>
      </c>
      <c r="K680" s="44" t="e">
        <f ca="1">IF(OFFSET($C$3,MATCH(I677,$B$3:$B$102,0)-1,K$2-1)=$I680,1,0)</f>
        <v>#N/A</v>
      </c>
      <c r="L680" s="44" t="e">
        <f ca="1">IF(OFFSET($C$3,MATCH(I677,$B$3:$B$102,0)-1,L$2-1)=$I680,1,0)</f>
        <v>#N/A</v>
      </c>
      <c r="M680" s="44" t="e">
        <f ca="1">IF(OFFSET($C$3,MATCH(I677,$B$3:$B$102,0)-1,M$2-1)=$I680,1,0)</f>
        <v>#N/A</v>
      </c>
      <c r="N680" s="45" t="e">
        <f ca="1">IF(OFFSET($C$3,MATCH(I677,$B$3:$B$102,0)-1,N$2-1)=$I680,1,0)</f>
        <v>#N/A</v>
      </c>
    </row>
    <row r="681" spans="9:15" ht="15.75" thickBot="1" x14ac:dyDescent="0.3">
      <c r="I681" s="39">
        <v>3</v>
      </c>
      <c r="J681" s="36" t="e">
        <f ca="1">IF(OFFSET($C$3,MATCH(I677,$B$3:$B$102,0)-1,J$2-1)=$I681,1,0)</f>
        <v>#N/A</v>
      </c>
      <c r="K681" s="37" t="e">
        <f ca="1">IF(OFFSET($C$3,MATCH(I677,$B$3:$B$102,0)-1,K$2-1)=$I681,1,0)</f>
        <v>#N/A</v>
      </c>
      <c r="L681" s="37" t="e">
        <f ca="1">IF(OFFSET($C$3,MATCH(I677,$B$3:$B$102,0)-1,L$2-1)=$I681,1,0)</f>
        <v>#N/A</v>
      </c>
      <c r="M681" s="37" t="e">
        <f ca="1">IF(OFFSET($C$3,MATCH(I677,$B$3:$B$102,0)-1,M$2-1)=$I681,1,0)</f>
        <v>#N/A</v>
      </c>
      <c r="N681" s="38" t="e">
        <f ca="1">IF(OFFSET($C$3,MATCH(I677,$B$3:$B$102,0)-1,N$2-1)=$I681,1,0)</f>
        <v>#N/A</v>
      </c>
    </row>
    <row r="682" spans="9:15" x14ac:dyDescent="0.25">
      <c r="I682" s="39"/>
      <c r="J682" s="20"/>
      <c r="K682" s="20"/>
      <c r="L682" s="20"/>
      <c r="M682" s="20"/>
      <c r="N682" s="20"/>
    </row>
    <row r="683" spans="9:15" ht="15.75" thickBot="1" x14ac:dyDescent="0.3">
      <c r="I683" t="str">
        <f>MID(I677,1,5)&amp;MID(I677,6,2)+1</f>
        <v>Line_81</v>
      </c>
      <c r="O683" s="40">
        <f>VALUE(MID($I683,6,3))</f>
        <v>81</v>
      </c>
    </row>
    <row r="684" spans="9:15" x14ac:dyDescent="0.25">
      <c r="I684" s="39">
        <v>0</v>
      </c>
      <c r="J684" s="30" t="e">
        <f ca="1">IF(OFFSET($C$3,MATCH(I683,$B$3:$B$102,0)-1,J$2-1)=$I684,1,0)</f>
        <v>#N/A</v>
      </c>
      <c r="K684" s="31" t="e">
        <f ca="1">IF(OFFSET($C$3,MATCH(I683,$B$3:$B$102,0)-1,K$2-1)=$I684,1,0)</f>
        <v>#N/A</v>
      </c>
      <c r="L684" s="31" t="e">
        <f ca="1">IF(OFFSET($C$3,MATCH(I683,$B$3:$B$102,0)-1,L$2-1)=$I684,1,0)</f>
        <v>#N/A</v>
      </c>
      <c r="M684" s="31" t="e">
        <f ca="1">IF(OFFSET($C$3,MATCH(I683,$B$3:$B$102,0)-1,M$2-1)=$I684,1,0)</f>
        <v>#N/A</v>
      </c>
      <c r="N684" s="32" t="e">
        <f ca="1">IF(OFFSET($C$3,MATCH(I683,$B$3:$B$102,0)-1,N$2-1)=$I684,1,0)</f>
        <v>#N/A</v>
      </c>
    </row>
    <row r="685" spans="9:15" x14ac:dyDescent="0.25">
      <c r="I685" s="39">
        <v>1</v>
      </c>
      <c r="J685" s="33" t="e">
        <f ca="1">IF(OFFSET($C$3,MATCH(I683,$B$3:$B$102,0)-1,J$2-1)=$I685,1,0)</f>
        <v>#N/A</v>
      </c>
      <c r="K685" s="34" t="e">
        <f ca="1">IF(OFFSET($C$3,MATCH(I683,$B$3:$B$102,0)-1,K$2-1)=$I685,1,0)</f>
        <v>#N/A</v>
      </c>
      <c r="L685" s="34" t="e">
        <f ca="1">IF(OFFSET($C$3,MATCH(I683,$B$3:$B$102,0)-1,L$2-1)=$I685,1,0)</f>
        <v>#N/A</v>
      </c>
      <c r="M685" s="34" t="e">
        <f ca="1">IF(OFFSET($C$3,MATCH(I683,$B$3:$B$102,0)-1,M$2-1)=$I685,1,0)</f>
        <v>#N/A</v>
      </c>
      <c r="N685" s="35" t="e">
        <f ca="1">IF(OFFSET($C$3,MATCH(I683,$B$3:$B$102,0)-1,N$2-1)=$I685,1,0)</f>
        <v>#N/A</v>
      </c>
    </row>
    <row r="686" spans="9:15" x14ac:dyDescent="0.25">
      <c r="I686" s="39">
        <v>2</v>
      </c>
      <c r="J686" s="43" t="e">
        <f ca="1">IF(OFFSET($C$3,MATCH(I683,$B$3:$B$102,0)-1,J$2-1)=$I686,1,0)</f>
        <v>#N/A</v>
      </c>
      <c r="K686" s="44" t="e">
        <f ca="1">IF(OFFSET($C$3,MATCH(I683,$B$3:$B$102,0)-1,K$2-1)=$I686,1,0)</f>
        <v>#N/A</v>
      </c>
      <c r="L686" s="44" t="e">
        <f ca="1">IF(OFFSET($C$3,MATCH(I683,$B$3:$B$102,0)-1,L$2-1)=$I686,1,0)</f>
        <v>#N/A</v>
      </c>
      <c r="M686" s="44" t="e">
        <f ca="1">IF(OFFSET($C$3,MATCH(I683,$B$3:$B$102,0)-1,M$2-1)=$I686,1,0)</f>
        <v>#N/A</v>
      </c>
      <c r="N686" s="45" t="e">
        <f ca="1">IF(OFFSET($C$3,MATCH(I683,$B$3:$B$102,0)-1,N$2-1)=$I686,1,0)</f>
        <v>#N/A</v>
      </c>
    </row>
    <row r="687" spans="9:15" ht="15.75" thickBot="1" x14ac:dyDescent="0.3">
      <c r="I687" s="39">
        <v>3</v>
      </c>
      <c r="J687" s="36" t="e">
        <f ca="1">IF(OFFSET($C$3,MATCH(I683,$B$3:$B$102,0)-1,J$2-1)=$I687,1,0)</f>
        <v>#N/A</v>
      </c>
      <c r="K687" s="37" t="e">
        <f ca="1">IF(OFFSET($C$3,MATCH(I683,$B$3:$B$102,0)-1,K$2-1)=$I687,1,0)</f>
        <v>#N/A</v>
      </c>
      <c r="L687" s="37" t="e">
        <f ca="1">IF(OFFSET($C$3,MATCH(I683,$B$3:$B$102,0)-1,L$2-1)=$I687,1,0)</f>
        <v>#N/A</v>
      </c>
      <c r="M687" s="37" t="e">
        <f ca="1">IF(OFFSET($C$3,MATCH(I683,$B$3:$B$102,0)-1,M$2-1)=$I687,1,0)</f>
        <v>#N/A</v>
      </c>
      <c r="N687" s="38" t="e">
        <f ca="1">IF(OFFSET($C$3,MATCH(I683,$B$3:$B$102,0)-1,N$2-1)=$I687,1,0)</f>
        <v>#N/A</v>
      </c>
    </row>
    <row r="688" spans="9:15" x14ac:dyDescent="0.25">
      <c r="I688" s="39"/>
      <c r="J688" s="42"/>
      <c r="K688" s="42"/>
      <c r="L688" s="42"/>
      <c r="M688" s="42"/>
      <c r="N688" s="42"/>
    </row>
    <row r="689" spans="9:15" ht="15.75" thickBot="1" x14ac:dyDescent="0.3">
      <c r="I689" t="str">
        <f>MID(I683,1,5)&amp;MID(I683,6,2)+1</f>
        <v>Line_82</v>
      </c>
      <c r="O689" s="40">
        <f>VALUE(MID($I689,6,3))</f>
        <v>82</v>
      </c>
    </row>
    <row r="690" spans="9:15" x14ac:dyDescent="0.25">
      <c r="I690" s="39">
        <v>0</v>
      </c>
      <c r="J690" s="30" t="e">
        <f ca="1">IF(OFFSET($C$3,MATCH(I689,$B$3:$B$102,0)-1,J$2-1)=$I690,1,0)</f>
        <v>#N/A</v>
      </c>
      <c r="K690" s="31" t="e">
        <f ca="1">IF(OFFSET($C$3,MATCH(I689,$B$3:$B$102,0)-1,K$2-1)=$I690,1,0)</f>
        <v>#N/A</v>
      </c>
      <c r="L690" s="31" t="e">
        <f ca="1">IF(OFFSET($C$3,MATCH(I689,$B$3:$B$102,0)-1,L$2-1)=$I690,1,0)</f>
        <v>#N/A</v>
      </c>
      <c r="M690" s="31" t="e">
        <f ca="1">IF(OFFSET($C$3,MATCH(I689,$B$3:$B$102,0)-1,M$2-1)=$I690,1,0)</f>
        <v>#N/A</v>
      </c>
      <c r="N690" s="32" t="e">
        <f ca="1">IF(OFFSET($C$3,MATCH(I689,$B$3:$B$102,0)-1,N$2-1)=$I690,1,0)</f>
        <v>#N/A</v>
      </c>
    </row>
    <row r="691" spans="9:15" x14ac:dyDescent="0.25">
      <c r="I691" s="39">
        <v>1</v>
      </c>
      <c r="J691" s="33" t="e">
        <f ca="1">IF(OFFSET($C$3,MATCH(I689,$B$3:$B$102,0)-1,J$2-1)=$I691,1,0)</f>
        <v>#N/A</v>
      </c>
      <c r="K691" s="34" t="e">
        <f ca="1">IF(OFFSET($C$3,MATCH(I689,$B$3:$B$102,0)-1,K$2-1)=$I691,1,0)</f>
        <v>#N/A</v>
      </c>
      <c r="L691" s="34" t="e">
        <f ca="1">IF(OFFSET($C$3,MATCH(I689,$B$3:$B$102,0)-1,L$2-1)=$I691,1,0)</f>
        <v>#N/A</v>
      </c>
      <c r="M691" s="34" t="e">
        <f ca="1">IF(OFFSET($C$3,MATCH(I689,$B$3:$B$102,0)-1,M$2-1)=$I691,1,0)</f>
        <v>#N/A</v>
      </c>
      <c r="N691" s="35" t="e">
        <f ca="1">IF(OFFSET($C$3,MATCH(I689,$B$3:$B$102,0)-1,N$2-1)=$I691,1,0)</f>
        <v>#N/A</v>
      </c>
    </row>
    <row r="692" spans="9:15" x14ac:dyDescent="0.25">
      <c r="I692" s="39">
        <v>2</v>
      </c>
      <c r="J692" s="43" t="e">
        <f ca="1">IF(OFFSET($C$3,MATCH(I689,$B$3:$B$102,0)-1,J$2-1)=$I692,1,0)</f>
        <v>#N/A</v>
      </c>
      <c r="K692" s="44" t="e">
        <f ca="1">IF(OFFSET($C$3,MATCH(I689,$B$3:$B$102,0)-1,K$2-1)=$I692,1,0)</f>
        <v>#N/A</v>
      </c>
      <c r="L692" s="44" t="e">
        <f ca="1">IF(OFFSET($C$3,MATCH(I689,$B$3:$B$102,0)-1,L$2-1)=$I692,1,0)</f>
        <v>#N/A</v>
      </c>
      <c r="M692" s="44" t="e">
        <f ca="1">IF(OFFSET($C$3,MATCH(I689,$B$3:$B$102,0)-1,M$2-1)=$I692,1,0)</f>
        <v>#N/A</v>
      </c>
      <c r="N692" s="45" t="e">
        <f ca="1">IF(OFFSET($C$3,MATCH(I689,$B$3:$B$102,0)-1,N$2-1)=$I692,1,0)</f>
        <v>#N/A</v>
      </c>
    </row>
    <row r="693" spans="9:15" ht="15.75" thickBot="1" x14ac:dyDescent="0.3">
      <c r="I693" s="39">
        <v>3</v>
      </c>
      <c r="J693" s="36" t="e">
        <f ca="1">IF(OFFSET($C$3,MATCH(I689,$B$3:$B$102,0)-1,J$2-1)=$I693,1,0)</f>
        <v>#N/A</v>
      </c>
      <c r="K693" s="37" t="e">
        <f ca="1">IF(OFFSET($C$3,MATCH(I689,$B$3:$B$102,0)-1,K$2-1)=$I693,1,0)</f>
        <v>#N/A</v>
      </c>
      <c r="L693" s="37" t="e">
        <f ca="1">IF(OFFSET($C$3,MATCH(I689,$B$3:$B$102,0)-1,L$2-1)=$I693,1,0)</f>
        <v>#N/A</v>
      </c>
      <c r="M693" s="37" t="e">
        <f ca="1">IF(OFFSET($C$3,MATCH(I689,$B$3:$B$102,0)-1,M$2-1)=$I693,1,0)</f>
        <v>#N/A</v>
      </c>
      <c r="N693" s="38" t="e">
        <f ca="1">IF(OFFSET($C$3,MATCH(I689,$B$3:$B$102,0)-1,N$2-1)=$I693,1,0)</f>
        <v>#N/A</v>
      </c>
    </row>
    <row r="694" spans="9:15" x14ac:dyDescent="0.25">
      <c r="J694" s="20"/>
      <c r="K694" s="20"/>
      <c r="L694" s="20"/>
      <c r="M694" s="20"/>
      <c r="N694" s="20"/>
    </row>
    <row r="695" spans="9:15" ht="15.75" thickBot="1" x14ac:dyDescent="0.3">
      <c r="I695" t="str">
        <f>MID(I689,1,5)&amp;MID(I689,6,2)+1</f>
        <v>Line_83</v>
      </c>
      <c r="O695" s="40">
        <f>VALUE(MID($I695,6,3))</f>
        <v>83</v>
      </c>
    </row>
    <row r="696" spans="9:15" x14ac:dyDescent="0.25">
      <c r="I696" s="39">
        <v>0</v>
      </c>
      <c r="J696" s="30" t="e">
        <f ca="1">IF(OFFSET($C$3,MATCH(I695,$B$3:$B$102,0)-1,J$2-1)=$I696,1,0)</f>
        <v>#N/A</v>
      </c>
      <c r="K696" s="31" t="e">
        <f ca="1">IF(OFFSET($C$3,MATCH(I695,$B$3:$B$102,0)-1,K$2-1)=$I696,1,0)</f>
        <v>#N/A</v>
      </c>
      <c r="L696" s="31" t="e">
        <f ca="1">IF(OFFSET($C$3,MATCH(I695,$B$3:$B$102,0)-1,L$2-1)=$I696,1,0)</f>
        <v>#N/A</v>
      </c>
      <c r="M696" s="31" t="e">
        <f ca="1">IF(OFFSET($C$3,MATCH(I695,$B$3:$B$102,0)-1,M$2-1)=$I696,1,0)</f>
        <v>#N/A</v>
      </c>
      <c r="N696" s="32" t="e">
        <f ca="1">IF(OFFSET($C$3,MATCH(I695,$B$3:$B$102,0)-1,N$2-1)=$I696,1,0)</f>
        <v>#N/A</v>
      </c>
    </row>
    <row r="697" spans="9:15" x14ac:dyDescent="0.25">
      <c r="I697" s="39">
        <v>1</v>
      </c>
      <c r="J697" s="33" t="e">
        <f ca="1">IF(OFFSET($C$3,MATCH(I695,$B$3:$B$102,0)-1,J$2-1)=$I697,1,0)</f>
        <v>#N/A</v>
      </c>
      <c r="K697" s="34" t="e">
        <f ca="1">IF(OFFSET($C$3,MATCH(I695,$B$3:$B$102,0)-1,K$2-1)=$I697,1,0)</f>
        <v>#N/A</v>
      </c>
      <c r="L697" s="34" t="e">
        <f ca="1">IF(OFFSET($C$3,MATCH(I695,$B$3:$B$102,0)-1,L$2-1)=$I697,1,0)</f>
        <v>#N/A</v>
      </c>
      <c r="M697" s="34" t="e">
        <f ca="1">IF(OFFSET($C$3,MATCH(I695,$B$3:$B$102,0)-1,M$2-1)=$I697,1,0)</f>
        <v>#N/A</v>
      </c>
      <c r="N697" s="35" t="e">
        <f ca="1">IF(OFFSET($C$3,MATCH(I695,$B$3:$B$102,0)-1,N$2-1)=$I697,1,0)</f>
        <v>#N/A</v>
      </c>
    </row>
    <row r="698" spans="9:15" x14ac:dyDescent="0.25">
      <c r="I698" s="39">
        <v>2</v>
      </c>
      <c r="J698" s="43" t="e">
        <f ca="1">IF(OFFSET($C$3,MATCH(I695,$B$3:$B$102,0)-1,J$2-1)=$I698,1,0)</f>
        <v>#N/A</v>
      </c>
      <c r="K698" s="44" t="e">
        <f ca="1">IF(OFFSET($C$3,MATCH(I695,$B$3:$B$102,0)-1,K$2-1)=$I698,1,0)</f>
        <v>#N/A</v>
      </c>
      <c r="L698" s="44" t="e">
        <f ca="1">IF(OFFSET($C$3,MATCH(I695,$B$3:$B$102,0)-1,L$2-1)=$I698,1,0)</f>
        <v>#N/A</v>
      </c>
      <c r="M698" s="44" t="e">
        <f ca="1">IF(OFFSET($C$3,MATCH(I695,$B$3:$B$102,0)-1,M$2-1)=$I698,1,0)</f>
        <v>#N/A</v>
      </c>
      <c r="N698" s="45" t="e">
        <f ca="1">IF(OFFSET($C$3,MATCH(I695,$B$3:$B$102,0)-1,N$2-1)=$I698,1,0)</f>
        <v>#N/A</v>
      </c>
    </row>
    <row r="699" spans="9:15" ht="15.75" thickBot="1" x14ac:dyDescent="0.3">
      <c r="I699" s="39">
        <v>3</v>
      </c>
      <c r="J699" s="36" t="e">
        <f ca="1">IF(OFFSET($C$3,MATCH(I695,$B$3:$B$102,0)-1,J$2-1)=$I699,1,0)</f>
        <v>#N/A</v>
      </c>
      <c r="K699" s="37" t="e">
        <f ca="1">IF(OFFSET($C$3,MATCH(I695,$B$3:$B$102,0)-1,K$2-1)=$I699,1,0)</f>
        <v>#N/A</v>
      </c>
      <c r="L699" s="37" t="e">
        <f ca="1">IF(OFFSET($C$3,MATCH(I695,$B$3:$B$102,0)-1,L$2-1)=$I699,1,0)</f>
        <v>#N/A</v>
      </c>
      <c r="M699" s="37" t="e">
        <f ca="1">IF(OFFSET($C$3,MATCH(I695,$B$3:$B$102,0)-1,M$2-1)=$I699,1,0)</f>
        <v>#N/A</v>
      </c>
      <c r="N699" s="38" t="e">
        <f ca="1">IF(OFFSET($C$3,MATCH(I695,$B$3:$B$102,0)-1,N$2-1)=$I699,1,0)</f>
        <v>#N/A</v>
      </c>
    </row>
    <row r="700" spans="9:15" x14ac:dyDescent="0.25">
      <c r="I700" s="39"/>
    </row>
    <row r="701" spans="9:15" ht="15.75" thickBot="1" x14ac:dyDescent="0.3">
      <c r="I701" t="str">
        <f>MID(I695,1,5)&amp;MID(I695,6,2)+1</f>
        <v>Line_84</v>
      </c>
      <c r="O701" s="40">
        <f>VALUE(MID($I701,6,3))</f>
        <v>84</v>
      </c>
    </row>
    <row r="702" spans="9:15" x14ac:dyDescent="0.25">
      <c r="I702" s="39">
        <v>0</v>
      </c>
      <c r="J702" s="30" t="e">
        <f ca="1">IF(OFFSET($C$3,MATCH(I701,$B$3:$B$102,0)-1,J$2-1)=$I702,1,0)</f>
        <v>#N/A</v>
      </c>
      <c r="K702" s="31" t="e">
        <f ca="1">IF(OFFSET($C$3,MATCH(I701,$B$3:$B$102,0)-1,K$2-1)=$I702,1,0)</f>
        <v>#N/A</v>
      </c>
      <c r="L702" s="31" t="e">
        <f ca="1">IF(OFFSET($C$3,MATCH(I701,$B$3:$B$102,0)-1,L$2-1)=$I702,1,0)</f>
        <v>#N/A</v>
      </c>
      <c r="M702" s="31" t="e">
        <f ca="1">IF(OFFSET($C$3,MATCH(I701,$B$3:$B$102,0)-1,M$2-1)=$I702,1,0)</f>
        <v>#N/A</v>
      </c>
      <c r="N702" s="32" t="e">
        <f ca="1">IF(OFFSET($C$3,MATCH(I701,$B$3:$B$102,0)-1,N$2-1)=$I702,1,0)</f>
        <v>#N/A</v>
      </c>
    </row>
    <row r="703" spans="9:15" x14ac:dyDescent="0.25">
      <c r="I703" s="39">
        <v>1</v>
      </c>
      <c r="J703" s="33" t="e">
        <f ca="1">IF(OFFSET($C$3,MATCH(I701,$B$3:$B$102,0)-1,J$2-1)=$I703,1,0)</f>
        <v>#N/A</v>
      </c>
      <c r="K703" s="34" t="e">
        <f ca="1">IF(OFFSET($C$3,MATCH(I701,$B$3:$B$102,0)-1,K$2-1)=$I703,1,0)</f>
        <v>#N/A</v>
      </c>
      <c r="L703" s="34" t="e">
        <f ca="1">IF(OFFSET($C$3,MATCH(I701,$B$3:$B$102,0)-1,L$2-1)=$I703,1,0)</f>
        <v>#N/A</v>
      </c>
      <c r="M703" s="34" t="e">
        <f ca="1">IF(OFFSET($C$3,MATCH(I701,$B$3:$B$102,0)-1,M$2-1)=$I703,1,0)</f>
        <v>#N/A</v>
      </c>
      <c r="N703" s="35" t="e">
        <f ca="1">IF(OFFSET($C$3,MATCH(I701,$B$3:$B$102,0)-1,N$2-1)=$I703,1,0)</f>
        <v>#N/A</v>
      </c>
    </row>
    <row r="704" spans="9:15" x14ac:dyDescent="0.25">
      <c r="I704" s="39">
        <v>2</v>
      </c>
      <c r="J704" s="43" t="e">
        <f ca="1">IF(OFFSET($C$3,MATCH(I701,$B$3:$B$102,0)-1,J$2-1)=$I704,1,0)</f>
        <v>#N/A</v>
      </c>
      <c r="K704" s="44" t="e">
        <f ca="1">IF(OFFSET($C$3,MATCH(I701,$B$3:$B$102,0)-1,K$2-1)=$I704,1,0)</f>
        <v>#N/A</v>
      </c>
      <c r="L704" s="44" t="e">
        <f ca="1">IF(OFFSET($C$3,MATCH(I701,$B$3:$B$102,0)-1,L$2-1)=$I704,1,0)</f>
        <v>#N/A</v>
      </c>
      <c r="M704" s="44" t="e">
        <f ca="1">IF(OFFSET($C$3,MATCH(I701,$B$3:$B$102,0)-1,M$2-1)=$I704,1,0)</f>
        <v>#N/A</v>
      </c>
      <c r="N704" s="45" t="e">
        <f ca="1">IF(OFFSET($C$3,MATCH(I701,$B$3:$B$102,0)-1,N$2-1)=$I704,1,0)</f>
        <v>#N/A</v>
      </c>
    </row>
    <row r="705" spans="9:15" ht="15.75" thickBot="1" x14ac:dyDescent="0.3">
      <c r="I705" s="39">
        <v>3</v>
      </c>
      <c r="J705" s="36" t="e">
        <f ca="1">IF(OFFSET($C$3,MATCH(I701,$B$3:$B$102,0)-1,J$2-1)=$I705,1,0)</f>
        <v>#N/A</v>
      </c>
      <c r="K705" s="37" t="e">
        <f ca="1">IF(OFFSET($C$3,MATCH(I701,$B$3:$B$102,0)-1,K$2-1)=$I705,1,0)</f>
        <v>#N/A</v>
      </c>
      <c r="L705" s="37" t="e">
        <f ca="1">IF(OFFSET($C$3,MATCH(I701,$B$3:$B$102,0)-1,L$2-1)=$I705,1,0)</f>
        <v>#N/A</v>
      </c>
      <c r="M705" s="37" t="e">
        <f ca="1">IF(OFFSET($C$3,MATCH(I701,$B$3:$B$102,0)-1,M$2-1)=$I705,1,0)</f>
        <v>#N/A</v>
      </c>
      <c r="N705" s="38" t="e">
        <f ca="1">IF(OFFSET($C$3,MATCH(I701,$B$3:$B$102,0)-1,N$2-1)=$I705,1,0)</f>
        <v>#N/A</v>
      </c>
    </row>
    <row r="706" spans="9:15" x14ac:dyDescent="0.25">
      <c r="I706" s="39"/>
    </row>
    <row r="707" spans="9:15" ht="15.75" thickBot="1" x14ac:dyDescent="0.3">
      <c r="I707" t="str">
        <f>MID(I701,1,5)&amp;MID(I701,6,2)+1</f>
        <v>Line_85</v>
      </c>
      <c r="O707" s="40">
        <f>VALUE(MID($I707,6,3))</f>
        <v>85</v>
      </c>
    </row>
    <row r="708" spans="9:15" x14ac:dyDescent="0.25">
      <c r="I708" s="39">
        <v>0</v>
      </c>
      <c r="J708" s="30" t="e">
        <f ca="1">IF(OFFSET($C$3,MATCH(I707,$B$3:$B$102,0)-1,J$2-1)=$I708,1,0)</f>
        <v>#N/A</v>
      </c>
      <c r="K708" s="31" t="e">
        <f ca="1">IF(OFFSET($C$3,MATCH(I707,$B$3:$B$102,0)-1,K$2-1)=$I708,1,0)</f>
        <v>#N/A</v>
      </c>
      <c r="L708" s="31" t="e">
        <f ca="1">IF(OFFSET($C$3,MATCH(I707,$B$3:$B$102,0)-1,L$2-1)=$I708,1,0)</f>
        <v>#N/A</v>
      </c>
      <c r="M708" s="31" t="e">
        <f ca="1">IF(OFFSET($C$3,MATCH(I707,$B$3:$B$102,0)-1,M$2-1)=$I708,1,0)</f>
        <v>#N/A</v>
      </c>
      <c r="N708" s="32" t="e">
        <f ca="1">IF(OFFSET($C$3,MATCH(I707,$B$3:$B$102,0)-1,N$2-1)=$I708,1,0)</f>
        <v>#N/A</v>
      </c>
    </row>
    <row r="709" spans="9:15" x14ac:dyDescent="0.25">
      <c r="I709" s="39">
        <v>1</v>
      </c>
      <c r="J709" s="33" t="e">
        <f ca="1">IF(OFFSET($C$3,MATCH(I707,$B$3:$B$102,0)-1,J$2-1)=$I709,1,0)</f>
        <v>#N/A</v>
      </c>
      <c r="K709" s="34" t="e">
        <f ca="1">IF(OFFSET($C$3,MATCH(I707,$B$3:$B$102,0)-1,K$2-1)=$I709,1,0)</f>
        <v>#N/A</v>
      </c>
      <c r="L709" s="34" t="e">
        <f ca="1">IF(OFFSET($C$3,MATCH(I707,$B$3:$B$102,0)-1,L$2-1)=$I709,1,0)</f>
        <v>#N/A</v>
      </c>
      <c r="M709" s="34" t="e">
        <f ca="1">IF(OFFSET($C$3,MATCH(I707,$B$3:$B$102,0)-1,M$2-1)=$I709,1,0)</f>
        <v>#N/A</v>
      </c>
      <c r="N709" s="35" t="e">
        <f ca="1">IF(OFFSET($C$3,MATCH(I707,$B$3:$B$102,0)-1,N$2-1)=$I709,1,0)</f>
        <v>#N/A</v>
      </c>
    </row>
    <row r="710" spans="9:15" x14ac:dyDescent="0.25">
      <c r="I710" s="39">
        <v>2</v>
      </c>
      <c r="J710" s="43" t="e">
        <f ca="1">IF(OFFSET($C$3,MATCH(I707,$B$3:$B$102,0)-1,J$2-1)=$I710,1,0)</f>
        <v>#N/A</v>
      </c>
      <c r="K710" s="44" t="e">
        <f ca="1">IF(OFFSET($C$3,MATCH(I707,$B$3:$B$102,0)-1,K$2-1)=$I710,1,0)</f>
        <v>#N/A</v>
      </c>
      <c r="L710" s="44" t="e">
        <f ca="1">IF(OFFSET($C$3,MATCH(I707,$B$3:$B$102,0)-1,L$2-1)=$I710,1,0)</f>
        <v>#N/A</v>
      </c>
      <c r="M710" s="44" t="e">
        <f ca="1">IF(OFFSET($C$3,MATCH(I707,$B$3:$B$102,0)-1,M$2-1)=$I710,1,0)</f>
        <v>#N/A</v>
      </c>
      <c r="N710" s="45" t="e">
        <f ca="1">IF(OFFSET($C$3,MATCH(I707,$B$3:$B$102,0)-1,N$2-1)=$I710,1,0)</f>
        <v>#N/A</v>
      </c>
    </row>
    <row r="711" spans="9:15" ht="15.75" thickBot="1" x14ac:dyDescent="0.3">
      <c r="I711" s="39">
        <v>3</v>
      </c>
      <c r="J711" s="36" t="e">
        <f ca="1">IF(OFFSET($C$3,MATCH(I707,$B$3:$B$102,0)-1,J$2-1)=$I711,1,0)</f>
        <v>#N/A</v>
      </c>
      <c r="K711" s="37" t="e">
        <f ca="1">IF(OFFSET($C$3,MATCH(I707,$B$3:$B$102,0)-1,K$2-1)=$I711,1,0)</f>
        <v>#N/A</v>
      </c>
      <c r="L711" s="37" t="e">
        <f ca="1">IF(OFFSET($C$3,MATCH(I707,$B$3:$B$102,0)-1,L$2-1)=$I711,1,0)</f>
        <v>#N/A</v>
      </c>
      <c r="M711" s="37" t="e">
        <f ca="1">IF(OFFSET($C$3,MATCH(I707,$B$3:$B$102,0)-1,M$2-1)=$I711,1,0)</f>
        <v>#N/A</v>
      </c>
      <c r="N711" s="38" t="e">
        <f ca="1">IF(OFFSET($C$3,MATCH(I707,$B$3:$B$102,0)-1,N$2-1)=$I711,1,0)</f>
        <v>#N/A</v>
      </c>
    </row>
    <row r="712" spans="9:15" x14ac:dyDescent="0.25">
      <c r="I712" s="39"/>
    </row>
    <row r="713" spans="9:15" ht="15.75" thickBot="1" x14ac:dyDescent="0.3">
      <c r="I713" t="str">
        <f>MID(I707,1,5)&amp;MID(I707,6,2)+1</f>
        <v>Line_86</v>
      </c>
      <c r="O713" s="40">
        <f>VALUE(MID($I713,6,3))</f>
        <v>86</v>
      </c>
    </row>
    <row r="714" spans="9:15" x14ac:dyDescent="0.25">
      <c r="I714" s="39">
        <v>0</v>
      </c>
      <c r="J714" s="30" t="e">
        <f ca="1">IF(OFFSET($C$3,MATCH(I713,$B$3:$B$102,0)-1,J$2-1)=$I714,1,0)</f>
        <v>#N/A</v>
      </c>
      <c r="K714" s="31" t="e">
        <f ca="1">IF(OFFSET($C$3,MATCH(I713,$B$3:$B$102,0)-1,K$2-1)=$I714,1,0)</f>
        <v>#N/A</v>
      </c>
      <c r="L714" s="31" t="e">
        <f ca="1">IF(OFFSET($C$3,MATCH(I713,$B$3:$B$102,0)-1,L$2-1)=$I714,1,0)</f>
        <v>#N/A</v>
      </c>
      <c r="M714" s="31" t="e">
        <f ca="1">IF(OFFSET($C$3,MATCH(I713,$B$3:$B$102,0)-1,M$2-1)=$I714,1,0)</f>
        <v>#N/A</v>
      </c>
      <c r="N714" s="32" t="e">
        <f ca="1">IF(OFFSET($C$3,MATCH(I713,$B$3:$B$102,0)-1,N$2-1)=$I714,1,0)</f>
        <v>#N/A</v>
      </c>
    </row>
    <row r="715" spans="9:15" x14ac:dyDescent="0.25">
      <c r="I715" s="39">
        <v>1</v>
      </c>
      <c r="J715" s="33" t="e">
        <f ca="1">IF(OFFSET($C$3,MATCH(I713,$B$3:$B$102,0)-1,J$2-1)=$I715,1,0)</f>
        <v>#N/A</v>
      </c>
      <c r="K715" s="34" t="e">
        <f ca="1">IF(OFFSET($C$3,MATCH(I713,$B$3:$B$102,0)-1,K$2-1)=$I715,1,0)</f>
        <v>#N/A</v>
      </c>
      <c r="L715" s="34" t="e">
        <f ca="1">IF(OFFSET($C$3,MATCH(I713,$B$3:$B$102,0)-1,L$2-1)=$I715,1,0)</f>
        <v>#N/A</v>
      </c>
      <c r="M715" s="34" t="e">
        <f ca="1">IF(OFFSET($C$3,MATCH(I713,$B$3:$B$102,0)-1,M$2-1)=$I715,1,0)</f>
        <v>#N/A</v>
      </c>
      <c r="N715" s="35" t="e">
        <f ca="1">IF(OFFSET($C$3,MATCH(I713,$B$3:$B$102,0)-1,N$2-1)=$I715,1,0)</f>
        <v>#N/A</v>
      </c>
    </row>
    <row r="716" spans="9:15" x14ac:dyDescent="0.25">
      <c r="I716" s="39">
        <v>2</v>
      </c>
      <c r="J716" s="43" t="e">
        <f ca="1">IF(OFFSET($C$3,MATCH(I713,$B$3:$B$102,0)-1,J$2-1)=$I716,1,0)</f>
        <v>#N/A</v>
      </c>
      <c r="K716" s="44" t="e">
        <f ca="1">IF(OFFSET($C$3,MATCH(I713,$B$3:$B$102,0)-1,K$2-1)=$I716,1,0)</f>
        <v>#N/A</v>
      </c>
      <c r="L716" s="44" t="e">
        <f ca="1">IF(OFFSET($C$3,MATCH(I713,$B$3:$B$102,0)-1,L$2-1)=$I716,1,0)</f>
        <v>#N/A</v>
      </c>
      <c r="M716" s="44" t="e">
        <f ca="1">IF(OFFSET($C$3,MATCH(I713,$B$3:$B$102,0)-1,M$2-1)=$I716,1,0)</f>
        <v>#N/A</v>
      </c>
      <c r="N716" s="45" t="e">
        <f ca="1">IF(OFFSET($C$3,MATCH(I713,$B$3:$B$102,0)-1,N$2-1)=$I716,1,0)</f>
        <v>#N/A</v>
      </c>
    </row>
    <row r="717" spans="9:15" ht="15.75" thickBot="1" x14ac:dyDescent="0.3">
      <c r="I717" s="39">
        <v>3</v>
      </c>
      <c r="J717" s="36" t="e">
        <f ca="1">IF(OFFSET($C$3,MATCH(I713,$B$3:$B$102,0)-1,J$2-1)=$I717,1,0)</f>
        <v>#N/A</v>
      </c>
      <c r="K717" s="37" t="e">
        <f ca="1">IF(OFFSET($C$3,MATCH(I713,$B$3:$B$102,0)-1,K$2-1)=$I717,1,0)</f>
        <v>#N/A</v>
      </c>
      <c r="L717" s="37" t="e">
        <f ca="1">IF(OFFSET($C$3,MATCH(I713,$B$3:$B$102,0)-1,L$2-1)=$I717,1,0)</f>
        <v>#N/A</v>
      </c>
      <c r="M717" s="37" t="e">
        <f ca="1">IF(OFFSET($C$3,MATCH(I713,$B$3:$B$102,0)-1,M$2-1)=$I717,1,0)</f>
        <v>#N/A</v>
      </c>
      <c r="N717" s="38" t="e">
        <f ca="1">IF(OFFSET($C$3,MATCH(I713,$B$3:$B$102,0)-1,N$2-1)=$I717,1,0)</f>
        <v>#N/A</v>
      </c>
    </row>
    <row r="719" spans="9:15" ht="15.75" thickBot="1" x14ac:dyDescent="0.3">
      <c r="I719" t="str">
        <f>MID(I713,1,5)&amp;MID(I713,6,2)+1</f>
        <v>Line_87</v>
      </c>
      <c r="O719" s="40">
        <f>VALUE(MID($I719,6,3))</f>
        <v>87</v>
      </c>
    </row>
    <row r="720" spans="9:15" x14ac:dyDescent="0.25">
      <c r="I720" s="39">
        <v>0</v>
      </c>
      <c r="J720" s="30" t="e">
        <f ca="1">IF(OFFSET($C$3,MATCH(I719,$B$3:$B$102,0)-1,J$2-1)=$I720,1,0)</f>
        <v>#N/A</v>
      </c>
      <c r="K720" s="31" t="e">
        <f ca="1">IF(OFFSET($C$3,MATCH(I719,$B$3:$B$102,0)-1,K$2-1)=$I720,1,0)</f>
        <v>#N/A</v>
      </c>
      <c r="L720" s="31" t="e">
        <f ca="1">IF(OFFSET($C$3,MATCH(I719,$B$3:$B$102,0)-1,L$2-1)=$I720,1,0)</f>
        <v>#N/A</v>
      </c>
      <c r="M720" s="31" t="e">
        <f ca="1">IF(OFFSET($C$3,MATCH(I719,$B$3:$B$102,0)-1,M$2-1)=$I720,1,0)</f>
        <v>#N/A</v>
      </c>
      <c r="N720" s="32" t="e">
        <f ca="1">IF(OFFSET($C$3,MATCH(I719,$B$3:$B$102,0)-1,N$2-1)=$I720,1,0)</f>
        <v>#N/A</v>
      </c>
    </row>
    <row r="721" spans="9:15" x14ac:dyDescent="0.25">
      <c r="I721" s="39">
        <v>1</v>
      </c>
      <c r="J721" s="33" t="e">
        <f ca="1">IF(OFFSET($C$3,MATCH(I719,$B$3:$B$102,0)-1,J$2-1)=$I721,1,0)</f>
        <v>#N/A</v>
      </c>
      <c r="K721" s="34" t="e">
        <f ca="1">IF(OFFSET($C$3,MATCH(I719,$B$3:$B$102,0)-1,K$2-1)=$I721,1,0)</f>
        <v>#N/A</v>
      </c>
      <c r="L721" s="34" t="e">
        <f ca="1">IF(OFFSET($C$3,MATCH(I719,$B$3:$B$102,0)-1,L$2-1)=$I721,1,0)</f>
        <v>#N/A</v>
      </c>
      <c r="M721" s="34" t="e">
        <f ca="1">IF(OFFSET($C$3,MATCH(I719,$B$3:$B$102,0)-1,M$2-1)=$I721,1,0)</f>
        <v>#N/A</v>
      </c>
      <c r="N721" s="35" t="e">
        <f ca="1">IF(OFFSET($C$3,MATCH(I719,$B$3:$B$102,0)-1,N$2-1)=$I721,1,0)</f>
        <v>#N/A</v>
      </c>
    </row>
    <row r="722" spans="9:15" x14ac:dyDescent="0.25">
      <c r="I722" s="39">
        <v>2</v>
      </c>
      <c r="J722" s="43" t="e">
        <f ca="1">IF(OFFSET($C$3,MATCH(I719,$B$3:$B$102,0)-1,J$2-1)=$I722,1,0)</f>
        <v>#N/A</v>
      </c>
      <c r="K722" s="44" t="e">
        <f ca="1">IF(OFFSET($C$3,MATCH(I719,$B$3:$B$102,0)-1,K$2-1)=$I722,1,0)</f>
        <v>#N/A</v>
      </c>
      <c r="L722" s="44" t="e">
        <f ca="1">IF(OFFSET($C$3,MATCH(I719,$B$3:$B$102,0)-1,L$2-1)=$I722,1,0)</f>
        <v>#N/A</v>
      </c>
      <c r="M722" s="44" t="e">
        <f ca="1">IF(OFFSET($C$3,MATCH(I719,$B$3:$B$102,0)-1,M$2-1)=$I722,1,0)</f>
        <v>#N/A</v>
      </c>
      <c r="N722" s="45" t="e">
        <f ca="1">IF(OFFSET($C$3,MATCH(I719,$B$3:$B$102,0)-1,N$2-1)=$I722,1,0)</f>
        <v>#N/A</v>
      </c>
    </row>
    <row r="723" spans="9:15" ht="15.75" thickBot="1" x14ac:dyDescent="0.3">
      <c r="I723" s="39">
        <v>3</v>
      </c>
      <c r="J723" s="36" t="e">
        <f ca="1">IF(OFFSET($C$3,MATCH(I719,$B$3:$B$102,0)-1,J$2-1)=$I723,1,0)</f>
        <v>#N/A</v>
      </c>
      <c r="K723" s="37" t="e">
        <f ca="1">IF(OFFSET($C$3,MATCH(I719,$B$3:$B$102,0)-1,K$2-1)=$I723,1,0)</f>
        <v>#N/A</v>
      </c>
      <c r="L723" s="37" t="e">
        <f ca="1">IF(OFFSET($C$3,MATCH(I719,$B$3:$B$102,0)-1,L$2-1)=$I723,1,0)</f>
        <v>#N/A</v>
      </c>
      <c r="M723" s="37" t="e">
        <f ca="1">IF(OFFSET($C$3,MATCH(I719,$B$3:$B$102,0)-1,M$2-1)=$I723,1,0)</f>
        <v>#N/A</v>
      </c>
      <c r="N723" s="38" t="e">
        <f ca="1">IF(OFFSET($C$3,MATCH(I719,$B$3:$B$102,0)-1,N$2-1)=$I723,1,0)</f>
        <v>#N/A</v>
      </c>
    </row>
    <row r="725" spans="9:15" ht="15.75" thickBot="1" x14ac:dyDescent="0.3">
      <c r="I725" t="str">
        <f>MID(I719,1,5)&amp;MID(I719,6,2)+1</f>
        <v>Line_88</v>
      </c>
      <c r="O725" s="40">
        <f>VALUE(MID($I725,6,3))</f>
        <v>88</v>
      </c>
    </row>
    <row r="726" spans="9:15" x14ac:dyDescent="0.25">
      <c r="I726" s="39">
        <v>0</v>
      </c>
      <c r="J726" s="30" t="e">
        <f ca="1">IF(OFFSET($C$3,MATCH(I725,$B$3:$B$102,0)-1,J$2-1)=$I726,1,0)</f>
        <v>#N/A</v>
      </c>
      <c r="K726" s="31" t="e">
        <f ca="1">IF(OFFSET($C$3,MATCH(I725,$B$3:$B$102,0)-1,K$2-1)=$I726,1,0)</f>
        <v>#N/A</v>
      </c>
      <c r="L726" s="31" t="e">
        <f ca="1">IF(OFFSET($C$3,MATCH(I725,$B$3:$B$102,0)-1,L$2-1)=$I726,1,0)</f>
        <v>#N/A</v>
      </c>
      <c r="M726" s="31" t="e">
        <f ca="1">IF(OFFSET($C$3,MATCH(I725,$B$3:$B$102,0)-1,M$2-1)=$I726,1,0)</f>
        <v>#N/A</v>
      </c>
      <c r="N726" s="32" t="e">
        <f ca="1">IF(OFFSET($C$3,MATCH(I725,$B$3:$B$102,0)-1,N$2-1)=$I726,1,0)</f>
        <v>#N/A</v>
      </c>
    </row>
    <row r="727" spans="9:15" x14ac:dyDescent="0.25">
      <c r="I727" s="39">
        <v>1</v>
      </c>
      <c r="J727" s="33" t="e">
        <f ca="1">IF(OFFSET($C$3,MATCH(I725,$B$3:$B$102,0)-1,J$2-1)=$I727,1,0)</f>
        <v>#N/A</v>
      </c>
      <c r="K727" s="34" t="e">
        <f ca="1">IF(OFFSET($C$3,MATCH(I725,$B$3:$B$102,0)-1,K$2-1)=$I727,1,0)</f>
        <v>#N/A</v>
      </c>
      <c r="L727" s="34" t="e">
        <f ca="1">IF(OFFSET($C$3,MATCH(I725,$B$3:$B$102,0)-1,L$2-1)=$I727,1,0)</f>
        <v>#N/A</v>
      </c>
      <c r="M727" s="34" t="e">
        <f ca="1">IF(OFFSET($C$3,MATCH(I725,$B$3:$B$102,0)-1,M$2-1)=$I727,1,0)</f>
        <v>#N/A</v>
      </c>
      <c r="N727" s="35" t="e">
        <f ca="1">IF(OFFSET($C$3,MATCH(I725,$B$3:$B$102,0)-1,N$2-1)=$I727,1,0)</f>
        <v>#N/A</v>
      </c>
    </row>
    <row r="728" spans="9:15" x14ac:dyDescent="0.25">
      <c r="I728" s="39">
        <v>2</v>
      </c>
      <c r="J728" s="43" t="e">
        <f ca="1">IF(OFFSET($C$3,MATCH(I725,$B$3:$B$102,0)-1,J$2-1)=$I728,1,0)</f>
        <v>#N/A</v>
      </c>
      <c r="K728" s="44" t="e">
        <f ca="1">IF(OFFSET($C$3,MATCH(I725,$B$3:$B$102,0)-1,K$2-1)=$I728,1,0)</f>
        <v>#N/A</v>
      </c>
      <c r="L728" s="44" t="e">
        <f ca="1">IF(OFFSET($C$3,MATCH(I725,$B$3:$B$102,0)-1,L$2-1)=$I728,1,0)</f>
        <v>#N/A</v>
      </c>
      <c r="M728" s="44" t="e">
        <f ca="1">IF(OFFSET($C$3,MATCH(I725,$B$3:$B$102,0)-1,M$2-1)=$I728,1,0)</f>
        <v>#N/A</v>
      </c>
      <c r="N728" s="45" t="e">
        <f ca="1">IF(OFFSET($C$3,MATCH(I725,$B$3:$B$102,0)-1,N$2-1)=$I728,1,0)</f>
        <v>#N/A</v>
      </c>
    </row>
    <row r="729" spans="9:15" ht="15.75" thickBot="1" x14ac:dyDescent="0.3">
      <c r="I729" s="39">
        <v>3</v>
      </c>
      <c r="J729" s="36" t="e">
        <f ca="1">IF(OFFSET($C$3,MATCH(I725,$B$3:$B$102,0)-1,J$2-1)=$I729,1,0)</f>
        <v>#N/A</v>
      </c>
      <c r="K729" s="37" t="e">
        <f ca="1">IF(OFFSET($C$3,MATCH(I725,$B$3:$B$102,0)-1,K$2-1)=$I729,1,0)</f>
        <v>#N/A</v>
      </c>
      <c r="L729" s="37" t="e">
        <f ca="1">IF(OFFSET($C$3,MATCH(I725,$B$3:$B$102,0)-1,L$2-1)=$I729,1,0)</f>
        <v>#N/A</v>
      </c>
      <c r="M729" s="37" t="e">
        <f ca="1">IF(OFFSET($C$3,MATCH(I725,$B$3:$B$102,0)-1,M$2-1)=$I729,1,0)</f>
        <v>#N/A</v>
      </c>
      <c r="N729" s="38" t="e">
        <f ca="1">IF(OFFSET($C$3,MATCH(I725,$B$3:$B$102,0)-1,N$2-1)=$I729,1,0)</f>
        <v>#N/A</v>
      </c>
    </row>
    <row r="730" spans="9:15" x14ac:dyDescent="0.25">
      <c r="I730" s="39"/>
    </row>
    <row r="731" spans="9:15" ht="15.75" thickBot="1" x14ac:dyDescent="0.3">
      <c r="I731" t="str">
        <f>MID(I725,1,5)&amp;MID(I725,6,2)+1</f>
        <v>Line_89</v>
      </c>
      <c r="O731" s="40">
        <f>VALUE(MID($I731,6,3))</f>
        <v>89</v>
      </c>
    </row>
    <row r="732" spans="9:15" x14ac:dyDescent="0.25">
      <c r="I732" s="39">
        <v>0</v>
      </c>
      <c r="J732" s="30" t="e">
        <f ca="1">IF(OFFSET($C$3,MATCH(I731,$B$3:$B$102,0)-1,J$2-1)=$I732,1,0)</f>
        <v>#N/A</v>
      </c>
      <c r="K732" s="31" t="e">
        <f ca="1">IF(OFFSET($C$3,MATCH(I731,$B$3:$B$102,0)-1,K$2-1)=$I732,1,0)</f>
        <v>#N/A</v>
      </c>
      <c r="L732" s="31" t="e">
        <f ca="1">IF(OFFSET($C$3,MATCH(I731,$B$3:$B$102,0)-1,L$2-1)=$I732,1,0)</f>
        <v>#N/A</v>
      </c>
      <c r="M732" s="31" t="e">
        <f ca="1">IF(OFFSET($C$3,MATCH(I731,$B$3:$B$102,0)-1,M$2-1)=$I732,1,0)</f>
        <v>#N/A</v>
      </c>
      <c r="N732" s="32" t="e">
        <f ca="1">IF(OFFSET($C$3,MATCH(I731,$B$3:$B$102,0)-1,N$2-1)=$I732,1,0)</f>
        <v>#N/A</v>
      </c>
    </row>
    <row r="733" spans="9:15" x14ac:dyDescent="0.25">
      <c r="I733" s="39">
        <v>1</v>
      </c>
      <c r="J733" s="33" t="e">
        <f ca="1">IF(OFFSET($C$3,MATCH(I731,$B$3:$B$102,0)-1,J$2-1)=$I733,1,0)</f>
        <v>#N/A</v>
      </c>
      <c r="K733" s="34" t="e">
        <f ca="1">IF(OFFSET($C$3,MATCH(I731,$B$3:$B$102,0)-1,K$2-1)=$I733,1,0)</f>
        <v>#N/A</v>
      </c>
      <c r="L733" s="34" t="e">
        <f ca="1">IF(OFFSET($C$3,MATCH(I731,$B$3:$B$102,0)-1,L$2-1)=$I733,1,0)</f>
        <v>#N/A</v>
      </c>
      <c r="M733" s="34" t="e">
        <f ca="1">IF(OFFSET($C$3,MATCH(I731,$B$3:$B$102,0)-1,M$2-1)=$I733,1,0)</f>
        <v>#N/A</v>
      </c>
      <c r="N733" s="35" t="e">
        <f ca="1">IF(OFFSET($C$3,MATCH(I731,$B$3:$B$102,0)-1,N$2-1)=$I733,1,0)</f>
        <v>#N/A</v>
      </c>
    </row>
    <row r="734" spans="9:15" x14ac:dyDescent="0.25">
      <c r="I734" s="39">
        <v>2</v>
      </c>
      <c r="J734" s="43" t="e">
        <f ca="1">IF(OFFSET($C$3,MATCH(I731,$B$3:$B$102,0)-1,J$2-1)=$I734,1,0)</f>
        <v>#N/A</v>
      </c>
      <c r="K734" s="44" t="e">
        <f ca="1">IF(OFFSET($C$3,MATCH(I731,$B$3:$B$102,0)-1,K$2-1)=$I734,1,0)</f>
        <v>#N/A</v>
      </c>
      <c r="L734" s="44" t="e">
        <f ca="1">IF(OFFSET($C$3,MATCH(I731,$B$3:$B$102,0)-1,L$2-1)=$I734,1,0)</f>
        <v>#N/A</v>
      </c>
      <c r="M734" s="44" t="e">
        <f ca="1">IF(OFFSET($C$3,MATCH(I731,$B$3:$B$102,0)-1,M$2-1)=$I734,1,0)</f>
        <v>#N/A</v>
      </c>
      <c r="N734" s="45" t="e">
        <f ca="1">IF(OFFSET($C$3,MATCH(I731,$B$3:$B$102,0)-1,N$2-1)=$I734,1,0)</f>
        <v>#N/A</v>
      </c>
    </row>
    <row r="735" spans="9:15" ht="15.75" thickBot="1" x14ac:dyDescent="0.3">
      <c r="I735" s="39">
        <v>3</v>
      </c>
      <c r="J735" s="36" t="e">
        <f ca="1">IF(OFFSET($C$3,MATCH(I731,$B$3:$B$102,0)-1,J$2-1)=$I735,1,0)</f>
        <v>#N/A</v>
      </c>
      <c r="K735" s="37" t="e">
        <f ca="1">IF(OFFSET($C$3,MATCH(I731,$B$3:$B$102,0)-1,K$2-1)=$I735,1,0)</f>
        <v>#N/A</v>
      </c>
      <c r="L735" s="37" t="e">
        <f ca="1">IF(OFFSET($C$3,MATCH(I731,$B$3:$B$102,0)-1,L$2-1)=$I735,1,0)</f>
        <v>#N/A</v>
      </c>
      <c r="M735" s="37" t="e">
        <f ca="1">IF(OFFSET($C$3,MATCH(I731,$B$3:$B$102,0)-1,M$2-1)=$I735,1,0)</f>
        <v>#N/A</v>
      </c>
      <c r="N735" s="38" t="e">
        <f ca="1">IF(OFFSET($C$3,MATCH(I731,$B$3:$B$102,0)-1,N$2-1)=$I735,1,0)</f>
        <v>#N/A</v>
      </c>
    </row>
    <row r="737" spans="9:15" ht="15.75" thickBot="1" x14ac:dyDescent="0.3">
      <c r="I737" t="str">
        <f>MID(I731,1,5)&amp;MID(I731,6,2)+1</f>
        <v>Line_90</v>
      </c>
      <c r="O737" s="40">
        <f>VALUE(MID($I737,6,3))</f>
        <v>90</v>
      </c>
    </row>
    <row r="738" spans="9:15" x14ac:dyDescent="0.25">
      <c r="I738" s="39">
        <v>0</v>
      </c>
      <c r="J738" s="30" t="e">
        <f ca="1">IF(OFFSET($C$3,MATCH(I737,$B$3:$B$102,0)-1,J$2-1)=$I738,1,0)</f>
        <v>#N/A</v>
      </c>
      <c r="K738" s="31" t="e">
        <f ca="1">IF(OFFSET($C$3,MATCH(I737,$B$3:$B$102,0)-1,K$2-1)=$I738,1,0)</f>
        <v>#N/A</v>
      </c>
      <c r="L738" s="31" t="e">
        <f ca="1">IF(OFFSET($C$3,MATCH(I737,$B$3:$B$102,0)-1,L$2-1)=$I738,1,0)</f>
        <v>#N/A</v>
      </c>
      <c r="M738" s="31" t="e">
        <f ca="1">IF(OFFSET($C$3,MATCH(I737,$B$3:$B$102,0)-1,M$2-1)=$I738,1,0)</f>
        <v>#N/A</v>
      </c>
      <c r="N738" s="32" t="e">
        <f ca="1">IF(OFFSET($C$3,MATCH(I737,$B$3:$B$102,0)-1,N$2-1)=$I738,1,0)</f>
        <v>#N/A</v>
      </c>
    </row>
    <row r="739" spans="9:15" x14ac:dyDescent="0.25">
      <c r="I739" s="39">
        <v>1</v>
      </c>
      <c r="J739" s="33" t="e">
        <f ca="1">IF(OFFSET($C$3,MATCH(I737,$B$3:$B$102,0)-1,J$2-1)=$I739,1,0)</f>
        <v>#N/A</v>
      </c>
      <c r="K739" s="34" t="e">
        <f ca="1">IF(OFFSET($C$3,MATCH(I737,$B$3:$B$102,0)-1,K$2-1)=$I739,1,0)</f>
        <v>#N/A</v>
      </c>
      <c r="L739" s="34" t="e">
        <f ca="1">IF(OFFSET($C$3,MATCH(I737,$B$3:$B$102,0)-1,L$2-1)=$I739,1,0)</f>
        <v>#N/A</v>
      </c>
      <c r="M739" s="34" t="e">
        <f ca="1">IF(OFFSET($C$3,MATCH(I737,$B$3:$B$102,0)-1,M$2-1)=$I739,1,0)</f>
        <v>#N/A</v>
      </c>
      <c r="N739" s="35" t="e">
        <f ca="1">IF(OFFSET($C$3,MATCH(I737,$B$3:$B$102,0)-1,N$2-1)=$I739,1,0)</f>
        <v>#N/A</v>
      </c>
    </row>
    <row r="740" spans="9:15" x14ac:dyDescent="0.25">
      <c r="I740" s="39">
        <v>2</v>
      </c>
      <c r="J740" s="43" t="e">
        <f ca="1">IF(OFFSET($C$3,MATCH(I737,$B$3:$B$102,0)-1,J$2-1)=$I740,1,0)</f>
        <v>#N/A</v>
      </c>
      <c r="K740" s="44" t="e">
        <f ca="1">IF(OFFSET($C$3,MATCH(I737,$B$3:$B$102,0)-1,K$2-1)=$I740,1,0)</f>
        <v>#N/A</v>
      </c>
      <c r="L740" s="44" t="e">
        <f ca="1">IF(OFFSET($C$3,MATCH(I737,$B$3:$B$102,0)-1,L$2-1)=$I740,1,0)</f>
        <v>#N/A</v>
      </c>
      <c r="M740" s="44" t="e">
        <f ca="1">IF(OFFSET($C$3,MATCH(I737,$B$3:$B$102,0)-1,M$2-1)=$I740,1,0)</f>
        <v>#N/A</v>
      </c>
      <c r="N740" s="45" t="e">
        <f ca="1">IF(OFFSET($C$3,MATCH(I737,$B$3:$B$102,0)-1,N$2-1)=$I740,1,0)</f>
        <v>#N/A</v>
      </c>
    </row>
    <row r="741" spans="9:15" ht="15.75" thickBot="1" x14ac:dyDescent="0.3">
      <c r="I741" s="39">
        <v>3</v>
      </c>
      <c r="J741" s="36" t="e">
        <f ca="1">IF(OFFSET($C$3,MATCH(I737,$B$3:$B$102,0)-1,J$2-1)=$I741,1,0)</f>
        <v>#N/A</v>
      </c>
      <c r="K741" s="37" t="e">
        <f ca="1">IF(OFFSET($C$3,MATCH(I737,$B$3:$B$102,0)-1,K$2-1)=$I741,1,0)</f>
        <v>#N/A</v>
      </c>
      <c r="L741" s="37" t="e">
        <f ca="1">IF(OFFSET($C$3,MATCH(I737,$B$3:$B$102,0)-1,L$2-1)=$I741,1,0)</f>
        <v>#N/A</v>
      </c>
      <c r="M741" s="37" t="e">
        <f ca="1">IF(OFFSET($C$3,MATCH(I737,$B$3:$B$102,0)-1,M$2-1)=$I741,1,0)</f>
        <v>#N/A</v>
      </c>
      <c r="N741" s="38" t="e">
        <f ca="1">IF(OFFSET($C$3,MATCH(I737,$B$3:$B$102,0)-1,N$2-1)=$I741,1,0)</f>
        <v>#N/A</v>
      </c>
    </row>
    <row r="742" spans="9:15" x14ac:dyDescent="0.25">
      <c r="I742" s="39"/>
    </row>
    <row r="743" spans="9:15" ht="15.75" thickBot="1" x14ac:dyDescent="0.3">
      <c r="I743" t="str">
        <f>MID(I737,1,5)&amp;MID(I737,6,2)+1</f>
        <v>Line_91</v>
      </c>
      <c r="O743" s="40">
        <f>VALUE(MID($I743,6,3))</f>
        <v>91</v>
      </c>
    </row>
    <row r="744" spans="9:15" x14ac:dyDescent="0.25">
      <c r="I744" s="39">
        <v>0</v>
      </c>
      <c r="J744" s="30" t="e">
        <f ca="1">IF(OFFSET($C$3,MATCH(I743,$B$3:$B$102,0)-1,J$2-1)=$I744,1,0)</f>
        <v>#N/A</v>
      </c>
      <c r="K744" s="31" t="e">
        <f ca="1">IF(OFFSET($C$3,MATCH(I743,$B$3:$B$102,0)-1,K$2-1)=$I744,1,0)</f>
        <v>#N/A</v>
      </c>
      <c r="L744" s="31" t="e">
        <f ca="1">IF(OFFSET($C$3,MATCH(I743,$B$3:$B$102,0)-1,L$2-1)=$I744,1,0)</f>
        <v>#N/A</v>
      </c>
      <c r="M744" s="31" t="e">
        <f ca="1">IF(OFFSET($C$3,MATCH(I743,$B$3:$B$102,0)-1,M$2-1)=$I744,1,0)</f>
        <v>#N/A</v>
      </c>
      <c r="N744" s="32" t="e">
        <f ca="1">IF(OFFSET($C$3,MATCH(I743,$B$3:$B$102,0)-1,N$2-1)=$I744,1,0)</f>
        <v>#N/A</v>
      </c>
    </row>
    <row r="745" spans="9:15" x14ac:dyDescent="0.25">
      <c r="I745" s="39">
        <v>1</v>
      </c>
      <c r="J745" s="33" t="e">
        <f ca="1">IF(OFFSET($C$3,MATCH(I743,$B$3:$B$102,0)-1,J$2-1)=$I745,1,0)</f>
        <v>#N/A</v>
      </c>
      <c r="K745" s="34" t="e">
        <f ca="1">IF(OFFSET($C$3,MATCH(I743,$B$3:$B$102,0)-1,K$2-1)=$I745,1,0)</f>
        <v>#N/A</v>
      </c>
      <c r="L745" s="34" t="e">
        <f ca="1">IF(OFFSET($C$3,MATCH(I743,$B$3:$B$102,0)-1,L$2-1)=$I745,1,0)</f>
        <v>#N/A</v>
      </c>
      <c r="M745" s="34" t="e">
        <f ca="1">IF(OFFSET($C$3,MATCH(I743,$B$3:$B$102,0)-1,M$2-1)=$I745,1,0)</f>
        <v>#N/A</v>
      </c>
      <c r="N745" s="35" t="e">
        <f ca="1">IF(OFFSET($C$3,MATCH(I743,$B$3:$B$102,0)-1,N$2-1)=$I745,1,0)</f>
        <v>#N/A</v>
      </c>
    </row>
    <row r="746" spans="9:15" x14ac:dyDescent="0.25">
      <c r="I746" s="39">
        <v>2</v>
      </c>
      <c r="J746" s="43" t="e">
        <f ca="1">IF(OFFSET($C$3,MATCH(I743,$B$3:$B$102,0)-1,J$2-1)=$I746,1,0)</f>
        <v>#N/A</v>
      </c>
      <c r="K746" s="44" t="e">
        <f ca="1">IF(OFFSET($C$3,MATCH(I743,$B$3:$B$102,0)-1,K$2-1)=$I746,1,0)</f>
        <v>#N/A</v>
      </c>
      <c r="L746" s="44" t="e">
        <f ca="1">IF(OFFSET($C$3,MATCH(I743,$B$3:$B$102,0)-1,L$2-1)=$I746,1,0)</f>
        <v>#N/A</v>
      </c>
      <c r="M746" s="44" t="e">
        <f ca="1">IF(OFFSET($C$3,MATCH(I743,$B$3:$B$102,0)-1,M$2-1)=$I746,1,0)</f>
        <v>#N/A</v>
      </c>
      <c r="N746" s="45" t="e">
        <f ca="1">IF(OFFSET($C$3,MATCH(I743,$B$3:$B$102,0)-1,N$2-1)=$I746,1,0)</f>
        <v>#N/A</v>
      </c>
    </row>
    <row r="747" spans="9:15" ht="15.75" thickBot="1" x14ac:dyDescent="0.3">
      <c r="I747" s="39">
        <v>3</v>
      </c>
      <c r="J747" s="36" t="e">
        <f ca="1">IF(OFFSET($C$3,MATCH(I743,$B$3:$B$102,0)-1,J$2-1)=$I747,1,0)</f>
        <v>#N/A</v>
      </c>
      <c r="K747" s="37" t="e">
        <f ca="1">IF(OFFSET($C$3,MATCH(I743,$B$3:$B$102,0)-1,K$2-1)=$I747,1,0)</f>
        <v>#N/A</v>
      </c>
      <c r="L747" s="37" t="e">
        <f ca="1">IF(OFFSET($C$3,MATCH(I743,$B$3:$B$102,0)-1,L$2-1)=$I747,1,0)</f>
        <v>#N/A</v>
      </c>
      <c r="M747" s="37" t="e">
        <f ca="1">IF(OFFSET($C$3,MATCH(I743,$B$3:$B$102,0)-1,M$2-1)=$I747,1,0)</f>
        <v>#N/A</v>
      </c>
      <c r="N747" s="38" t="e">
        <f ca="1">IF(OFFSET($C$3,MATCH(I743,$B$3:$B$102,0)-1,N$2-1)=$I747,1,0)</f>
        <v>#N/A</v>
      </c>
    </row>
    <row r="749" spans="9:15" ht="15.75" thickBot="1" x14ac:dyDescent="0.3">
      <c r="I749" t="str">
        <f>MID(I743,1,5)&amp;MID(I743,6,2)+1</f>
        <v>Line_92</v>
      </c>
      <c r="O749" s="40">
        <f>VALUE(MID($I749,6,3))</f>
        <v>92</v>
      </c>
    </row>
    <row r="750" spans="9:15" x14ac:dyDescent="0.25">
      <c r="I750" s="39">
        <v>0</v>
      </c>
      <c r="J750" s="30" t="e">
        <f ca="1">IF(OFFSET($C$3,MATCH(I749,$B$3:$B$102,0)-1,J$2-1)=$I750,1,0)</f>
        <v>#N/A</v>
      </c>
      <c r="K750" s="31" t="e">
        <f ca="1">IF(OFFSET($C$3,MATCH(I749,$B$3:$B$102,0)-1,K$2-1)=$I750,1,0)</f>
        <v>#N/A</v>
      </c>
      <c r="L750" s="31" t="e">
        <f ca="1">IF(OFFSET($C$3,MATCH(I749,$B$3:$B$102,0)-1,L$2-1)=$I750,1,0)</f>
        <v>#N/A</v>
      </c>
      <c r="M750" s="31" t="e">
        <f ca="1">IF(OFFSET($C$3,MATCH(I749,$B$3:$B$102,0)-1,M$2-1)=$I750,1,0)</f>
        <v>#N/A</v>
      </c>
      <c r="N750" s="32" t="e">
        <f ca="1">IF(OFFSET($C$3,MATCH(I749,$B$3:$B$102,0)-1,N$2-1)=$I750,1,0)</f>
        <v>#N/A</v>
      </c>
    </row>
    <row r="751" spans="9:15" x14ac:dyDescent="0.25">
      <c r="I751" s="39">
        <v>1</v>
      </c>
      <c r="J751" s="33" t="e">
        <f ca="1">IF(OFFSET($C$3,MATCH(I749,$B$3:$B$102,0)-1,J$2-1)=$I751,1,0)</f>
        <v>#N/A</v>
      </c>
      <c r="K751" s="34" t="e">
        <f ca="1">IF(OFFSET($C$3,MATCH(I749,$B$3:$B$102,0)-1,K$2-1)=$I751,1,0)</f>
        <v>#N/A</v>
      </c>
      <c r="L751" s="34" t="e">
        <f ca="1">IF(OFFSET($C$3,MATCH(I749,$B$3:$B$102,0)-1,L$2-1)=$I751,1,0)</f>
        <v>#N/A</v>
      </c>
      <c r="M751" s="34" t="e">
        <f ca="1">IF(OFFSET($C$3,MATCH(I749,$B$3:$B$102,0)-1,M$2-1)=$I751,1,0)</f>
        <v>#N/A</v>
      </c>
      <c r="N751" s="35" t="e">
        <f ca="1">IF(OFFSET($C$3,MATCH(I749,$B$3:$B$102,0)-1,N$2-1)=$I751,1,0)</f>
        <v>#N/A</v>
      </c>
    </row>
    <row r="752" spans="9:15" x14ac:dyDescent="0.25">
      <c r="I752" s="39">
        <v>2</v>
      </c>
      <c r="J752" s="43" t="e">
        <f ca="1">IF(OFFSET($C$3,MATCH(I749,$B$3:$B$102,0)-1,J$2-1)=$I752,1,0)</f>
        <v>#N/A</v>
      </c>
      <c r="K752" s="44" t="e">
        <f ca="1">IF(OFFSET($C$3,MATCH(I749,$B$3:$B$102,0)-1,K$2-1)=$I752,1,0)</f>
        <v>#N/A</v>
      </c>
      <c r="L752" s="44" t="e">
        <f ca="1">IF(OFFSET($C$3,MATCH(I749,$B$3:$B$102,0)-1,L$2-1)=$I752,1,0)</f>
        <v>#N/A</v>
      </c>
      <c r="M752" s="44" t="e">
        <f ca="1">IF(OFFSET($C$3,MATCH(I749,$B$3:$B$102,0)-1,M$2-1)=$I752,1,0)</f>
        <v>#N/A</v>
      </c>
      <c r="N752" s="45" t="e">
        <f ca="1">IF(OFFSET($C$3,MATCH(I749,$B$3:$B$102,0)-1,N$2-1)=$I752,1,0)</f>
        <v>#N/A</v>
      </c>
    </row>
    <row r="753" spans="9:15" ht="15.75" thickBot="1" x14ac:dyDescent="0.3">
      <c r="I753" s="39">
        <v>3</v>
      </c>
      <c r="J753" s="36" t="e">
        <f ca="1">IF(OFFSET($C$3,MATCH(I749,$B$3:$B$102,0)-1,J$2-1)=$I753,1,0)</f>
        <v>#N/A</v>
      </c>
      <c r="K753" s="37" t="e">
        <f ca="1">IF(OFFSET($C$3,MATCH(I749,$B$3:$B$102,0)-1,K$2-1)=$I753,1,0)</f>
        <v>#N/A</v>
      </c>
      <c r="L753" s="37" t="e">
        <f ca="1">IF(OFFSET($C$3,MATCH(I749,$B$3:$B$102,0)-1,L$2-1)=$I753,1,0)</f>
        <v>#N/A</v>
      </c>
      <c r="M753" s="37" t="e">
        <f ca="1">IF(OFFSET($C$3,MATCH(I749,$B$3:$B$102,0)-1,M$2-1)=$I753,1,0)</f>
        <v>#N/A</v>
      </c>
      <c r="N753" s="38" t="e">
        <f ca="1">IF(OFFSET($C$3,MATCH(I749,$B$3:$B$102,0)-1,N$2-1)=$I753,1,0)</f>
        <v>#N/A</v>
      </c>
    </row>
    <row r="755" spans="9:15" ht="15.75" thickBot="1" x14ac:dyDescent="0.3">
      <c r="I755" t="str">
        <f>MID(I749,1,5)&amp;MID(I749,6,2)+1</f>
        <v>Line_93</v>
      </c>
      <c r="O755" s="40">
        <f>VALUE(MID($I755,6,3))</f>
        <v>93</v>
      </c>
    </row>
    <row r="756" spans="9:15" x14ac:dyDescent="0.25">
      <c r="I756" s="39">
        <v>0</v>
      </c>
      <c r="J756" s="30" t="e">
        <f ca="1">IF(OFFSET($C$3,MATCH(I755,$B$3:$B$102,0)-1,J$2-1)=$I756,1,0)</f>
        <v>#N/A</v>
      </c>
      <c r="K756" s="31" t="e">
        <f ca="1">IF(OFFSET($C$3,MATCH(I755,$B$3:$B$102,0)-1,K$2-1)=$I756,1,0)</f>
        <v>#N/A</v>
      </c>
      <c r="L756" s="31" t="e">
        <f ca="1">IF(OFFSET($C$3,MATCH(I755,$B$3:$B$102,0)-1,L$2-1)=$I756,1,0)</f>
        <v>#N/A</v>
      </c>
      <c r="M756" s="31" t="e">
        <f ca="1">IF(OFFSET($C$3,MATCH(I755,$B$3:$B$102,0)-1,M$2-1)=$I756,1,0)</f>
        <v>#N/A</v>
      </c>
      <c r="N756" s="32" t="e">
        <f ca="1">IF(OFFSET($C$3,MATCH(I755,$B$3:$B$102,0)-1,N$2-1)=$I756,1,0)</f>
        <v>#N/A</v>
      </c>
    </row>
    <row r="757" spans="9:15" x14ac:dyDescent="0.25">
      <c r="I757" s="39">
        <v>1</v>
      </c>
      <c r="J757" s="33" t="e">
        <f ca="1">IF(OFFSET($C$3,MATCH(I755,$B$3:$B$102,0)-1,J$2-1)=$I757,1,0)</f>
        <v>#N/A</v>
      </c>
      <c r="K757" s="34" t="e">
        <f ca="1">IF(OFFSET($C$3,MATCH(I755,$B$3:$B$102,0)-1,K$2-1)=$I757,1,0)</f>
        <v>#N/A</v>
      </c>
      <c r="L757" s="34" t="e">
        <f ca="1">IF(OFFSET($C$3,MATCH(I755,$B$3:$B$102,0)-1,L$2-1)=$I757,1,0)</f>
        <v>#N/A</v>
      </c>
      <c r="M757" s="34" t="e">
        <f ca="1">IF(OFFSET($C$3,MATCH(I755,$B$3:$B$102,0)-1,M$2-1)=$I757,1,0)</f>
        <v>#N/A</v>
      </c>
      <c r="N757" s="35" t="e">
        <f ca="1">IF(OFFSET($C$3,MATCH(I755,$B$3:$B$102,0)-1,N$2-1)=$I757,1,0)</f>
        <v>#N/A</v>
      </c>
    </row>
    <row r="758" spans="9:15" x14ac:dyDescent="0.25">
      <c r="I758" s="39">
        <v>2</v>
      </c>
      <c r="J758" s="43" t="e">
        <f ca="1">IF(OFFSET($C$3,MATCH(I755,$B$3:$B$102,0)-1,J$2-1)=$I758,1,0)</f>
        <v>#N/A</v>
      </c>
      <c r="K758" s="44" t="e">
        <f ca="1">IF(OFFSET($C$3,MATCH(I755,$B$3:$B$102,0)-1,K$2-1)=$I758,1,0)</f>
        <v>#N/A</v>
      </c>
      <c r="L758" s="44" t="e">
        <f ca="1">IF(OFFSET($C$3,MATCH(I755,$B$3:$B$102,0)-1,L$2-1)=$I758,1,0)</f>
        <v>#N/A</v>
      </c>
      <c r="M758" s="44" t="e">
        <f ca="1">IF(OFFSET($C$3,MATCH(I755,$B$3:$B$102,0)-1,M$2-1)=$I758,1,0)</f>
        <v>#N/A</v>
      </c>
      <c r="N758" s="45" t="e">
        <f ca="1">IF(OFFSET($C$3,MATCH(I755,$B$3:$B$102,0)-1,N$2-1)=$I758,1,0)</f>
        <v>#N/A</v>
      </c>
    </row>
    <row r="759" spans="9:15" ht="15.75" thickBot="1" x14ac:dyDescent="0.3">
      <c r="I759" s="39">
        <v>3</v>
      </c>
      <c r="J759" s="36" t="e">
        <f ca="1">IF(OFFSET($C$3,MATCH(I755,$B$3:$B$102,0)-1,J$2-1)=$I759,1,0)</f>
        <v>#N/A</v>
      </c>
      <c r="K759" s="37" t="e">
        <f ca="1">IF(OFFSET($C$3,MATCH(I755,$B$3:$B$102,0)-1,K$2-1)=$I759,1,0)</f>
        <v>#N/A</v>
      </c>
      <c r="L759" s="37" t="e">
        <f ca="1">IF(OFFSET($C$3,MATCH(I755,$B$3:$B$102,0)-1,L$2-1)=$I759,1,0)</f>
        <v>#N/A</v>
      </c>
      <c r="M759" s="37" t="e">
        <f ca="1">IF(OFFSET($C$3,MATCH(I755,$B$3:$B$102,0)-1,M$2-1)=$I759,1,0)</f>
        <v>#N/A</v>
      </c>
      <c r="N759" s="38" t="e">
        <f ca="1">IF(OFFSET($C$3,MATCH(I755,$B$3:$B$102,0)-1,N$2-1)=$I759,1,0)</f>
        <v>#N/A</v>
      </c>
    </row>
    <row r="760" spans="9:15" x14ac:dyDescent="0.25">
      <c r="I760" s="39"/>
    </row>
    <row r="761" spans="9:15" ht="15.75" thickBot="1" x14ac:dyDescent="0.3">
      <c r="I761" t="str">
        <f>MID(I755,1,5)&amp;MID(I755,6,2)+1</f>
        <v>Line_94</v>
      </c>
      <c r="O761" s="40">
        <f>VALUE(MID($I761,6,3))</f>
        <v>94</v>
      </c>
    </row>
    <row r="762" spans="9:15" x14ac:dyDescent="0.25">
      <c r="I762" s="39">
        <v>0</v>
      </c>
      <c r="J762" s="30" t="e">
        <f ca="1">IF(OFFSET($C$3,MATCH(I761,$B$3:$B$102,0)-1,J$2-1)=$I762,1,0)</f>
        <v>#N/A</v>
      </c>
      <c r="K762" s="31" t="e">
        <f ca="1">IF(OFFSET($C$3,MATCH(I761,$B$3:$B$102,0)-1,K$2-1)=$I762,1,0)</f>
        <v>#N/A</v>
      </c>
      <c r="L762" s="31" t="e">
        <f ca="1">IF(OFFSET($C$3,MATCH(I761,$B$3:$B$102,0)-1,L$2-1)=$I762,1,0)</f>
        <v>#N/A</v>
      </c>
      <c r="M762" s="31" t="e">
        <f ca="1">IF(OFFSET($C$3,MATCH(I761,$B$3:$B$102,0)-1,M$2-1)=$I762,1,0)</f>
        <v>#N/A</v>
      </c>
      <c r="N762" s="32" t="e">
        <f ca="1">IF(OFFSET($C$3,MATCH(I761,$B$3:$B$102,0)-1,N$2-1)=$I762,1,0)</f>
        <v>#N/A</v>
      </c>
    </row>
    <row r="763" spans="9:15" x14ac:dyDescent="0.25">
      <c r="I763" s="39">
        <v>1</v>
      </c>
      <c r="J763" s="33" t="e">
        <f ca="1">IF(OFFSET($C$3,MATCH(I761,$B$3:$B$102,0)-1,J$2-1)=$I763,1,0)</f>
        <v>#N/A</v>
      </c>
      <c r="K763" s="34" t="e">
        <f ca="1">IF(OFFSET($C$3,MATCH(I761,$B$3:$B$102,0)-1,K$2-1)=$I763,1,0)</f>
        <v>#N/A</v>
      </c>
      <c r="L763" s="34" t="e">
        <f ca="1">IF(OFFSET($C$3,MATCH(I761,$B$3:$B$102,0)-1,L$2-1)=$I763,1,0)</f>
        <v>#N/A</v>
      </c>
      <c r="M763" s="34" t="e">
        <f ca="1">IF(OFFSET($C$3,MATCH(I761,$B$3:$B$102,0)-1,M$2-1)=$I763,1,0)</f>
        <v>#N/A</v>
      </c>
      <c r="N763" s="35" t="e">
        <f ca="1">IF(OFFSET($C$3,MATCH(I761,$B$3:$B$102,0)-1,N$2-1)=$I763,1,0)</f>
        <v>#N/A</v>
      </c>
    </row>
    <row r="764" spans="9:15" x14ac:dyDescent="0.25">
      <c r="I764" s="39">
        <v>2</v>
      </c>
      <c r="J764" s="43" t="e">
        <f ca="1">IF(OFFSET($C$3,MATCH(I761,$B$3:$B$102,0)-1,J$2-1)=$I764,1,0)</f>
        <v>#N/A</v>
      </c>
      <c r="K764" s="44" t="e">
        <f ca="1">IF(OFFSET($C$3,MATCH(I761,$B$3:$B$102,0)-1,K$2-1)=$I764,1,0)</f>
        <v>#N/A</v>
      </c>
      <c r="L764" s="44" t="e">
        <f ca="1">IF(OFFSET($C$3,MATCH(I761,$B$3:$B$102,0)-1,L$2-1)=$I764,1,0)</f>
        <v>#N/A</v>
      </c>
      <c r="M764" s="44" t="e">
        <f ca="1">IF(OFFSET($C$3,MATCH(I761,$B$3:$B$102,0)-1,M$2-1)=$I764,1,0)</f>
        <v>#N/A</v>
      </c>
      <c r="N764" s="45" t="e">
        <f ca="1">IF(OFFSET($C$3,MATCH(I761,$B$3:$B$102,0)-1,N$2-1)=$I764,1,0)</f>
        <v>#N/A</v>
      </c>
    </row>
    <row r="765" spans="9:15" ht="15.75" thickBot="1" x14ac:dyDescent="0.3">
      <c r="I765" s="39">
        <v>3</v>
      </c>
      <c r="J765" s="36" t="e">
        <f ca="1">IF(OFFSET($C$3,MATCH(I761,$B$3:$B$102,0)-1,J$2-1)=$I765,1,0)</f>
        <v>#N/A</v>
      </c>
      <c r="K765" s="37" t="e">
        <f ca="1">IF(OFFSET($C$3,MATCH(I761,$B$3:$B$102,0)-1,K$2-1)=$I765,1,0)</f>
        <v>#N/A</v>
      </c>
      <c r="L765" s="37" t="e">
        <f ca="1">IF(OFFSET($C$3,MATCH(I761,$B$3:$B$102,0)-1,L$2-1)=$I765,1,0)</f>
        <v>#N/A</v>
      </c>
      <c r="M765" s="37" t="e">
        <f ca="1">IF(OFFSET($C$3,MATCH(I761,$B$3:$B$102,0)-1,M$2-1)=$I765,1,0)</f>
        <v>#N/A</v>
      </c>
      <c r="N765" s="38" t="e">
        <f ca="1">IF(OFFSET($C$3,MATCH(I761,$B$3:$B$102,0)-1,N$2-1)=$I765,1,0)</f>
        <v>#N/A</v>
      </c>
    </row>
    <row r="766" spans="9:15" x14ac:dyDescent="0.25">
      <c r="I766" s="39"/>
    </row>
    <row r="767" spans="9:15" ht="15.75" thickBot="1" x14ac:dyDescent="0.3">
      <c r="I767" t="str">
        <f>MID(I761,1,5)&amp;MID(I761,6,2)+1</f>
        <v>Line_95</v>
      </c>
      <c r="O767" s="40">
        <f>VALUE(MID($I767,6,3))</f>
        <v>95</v>
      </c>
    </row>
    <row r="768" spans="9:15" x14ac:dyDescent="0.25">
      <c r="I768" s="39">
        <v>0</v>
      </c>
      <c r="J768" s="30" t="e">
        <f ca="1">IF(OFFSET($C$3,MATCH(I767,$B$3:$B$102,0)-1,J$2-1)=$I768,1,0)</f>
        <v>#N/A</v>
      </c>
      <c r="K768" s="31" t="e">
        <f ca="1">IF(OFFSET($C$3,MATCH(I767,$B$3:$B$102,0)-1,K$2-1)=$I768,1,0)</f>
        <v>#N/A</v>
      </c>
      <c r="L768" s="31" t="e">
        <f ca="1">IF(OFFSET($C$3,MATCH(I767,$B$3:$B$102,0)-1,L$2-1)=$I768,1,0)</f>
        <v>#N/A</v>
      </c>
      <c r="M768" s="31" t="e">
        <f ca="1">IF(OFFSET($C$3,MATCH(I767,$B$3:$B$102,0)-1,M$2-1)=$I768,1,0)</f>
        <v>#N/A</v>
      </c>
      <c r="N768" s="32" t="e">
        <f ca="1">IF(OFFSET($C$3,MATCH(I767,$B$3:$B$102,0)-1,N$2-1)=$I768,1,0)</f>
        <v>#N/A</v>
      </c>
    </row>
    <row r="769" spans="9:15" x14ac:dyDescent="0.25">
      <c r="I769" s="39">
        <v>1</v>
      </c>
      <c r="J769" s="33" t="e">
        <f ca="1">IF(OFFSET($C$3,MATCH(I767,$B$3:$B$102,0)-1,J$2-1)=$I769,1,0)</f>
        <v>#N/A</v>
      </c>
      <c r="K769" s="34" t="e">
        <f ca="1">IF(OFFSET($C$3,MATCH(I767,$B$3:$B$102,0)-1,K$2-1)=$I769,1,0)</f>
        <v>#N/A</v>
      </c>
      <c r="L769" s="34" t="e">
        <f ca="1">IF(OFFSET($C$3,MATCH(I767,$B$3:$B$102,0)-1,L$2-1)=$I769,1,0)</f>
        <v>#N/A</v>
      </c>
      <c r="M769" s="34" t="e">
        <f ca="1">IF(OFFSET($C$3,MATCH(I767,$B$3:$B$102,0)-1,M$2-1)=$I769,1,0)</f>
        <v>#N/A</v>
      </c>
      <c r="N769" s="35" t="e">
        <f ca="1">IF(OFFSET($C$3,MATCH(I767,$B$3:$B$102,0)-1,N$2-1)=$I769,1,0)</f>
        <v>#N/A</v>
      </c>
    </row>
    <row r="770" spans="9:15" x14ac:dyDescent="0.25">
      <c r="I770" s="39">
        <v>2</v>
      </c>
      <c r="J770" s="43" t="e">
        <f ca="1">IF(OFFSET($C$3,MATCH(I767,$B$3:$B$102,0)-1,J$2-1)=$I770,1,0)</f>
        <v>#N/A</v>
      </c>
      <c r="K770" s="44" t="e">
        <f ca="1">IF(OFFSET($C$3,MATCH(I767,$B$3:$B$102,0)-1,K$2-1)=$I770,1,0)</f>
        <v>#N/A</v>
      </c>
      <c r="L770" s="44" t="e">
        <f ca="1">IF(OFFSET($C$3,MATCH(I767,$B$3:$B$102,0)-1,L$2-1)=$I770,1,0)</f>
        <v>#N/A</v>
      </c>
      <c r="M770" s="44" t="e">
        <f ca="1">IF(OFFSET($C$3,MATCH(I767,$B$3:$B$102,0)-1,M$2-1)=$I770,1,0)</f>
        <v>#N/A</v>
      </c>
      <c r="N770" s="45" t="e">
        <f ca="1">IF(OFFSET($C$3,MATCH(I767,$B$3:$B$102,0)-1,N$2-1)=$I770,1,0)</f>
        <v>#N/A</v>
      </c>
    </row>
    <row r="771" spans="9:15" ht="15.75" thickBot="1" x14ac:dyDescent="0.3">
      <c r="I771" s="39">
        <v>3</v>
      </c>
      <c r="J771" s="36" t="e">
        <f ca="1">IF(OFFSET($C$3,MATCH(I767,$B$3:$B$102,0)-1,J$2-1)=$I771,1,0)</f>
        <v>#N/A</v>
      </c>
      <c r="K771" s="37" t="e">
        <f ca="1">IF(OFFSET($C$3,MATCH(I767,$B$3:$B$102,0)-1,K$2-1)=$I771,1,0)</f>
        <v>#N/A</v>
      </c>
      <c r="L771" s="37" t="e">
        <f ca="1">IF(OFFSET($C$3,MATCH(I767,$B$3:$B$102,0)-1,L$2-1)=$I771,1,0)</f>
        <v>#N/A</v>
      </c>
      <c r="M771" s="37" t="e">
        <f ca="1">IF(OFFSET($C$3,MATCH(I767,$B$3:$B$102,0)-1,M$2-1)=$I771,1,0)</f>
        <v>#N/A</v>
      </c>
      <c r="N771" s="38" t="e">
        <f ca="1">IF(OFFSET($C$3,MATCH(I767,$B$3:$B$102,0)-1,N$2-1)=$I771,1,0)</f>
        <v>#N/A</v>
      </c>
    </row>
    <row r="772" spans="9:15" x14ac:dyDescent="0.25">
      <c r="I772" s="39"/>
    </row>
    <row r="773" spans="9:15" ht="15.75" thickBot="1" x14ac:dyDescent="0.3">
      <c r="I773" t="str">
        <f>MID(I767,1,5)&amp;MID(I767,6,2)+1</f>
        <v>Line_96</v>
      </c>
      <c r="O773" s="40">
        <f>VALUE(MID($I773,6,3))</f>
        <v>96</v>
      </c>
    </row>
    <row r="774" spans="9:15" x14ac:dyDescent="0.25">
      <c r="I774" s="39">
        <v>0</v>
      </c>
      <c r="J774" s="30" t="e">
        <f ca="1">IF(OFFSET($C$3,MATCH(I773,$B$3:$B$102,0)-1,J$2-1)=$I774,1,0)</f>
        <v>#N/A</v>
      </c>
      <c r="K774" s="31" t="e">
        <f ca="1">IF(OFFSET($C$3,MATCH(I773,$B$3:$B$102,0)-1,K$2-1)=$I774,1,0)</f>
        <v>#N/A</v>
      </c>
      <c r="L774" s="31" t="e">
        <f ca="1">IF(OFFSET($C$3,MATCH(I773,$B$3:$B$102,0)-1,L$2-1)=$I774,1,0)</f>
        <v>#N/A</v>
      </c>
      <c r="M774" s="31" t="e">
        <f ca="1">IF(OFFSET($C$3,MATCH(I773,$B$3:$B$102,0)-1,M$2-1)=$I774,1,0)</f>
        <v>#N/A</v>
      </c>
      <c r="N774" s="32" t="e">
        <f ca="1">IF(OFFSET($C$3,MATCH(I773,$B$3:$B$102,0)-1,N$2-1)=$I774,1,0)</f>
        <v>#N/A</v>
      </c>
    </row>
    <row r="775" spans="9:15" x14ac:dyDescent="0.25">
      <c r="I775" s="39">
        <v>1</v>
      </c>
      <c r="J775" s="33" t="e">
        <f ca="1">IF(OFFSET($C$3,MATCH(I773,$B$3:$B$102,0)-1,J$2-1)=$I775,1,0)</f>
        <v>#N/A</v>
      </c>
      <c r="K775" s="34" t="e">
        <f ca="1">IF(OFFSET($C$3,MATCH(I773,$B$3:$B$102,0)-1,K$2-1)=$I775,1,0)</f>
        <v>#N/A</v>
      </c>
      <c r="L775" s="34" t="e">
        <f ca="1">IF(OFFSET($C$3,MATCH(I773,$B$3:$B$102,0)-1,L$2-1)=$I775,1,0)</f>
        <v>#N/A</v>
      </c>
      <c r="M775" s="34" t="e">
        <f ca="1">IF(OFFSET($C$3,MATCH(I773,$B$3:$B$102,0)-1,M$2-1)=$I775,1,0)</f>
        <v>#N/A</v>
      </c>
      <c r="N775" s="35" t="e">
        <f ca="1">IF(OFFSET($C$3,MATCH(I773,$B$3:$B$102,0)-1,N$2-1)=$I775,1,0)</f>
        <v>#N/A</v>
      </c>
    </row>
    <row r="776" spans="9:15" x14ac:dyDescent="0.25">
      <c r="I776" s="39">
        <v>2</v>
      </c>
      <c r="J776" s="43" t="e">
        <f ca="1">IF(OFFSET($C$3,MATCH(I773,$B$3:$B$102,0)-1,J$2-1)=$I776,1,0)</f>
        <v>#N/A</v>
      </c>
      <c r="K776" s="44" t="e">
        <f ca="1">IF(OFFSET($C$3,MATCH(I773,$B$3:$B$102,0)-1,K$2-1)=$I776,1,0)</f>
        <v>#N/A</v>
      </c>
      <c r="L776" s="44" t="e">
        <f ca="1">IF(OFFSET($C$3,MATCH(I773,$B$3:$B$102,0)-1,L$2-1)=$I776,1,0)</f>
        <v>#N/A</v>
      </c>
      <c r="M776" s="44" t="e">
        <f ca="1">IF(OFFSET($C$3,MATCH(I773,$B$3:$B$102,0)-1,M$2-1)=$I776,1,0)</f>
        <v>#N/A</v>
      </c>
      <c r="N776" s="45" t="e">
        <f ca="1">IF(OFFSET($C$3,MATCH(I773,$B$3:$B$102,0)-1,N$2-1)=$I776,1,0)</f>
        <v>#N/A</v>
      </c>
    </row>
    <row r="777" spans="9:15" ht="15.75" thickBot="1" x14ac:dyDescent="0.3">
      <c r="I777" s="39">
        <v>3</v>
      </c>
      <c r="J777" s="36" t="e">
        <f ca="1">IF(OFFSET($C$3,MATCH(I773,$B$3:$B$102,0)-1,J$2-1)=$I777,1,0)</f>
        <v>#N/A</v>
      </c>
      <c r="K777" s="37" t="e">
        <f ca="1">IF(OFFSET($C$3,MATCH(I773,$B$3:$B$102,0)-1,K$2-1)=$I777,1,0)</f>
        <v>#N/A</v>
      </c>
      <c r="L777" s="37" t="e">
        <f ca="1">IF(OFFSET($C$3,MATCH(I773,$B$3:$B$102,0)-1,L$2-1)=$I777,1,0)</f>
        <v>#N/A</v>
      </c>
      <c r="M777" s="37" t="e">
        <f ca="1">IF(OFFSET($C$3,MATCH(I773,$B$3:$B$102,0)-1,M$2-1)=$I777,1,0)</f>
        <v>#N/A</v>
      </c>
      <c r="N777" s="38" t="e">
        <f ca="1">IF(OFFSET($C$3,MATCH(I773,$B$3:$B$102,0)-1,N$2-1)=$I777,1,0)</f>
        <v>#N/A</v>
      </c>
    </row>
    <row r="779" spans="9:15" ht="15.75" thickBot="1" x14ac:dyDescent="0.3">
      <c r="I779" t="str">
        <f>MID(I773,1,5)&amp;MID(I773,6,2)+1</f>
        <v>Line_97</v>
      </c>
      <c r="O779" s="40">
        <f>VALUE(MID($I779,6,3))</f>
        <v>97</v>
      </c>
    </row>
    <row r="780" spans="9:15" x14ac:dyDescent="0.25">
      <c r="I780" s="39">
        <v>0</v>
      </c>
      <c r="J780" s="30" t="e">
        <f ca="1">IF(OFFSET($C$3,MATCH(I779,$B$3:$B$102,0)-1,J$2-1)=$I780,1,0)</f>
        <v>#N/A</v>
      </c>
      <c r="K780" s="31" t="e">
        <f ca="1">IF(OFFSET($C$3,MATCH(I779,$B$3:$B$102,0)-1,K$2-1)=$I780,1,0)</f>
        <v>#N/A</v>
      </c>
      <c r="L780" s="31" t="e">
        <f ca="1">IF(OFFSET($C$3,MATCH(I779,$B$3:$B$102,0)-1,L$2-1)=$I780,1,0)</f>
        <v>#N/A</v>
      </c>
      <c r="M780" s="31" t="e">
        <f ca="1">IF(OFFSET($C$3,MATCH(I779,$B$3:$B$102,0)-1,M$2-1)=$I780,1,0)</f>
        <v>#N/A</v>
      </c>
      <c r="N780" s="32" t="e">
        <f ca="1">IF(OFFSET($C$3,MATCH(I779,$B$3:$B$102,0)-1,N$2-1)=$I780,1,0)</f>
        <v>#N/A</v>
      </c>
    </row>
    <row r="781" spans="9:15" x14ac:dyDescent="0.25">
      <c r="I781" s="39">
        <v>1</v>
      </c>
      <c r="J781" s="33" t="e">
        <f ca="1">IF(OFFSET($C$3,MATCH(I779,$B$3:$B$102,0)-1,J$2-1)=$I781,1,0)</f>
        <v>#N/A</v>
      </c>
      <c r="K781" s="34" t="e">
        <f ca="1">IF(OFFSET($C$3,MATCH(I779,$B$3:$B$102,0)-1,K$2-1)=$I781,1,0)</f>
        <v>#N/A</v>
      </c>
      <c r="L781" s="34" t="e">
        <f ca="1">IF(OFFSET($C$3,MATCH(I779,$B$3:$B$102,0)-1,L$2-1)=$I781,1,0)</f>
        <v>#N/A</v>
      </c>
      <c r="M781" s="34" t="e">
        <f ca="1">IF(OFFSET($C$3,MATCH(I779,$B$3:$B$102,0)-1,M$2-1)=$I781,1,0)</f>
        <v>#N/A</v>
      </c>
      <c r="N781" s="35" t="e">
        <f ca="1">IF(OFFSET($C$3,MATCH(I779,$B$3:$B$102,0)-1,N$2-1)=$I781,1,0)</f>
        <v>#N/A</v>
      </c>
    </row>
    <row r="782" spans="9:15" x14ac:dyDescent="0.25">
      <c r="I782" s="39">
        <v>2</v>
      </c>
      <c r="J782" s="43" t="e">
        <f ca="1">IF(OFFSET($C$3,MATCH(I779,$B$3:$B$102,0)-1,J$2-1)=$I782,1,0)</f>
        <v>#N/A</v>
      </c>
      <c r="K782" s="44" t="e">
        <f ca="1">IF(OFFSET($C$3,MATCH(I779,$B$3:$B$102,0)-1,K$2-1)=$I782,1,0)</f>
        <v>#N/A</v>
      </c>
      <c r="L782" s="44" t="e">
        <f ca="1">IF(OFFSET($C$3,MATCH(I779,$B$3:$B$102,0)-1,L$2-1)=$I782,1,0)</f>
        <v>#N/A</v>
      </c>
      <c r="M782" s="44" t="e">
        <f ca="1">IF(OFFSET($C$3,MATCH(I779,$B$3:$B$102,0)-1,M$2-1)=$I782,1,0)</f>
        <v>#N/A</v>
      </c>
      <c r="N782" s="45" t="e">
        <f ca="1">IF(OFFSET($C$3,MATCH(I779,$B$3:$B$102,0)-1,N$2-1)=$I782,1,0)</f>
        <v>#N/A</v>
      </c>
    </row>
    <row r="783" spans="9:15" ht="15.75" thickBot="1" x14ac:dyDescent="0.3">
      <c r="I783" s="39">
        <v>3</v>
      </c>
      <c r="J783" s="36" t="e">
        <f ca="1">IF(OFFSET($C$3,MATCH(I779,$B$3:$B$102,0)-1,J$2-1)=$I783,1,0)</f>
        <v>#N/A</v>
      </c>
      <c r="K783" s="37" t="e">
        <f ca="1">IF(OFFSET($C$3,MATCH(I779,$B$3:$B$102,0)-1,K$2-1)=$I783,1,0)</f>
        <v>#N/A</v>
      </c>
      <c r="L783" s="37" t="e">
        <f ca="1">IF(OFFSET($C$3,MATCH(I779,$B$3:$B$102,0)-1,L$2-1)=$I783,1,0)</f>
        <v>#N/A</v>
      </c>
      <c r="M783" s="37" t="e">
        <f ca="1">IF(OFFSET($C$3,MATCH(I779,$B$3:$B$102,0)-1,M$2-1)=$I783,1,0)</f>
        <v>#N/A</v>
      </c>
      <c r="N783" s="38" t="e">
        <f ca="1">IF(OFFSET($C$3,MATCH(I779,$B$3:$B$102,0)-1,N$2-1)=$I783,1,0)</f>
        <v>#N/A</v>
      </c>
    </row>
    <row r="785" spans="9:15" ht="15.75" thickBot="1" x14ac:dyDescent="0.3">
      <c r="I785" t="str">
        <f>MID(I779,1,5)&amp;MID(I779,6,2)+1</f>
        <v>Line_98</v>
      </c>
      <c r="O785" s="40">
        <f>VALUE(MID($I785,6,3))</f>
        <v>98</v>
      </c>
    </row>
    <row r="786" spans="9:15" x14ac:dyDescent="0.25">
      <c r="I786" s="39">
        <v>0</v>
      </c>
      <c r="J786" s="30" t="e">
        <f ca="1">IF(OFFSET($C$3,MATCH(I785,$B$3:$B$102,0)-1,J$2-1)=$I786,1,0)</f>
        <v>#N/A</v>
      </c>
      <c r="K786" s="31" t="e">
        <f ca="1">IF(OFFSET($C$3,MATCH(I785,$B$3:$B$102,0)-1,K$2-1)=$I786,1,0)</f>
        <v>#N/A</v>
      </c>
      <c r="L786" s="31" t="e">
        <f ca="1">IF(OFFSET($C$3,MATCH(I785,$B$3:$B$102,0)-1,L$2-1)=$I786,1,0)</f>
        <v>#N/A</v>
      </c>
      <c r="M786" s="31" t="e">
        <f ca="1">IF(OFFSET($C$3,MATCH(I785,$B$3:$B$102,0)-1,M$2-1)=$I786,1,0)</f>
        <v>#N/A</v>
      </c>
      <c r="N786" s="32" t="e">
        <f ca="1">IF(OFFSET($C$3,MATCH(I785,$B$3:$B$102,0)-1,N$2-1)=$I786,1,0)</f>
        <v>#N/A</v>
      </c>
    </row>
    <row r="787" spans="9:15" x14ac:dyDescent="0.25">
      <c r="I787" s="39">
        <v>1</v>
      </c>
      <c r="J787" s="33" t="e">
        <f ca="1">IF(OFFSET($C$3,MATCH(I785,$B$3:$B$102,0)-1,J$2-1)=$I787,1,0)</f>
        <v>#N/A</v>
      </c>
      <c r="K787" s="34" t="e">
        <f ca="1">IF(OFFSET($C$3,MATCH(I785,$B$3:$B$102,0)-1,K$2-1)=$I787,1,0)</f>
        <v>#N/A</v>
      </c>
      <c r="L787" s="34" t="e">
        <f ca="1">IF(OFFSET($C$3,MATCH(I785,$B$3:$B$102,0)-1,L$2-1)=$I787,1,0)</f>
        <v>#N/A</v>
      </c>
      <c r="M787" s="34" t="e">
        <f ca="1">IF(OFFSET($C$3,MATCH(I785,$B$3:$B$102,0)-1,M$2-1)=$I787,1,0)</f>
        <v>#N/A</v>
      </c>
      <c r="N787" s="35" t="e">
        <f ca="1">IF(OFFSET($C$3,MATCH(I785,$B$3:$B$102,0)-1,N$2-1)=$I787,1,0)</f>
        <v>#N/A</v>
      </c>
    </row>
    <row r="788" spans="9:15" x14ac:dyDescent="0.25">
      <c r="I788" s="39">
        <v>2</v>
      </c>
      <c r="J788" s="43" t="e">
        <f ca="1">IF(OFFSET($C$3,MATCH(I785,$B$3:$B$102,0)-1,J$2-1)=$I788,1,0)</f>
        <v>#N/A</v>
      </c>
      <c r="K788" s="44" t="e">
        <f ca="1">IF(OFFSET($C$3,MATCH(I785,$B$3:$B$102,0)-1,K$2-1)=$I788,1,0)</f>
        <v>#N/A</v>
      </c>
      <c r="L788" s="44" t="e">
        <f ca="1">IF(OFFSET($C$3,MATCH(I785,$B$3:$B$102,0)-1,L$2-1)=$I788,1,0)</f>
        <v>#N/A</v>
      </c>
      <c r="M788" s="44" t="e">
        <f ca="1">IF(OFFSET($C$3,MATCH(I785,$B$3:$B$102,0)-1,M$2-1)=$I788,1,0)</f>
        <v>#N/A</v>
      </c>
      <c r="N788" s="45" t="e">
        <f ca="1">IF(OFFSET($C$3,MATCH(I785,$B$3:$B$102,0)-1,N$2-1)=$I788,1,0)</f>
        <v>#N/A</v>
      </c>
    </row>
    <row r="789" spans="9:15" ht="15.75" thickBot="1" x14ac:dyDescent="0.3">
      <c r="I789" s="39">
        <v>3</v>
      </c>
      <c r="J789" s="36" t="e">
        <f ca="1">IF(OFFSET($C$3,MATCH(I785,$B$3:$B$102,0)-1,J$2-1)=$I789,1,0)</f>
        <v>#N/A</v>
      </c>
      <c r="K789" s="37" t="e">
        <f ca="1">IF(OFFSET($C$3,MATCH(I785,$B$3:$B$102,0)-1,K$2-1)=$I789,1,0)</f>
        <v>#N/A</v>
      </c>
      <c r="L789" s="37" t="e">
        <f ca="1">IF(OFFSET($C$3,MATCH(I785,$B$3:$B$102,0)-1,L$2-1)=$I789,1,0)</f>
        <v>#N/A</v>
      </c>
      <c r="M789" s="37" t="e">
        <f ca="1">IF(OFFSET($C$3,MATCH(I785,$B$3:$B$102,0)-1,M$2-1)=$I789,1,0)</f>
        <v>#N/A</v>
      </c>
      <c r="N789" s="38" t="e">
        <f ca="1">IF(OFFSET($C$3,MATCH(I785,$B$3:$B$102,0)-1,N$2-1)=$I789,1,0)</f>
        <v>#N/A</v>
      </c>
    </row>
    <row r="790" spans="9:15" x14ac:dyDescent="0.25">
      <c r="I790" s="39"/>
    </row>
    <row r="791" spans="9:15" ht="15.75" thickBot="1" x14ac:dyDescent="0.3">
      <c r="I791" t="str">
        <f>MID(I785,1,5)&amp;MID(I785,6,2)+1</f>
        <v>Line_99</v>
      </c>
      <c r="O791" s="40">
        <f>VALUE(MID($I791,6,3))</f>
        <v>99</v>
      </c>
    </row>
    <row r="792" spans="9:15" x14ac:dyDescent="0.25">
      <c r="I792" s="39">
        <v>0</v>
      </c>
      <c r="J792" s="30" t="e">
        <f ca="1">IF(OFFSET($C$3,MATCH(I791,$B$3:$B$102,0)-1,J$2-1)=$I792,1,0)</f>
        <v>#N/A</v>
      </c>
      <c r="K792" s="31" t="e">
        <f ca="1">IF(OFFSET($C$3,MATCH(I791,$B$3:$B$102,0)-1,K$2-1)=$I792,1,0)</f>
        <v>#N/A</v>
      </c>
      <c r="L792" s="31" t="e">
        <f ca="1">IF(OFFSET($C$3,MATCH(I791,$B$3:$B$102,0)-1,L$2-1)=$I792,1,0)</f>
        <v>#N/A</v>
      </c>
      <c r="M792" s="31" t="e">
        <f ca="1">IF(OFFSET($C$3,MATCH(I791,$B$3:$B$102,0)-1,M$2-1)=$I792,1,0)</f>
        <v>#N/A</v>
      </c>
      <c r="N792" s="32" t="e">
        <f ca="1">IF(OFFSET($C$3,MATCH(I791,$B$3:$B$102,0)-1,N$2-1)=$I792,1,0)</f>
        <v>#N/A</v>
      </c>
    </row>
    <row r="793" spans="9:15" x14ac:dyDescent="0.25">
      <c r="I793" s="39">
        <v>1</v>
      </c>
      <c r="J793" s="33" t="e">
        <f ca="1">IF(OFFSET($C$3,MATCH(I791,$B$3:$B$102,0)-1,J$2-1)=$I793,1,0)</f>
        <v>#N/A</v>
      </c>
      <c r="K793" s="34" t="e">
        <f ca="1">IF(OFFSET($C$3,MATCH(I791,$B$3:$B$102,0)-1,K$2-1)=$I793,1,0)</f>
        <v>#N/A</v>
      </c>
      <c r="L793" s="34" t="e">
        <f ca="1">IF(OFFSET($C$3,MATCH(I791,$B$3:$B$102,0)-1,L$2-1)=$I793,1,0)</f>
        <v>#N/A</v>
      </c>
      <c r="M793" s="34" t="e">
        <f ca="1">IF(OFFSET($C$3,MATCH(I791,$B$3:$B$102,0)-1,M$2-1)=$I793,1,0)</f>
        <v>#N/A</v>
      </c>
      <c r="N793" s="35" t="e">
        <f ca="1">IF(OFFSET($C$3,MATCH(I791,$B$3:$B$102,0)-1,N$2-1)=$I793,1,0)</f>
        <v>#N/A</v>
      </c>
    </row>
    <row r="794" spans="9:15" x14ac:dyDescent="0.25">
      <c r="I794" s="39">
        <v>2</v>
      </c>
      <c r="J794" s="43" t="e">
        <f ca="1">IF(OFFSET($C$3,MATCH(I791,$B$3:$B$102,0)-1,J$2-1)=$I794,1,0)</f>
        <v>#N/A</v>
      </c>
      <c r="K794" s="44" t="e">
        <f ca="1">IF(OFFSET($C$3,MATCH(I791,$B$3:$B$102,0)-1,K$2-1)=$I794,1,0)</f>
        <v>#N/A</v>
      </c>
      <c r="L794" s="44" t="e">
        <f ca="1">IF(OFFSET($C$3,MATCH(I791,$B$3:$B$102,0)-1,L$2-1)=$I794,1,0)</f>
        <v>#N/A</v>
      </c>
      <c r="M794" s="44" t="e">
        <f ca="1">IF(OFFSET($C$3,MATCH(I791,$B$3:$B$102,0)-1,M$2-1)=$I794,1,0)</f>
        <v>#N/A</v>
      </c>
      <c r="N794" s="45" t="e">
        <f ca="1">IF(OFFSET($C$3,MATCH(I791,$B$3:$B$102,0)-1,N$2-1)=$I794,1,0)</f>
        <v>#N/A</v>
      </c>
    </row>
    <row r="795" spans="9:15" ht="15.75" thickBot="1" x14ac:dyDescent="0.3">
      <c r="I795" s="39">
        <v>3</v>
      </c>
      <c r="J795" s="36" t="e">
        <f ca="1">IF(OFFSET($C$3,MATCH(I791,$B$3:$B$102,0)-1,J$2-1)=$I795,1,0)</f>
        <v>#N/A</v>
      </c>
      <c r="K795" s="37" t="e">
        <f ca="1">IF(OFFSET($C$3,MATCH(I791,$B$3:$B$102,0)-1,K$2-1)=$I795,1,0)</f>
        <v>#N/A</v>
      </c>
      <c r="L795" s="37" t="e">
        <f ca="1">IF(OFFSET($C$3,MATCH(I791,$B$3:$B$102,0)-1,L$2-1)=$I795,1,0)</f>
        <v>#N/A</v>
      </c>
      <c r="M795" s="37" t="e">
        <f ca="1">IF(OFFSET($C$3,MATCH(I791,$B$3:$B$102,0)-1,M$2-1)=$I795,1,0)</f>
        <v>#N/A</v>
      </c>
      <c r="N795" s="38" t="e">
        <f ca="1">IF(OFFSET($C$3,MATCH(I791,$B$3:$B$102,0)-1,N$2-1)=$I795,1,0)</f>
        <v>#N/A</v>
      </c>
    </row>
    <row r="797" spans="9:15" ht="15.75" thickBot="1" x14ac:dyDescent="0.3">
      <c r="I797" t="str">
        <f>MID(I791,1,5)&amp;MID(I791,6,2)+1</f>
        <v>Line_100</v>
      </c>
      <c r="O797" s="40">
        <f>VALUE(MID($I797,6,3))</f>
        <v>100</v>
      </c>
    </row>
    <row r="798" spans="9:15" x14ac:dyDescent="0.25">
      <c r="I798" s="39">
        <v>0</v>
      </c>
      <c r="J798" s="30" t="e">
        <f ca="1">IF(OFFSET($C$3,MATCH(I797,$B$3:$B$102,0)-1,J$2-1)=$I798,1,0)</f>
        <v>#N/A</v>
      </c>
      <c r="K798" s="31" t="e">
        <f ca="1">IF(OFFSET($C$3,MATCH(I797,$B$3:$B$102,0)-1,K$2-1)=$I798,1,0)</f>
        <v>#N/A</v>
      </c>
      <c r="L798" s="31" t="e">
        <f ca="1">IF(OFFSET($C$3,MATCH(I797,$B$3:$B$102,0)-1,L$2-1)=$I798,1,0)</f>
        <v>#N/A</v>
      </c>
      <c r="M798" s="31" t="e">
        <f ca="1">IF(OFFSET($C$3,MATCH(I797,$B$3:$B$102,0)-1,M$2-1)=$I798,1,0)</f>
        <v>#N/A</v>
      </c>
      <c r="N798" s="32" t="e">
        <f ca="1">IF(OFFSET($C$3,MATCH(I797,$B$3:$B$102,0)-1,N$2-1)=$I798,1,0)</f>
        <v>#N/A</v>
      </c>
    </row>
    <row r="799" spans="9:15" x14ac:dyDescent="0.25">
      <c r="I799" s="39">
        <v>1</v>
      </c>
      <c r="J799" s="33" t="e">
        <f ca="1">IF(OFFSET($C$3,MATCH(I797,$B$3:$B$102,0)-1,J$2-1)=$I799,1,0)</f>
        <v>#N/A</v>
      </c>
      <c r="K799" s="34" t="e">
        <f ca="1">IF(OFFSET($C$3,MATCH(I797,$B$3:$B$102,0)-1,K$2-1)=$I799,1,0)</f>
        <v>#N/A</v>
      </c>
      <c r="L799" s="34" t="e">
        <f ca="1">IF(OFFSET($C$3,MATCH(I797,$B$3:$B$102,0)-1,L$2-1)=$I799,1,0)</f>
        <v>#N/A</v>
      </c>
      <c r="M799" s="34" t="e">
        <f ca="1">IF(OFFSET($C$3,MATCH(I797,$B$3:$B$102,0)-1,M$2-1)=$I799,1,0)</f>
        <v>#N/A</v>
      </c>
      <c r="N799" s="35" t="e">
        <f ca="1">IF(OFFSET($C$3,MATCH(I797,$B$3:$B$102,0)-1,N$2-1)=$I799,1,0)</f>
        <v>#N/A</v>
      </c>
    </row>
    <row r="800" spans="9:15" x14ac:dyDescent="0.25">
      <c r="I800" s="39">
        <v>2</v>
      </c>
      <c r="J800" s="43" t="e">
        <f ca="1">IF(OFFSET($C$3,MATCH(I797,$B$3:$B$102,0)-1,J$2-1)=$I800,1,0)</f>
        <v>#N/A</v>
      </c>
      <c r="K800" s="44" t="e">
        <f ca="1">IF(OFFSET($C$3,MATCH(I797,$B$3:$B$102,0)-1,K$2-1)=$I800,1,0)</f>
        <v>#N/A</v>
      </c>
      <c r="L800" s="44" t="e">
        <f ca="1">IF(OFFSET($C$3,MATCH(I797,$B$3:$B$102,0)-1,L$2-1)=$I800,1,0)</f>
        <v>#N/A</v>
      </c>
      <c r="M800" s="44" t="e">
        <f ca="1">IF(OFFSET($C$3,MATCH(I797,$B$3:$B$102,0)-1,M$2-1)=$I800,1,0)</f>
        <v>#N/A</v>
      </c>
      <c r="N800" s="45" t="e">
        <f ca="1">IF(OFFSET($C$3,MATCH(I797,$B$3:$B$102,0)-1,N$2-1)=$I800,1,0)</f>
        <v>#N/A</v>
      </c>
    </row>
    <row r="801" spans="9:14" ht="15.75" thickBot="1" x14ac:dyDescent="0.3">
      <c r="I801" s="39">
        <v>3</v>
      </c>
      <c r="J801" s="36" t="e">
        <f ca="1">IF(OFFSET($C$3,MATCH(I797,$B$3:$B$102,0)-1,J$2-1)=$I801,1,0)</f>
        <v>#N/A</v>
      </c>
      <c r="K801" s="37" t="e">
        <f ca="1">IF(OFFSET($C$3,MATCH(I797,$B$3:$B$102,0)-1,K$2-1)=$I801,1,0)</f>
        <v>#N/A</v>
      </c>
      <c r="L801" s="37" t="e">
        <f ca="1">IF(OFFSET($C$3,MATCH(I797,$B$3:$B$102,0)-1,L$2-1)=$I801,1,0)</f>
        <v>#N/A</v>
      </c>
      <c r="M801" s="37" t="e">
        <f ca="1">IF(OFFSET($C$3,MATCH(I797,$B$3:$B$102,0)-1,M$2-1)=$I801,1,0)</f>
        <v>#N/A</v>
      </c>
      <c r="N801" s="38" t="e">
        <f ca="1">IF(OFFSET($C$3,MATCH(I797,$B$3:$B$102,0)-1,N$2-1)=$I801,1,0)</f>
        <v>#N/A</v>
      </c>
    </row>
  </sheetData>
  <conditionalFormatting sqref="J3:N5 S35:S37 S141:S143 S247:S249 S352:S354 S459:S461">
    <cfRule type="cellIs" dxfId="441" priority="525" operator="equal">
      <formula>0</formula>
    </cfRule>
    <cfRule type="cellIs" dxfId="440" priority="526" operator="equal">
      <formula>1</formula>
    </cfRule>
  </conditionalFormatting>
  <conditionalFormatting sqref="J8:N10">
    <cfRule type="cellIs" dxfId="439" priority="523" operator="equal">
      <formula>0</formula>
    </cfRule>
    <cfRule type="cellIs" dxfId="438" priority="524" operator="equal">
      <formula>1</formula>
    </cfRule>
  </conditionalFormatting>
  <conditionalFormatting sqref="J13:N15">
    <cfRule type="cellIs" dxfId="437" priority="521" operator="equal">
      <formula>0</formula>
    </cfRule>
    <cfRule type="cellIs" dxfId="436" priority="522" operator="equal">
      <formula>1</formula>
    </cfRule>
  </conditionalFormatting>
  <conditionalFormatting sqref="J18:N20">
    <cfRule type="cellIs" dxfId="435" priority="519" operator="equal">
      <formula>0</formula>
    </cfRule>
    <cfRule type="cellIs" dxfId="434" priority="520" operator="equal">
      <formula>1</formula>
    </cfRule>
  </conditionalFormatting>
  <conditionalFormatting sqref="J23:N25">
    <cfRule type="cellIs" dxfId="433" priority="517" operator="equal">
      <formula>0</formula>
    </cfRule>
    <cfRule type="cellIs" dxfId="432" priority="518" operator="equal">
      <formula>1</formula>
    </cfRule>
  </conditionalFormatting>
  <conditionalFormatting sqref="J28:N30">
    <cfRule type="cellIs" dxfId="431" priority="515" operator="equal">
      <formula>0</formula>
    </cfRule>
    <cfRule type="cellIs" dxfId="430" priority="516" operator="equal">
      <formula>1</formula>
    </cfRule>
  </conditionalFormatting>
  <conditionalFormatting sqref="J33:N35">
    <cfRule type="cellIs" dxfId="429" priority="513" operator="equal">
      <formula>0</formula>
    </cfRule>
    <cfRule type="cellIs" dxfId="428" priority="514" operator="equal">
      <formula>1</formula>
    </cfRule>
  </conditionalFormatting>
  <conditionalFormatting sqref="J38:N40">
    <cfRule type="cellIs" dxfId="427" priority="511" operator="equal">
      <formula>0</formula>
    </cfRule>
    <cfRule type="cellIs" dxfId="426" priority="512" operator="equal">
      <formula>1</formula>
    </cfRule>
  </conditionalFormatting>
  <conditionalFormatting sqref="J43:N45">
    <cfRule type="cellIs" dxfId="425" priority="509" operator="equal">
      <formula>0</formula>
    </cfRule>
    <cfRule type="cellIs" dxfId="424" priority="510" operator="equal">
      <formula>1</formula>
    </cfRule>
  </conditionalFormatting>
  <conditionalFormatting sqref="J48:N50">
    <cfRule type="cellIs" dxfId="423" priority="507" operator="equal">
      <formula>0</formula>
    </cfRule>
    <cfRule type="cellIs" dxfId="422" priority="508" operator="equal">
      <formula>1</formula>
    </cfRule>
  </conditionalFormatting>
  <conditionalFormatting sqref="J53:N55">
    <cfRule type="cellIs" dxfId="421" priority="505" operator="equal">
      <formula>0</formula>
    </cfRule>
    <cfRule type="cellIs" dxfId="420" priority="506" operator="equal">
      <formula>1</formula>
    </cfRule>
  </conditionalFormatting>
  <conditionalFormatting sqref="J58:N60">
    <cfRule type="cellIs" dxfId="419" priority="503" operator="equal">
      <formula>0</formula>
    </cfRule>
    <cfRule type="cellIs" dxfId="418" priority="504" operator="equal">
      <formula>1</formula>
    </cfRule>
  </conditionalFormatting>
  <conditionalFormatting sqref="J63:N65">
    <cfRule type="cellIs" dxfId="417" priority="501" operator="equal">
      <formula>0</formula>
    </cfRule>
    <cfRule type="cellIs" dxfId="416" priority="502" operator="equal">
      <formula>1</formula>
    </cfRule>
  </conditionalFormatting>
  <conditionalFormatting sqref="J68:N70">
    <cfRule type="cellIs" dxfId="415" priority="499" operator="equal">
      <formula>0</formula>
    </cfRule>
    <cfRule type="cellIs" dxfId="414" priority="500" operator="equal">
      <formula>1</formula>
    </cfRule>
  </conditionalFormatting>
  <conditionalFormatting sqref="J73:N75">
    <cfRule type="cellIs" dxfId="413" priority="497" operator="equal">
      <formula>0</formula>
    </cfRule>
    <cfRule type="cellIs" dxfId="412" priority="498" operator="equal">
      <formula>1</formula>
    </cfRule>
  </conditionalFormatting>
  <conditionalFormatting sqref="J78:N80">
    <cfRule type="cellIs" dxfId="411" priority="495" operator="equal">
      <formula>0</formula>
    </cfRule>
    <cfRule type="cellIs" dxfId="410" priority="496" operator="equal">
      <formula>1</formula>
    </cfRule>
  </conditionalFormatting>
  <conditionalFormatting sqref="J83:N85">
    <cfRule type="cellIs" dxfId="409" priority="493" operator="equal">
      <formula>0</formula>
    </cfRule>
    <cfRule type="cellIs" dxfId="408" priority="494" operator="equal">
      <formula>1</formula>
    </cfRule>
  </conditionalFormatting>
  <conditionalFormatting sqref="J88:N90">
    <cfRule type="cellIs" dxfId="407" priority="491" operator="equal">
      <formula>0</formula>
    </cfRule>
    <cfRule type="cellIs" dxfId="406" priority="492" operator="equal">
      <formula>1</formula>
    </cfRule>
  </conditionalFormatting>
  <conditionalFormatting sqref="J93:N95">
    <cfRule type="cellIs" dxfId="405" priority="489" operator="equal">
      <formula>0</formula>
    </cfRule>
    <cfRule type="cellIs" dxfId="404" priority="490" operator="equal">
      <formula>1</formula>
    </cfRule>
  </conditionalFormatting>
  <conditionalFormatting sqref="J98:N100">
    <cfRule type="cellIs" dxfId="403" priority="487" operator="equal">
      <formula>0</formula>
    </cfRule>
    <cfRule type="cellIs" dxfId="402" priority="488" operator="equal">
      <formula>1</formula>
    </cfRule>
  </conditionalFormatting>
  <conditionalFormatting sqref="J103:N105">
    <cfRule type="cellIs" dxfId="401" priority="485" operator="equal">
      <formula>0</formula>
    </cfRule>
    <cfRule type="cellIs" dxfId="400" priority="486" operator="equal">
      <formula>1</formula>
    </cfRule>
  </conditionalFormatting>
  <conditionalFormatting sqref="J108:N110">
    <cfRule type="cellIs" dxfId="399" priority="483" operator="equal">
      <formula>0</formula>
    </cfRule>
    <cfRule type="cellIs" dxfId="398" priority="484" operator="equal">
      <formula>1</formula>
    </cfRule>
  </conditionalFormatting>
  <conditionalFormatting sqref="J113:N115">
    <cfRule type="cellIs" dxfId="397" priority="481" operator="equal">
      <formula>0</formula>
    </cfRule>
    <cfRule type="cellIs" dxfId="396" priority="482" operator="equal">
      <formula>1</formula>
    </cfRule>
  </conditionalFormatting>
  <conditionalFormatting sqref="J118:N120">
    <cfRule type="cellIs" dxfId="395" priority="479" operator="equal">
      <formula>0</formula>
    </cfRule>
    <cfRule type="cellIs" dxfId="394" priority="480" operator="equal">
      <formula>1</formula>
    </cfRule>
  </conditionalFormatting>
  <conditionalFormatting sqref="J123:N125">
    <cfRule type="cellIs" dxfId="393" priority="477" operator="equal">
      <formula>0</formula>
    </cfRule>
    <cfRule type="cellIs" dxfId="392" priority="478" operator="equal">
      <formula>1</formula>
    </cfRule>
  </conditionalFormatting>
  <conditionalFormatting sqref="J128:N130">
    <cfRule type="cellIs" dxfId="391" priority="475" operator="equal">
      <formula>0</formula>
    </cfRule>
    <cfRule type="cellIs" dxfId="390" priority="476" operator="equal">
      <formula>1</formula>
    </cfRule>
  </conditionalFormatting>
  <conditionalFormatting sqref="J133:N135">
    <cfRule type="cellIs" dxfId="389" priority="473" operator="equal">
      <formula>0</formula>
    </cfRule>
    <cfRule type="cellIs" dxfId="388" priority="474" operator="equal">
      <formula>1</formula>
    </cfRule>
  </conditionalFormatting>
  <conditionalFormatting sqref="J138:N140">
    <cfRule type="cellIs" dxfId="387" priority="471" operator="equal">
      <formula>0</formula>
    </cfRule>
    <cfRule type="cellIs" dxfId="386" priority="472" operator="equal">
      <formula>1</formula>
    </cfRule>
  </conditionalFormatting>
  <conditionalFormatting sqref="J143:N145">
    <cfRule type="cellIs" dxfId="385" priority="469" operator="equal">
      <formula>0</formula>
    </cfRule>
    <cfRule type="cellIs" dxfId="384" priority="470" operator="equal">
      <formula>1</formula>
    </cfRule>
  </conditionalFormatting>
  <conditionalFormatting sqref="J148:N150">
    <cfRule type="cellIs" dxfId="383" priority="467" operator="equal">
      <formula>0</formula>
    </cfRule>
    <cfRule type="cellIs" dxfId="382" priority="468" operator="equal">
      <formula>1</formula>
    </cfRule>
  </conditionalFormatting>
  <conditionalFormatting sqref="J153:N155">
    <cfRule type="cellIs" dxfId="381" priority="465" operator="equal">
      <formula>0</formula>
    </cfRule>
    <cfRule type="cellIs" dxfId="380" priority="466" operator="equal">
      <formula>1</formula>
    </cfRule>
  </conditionalFormatting>
  <conditionalFormatting sqref="J158:N160">
    <cfRule type="cellIs" dxfId="379" priority="463" operator="equal">
      <formula>0</formula>
    </cfRule>
    <cfRule type="cellIs" dxfId="378" priority="464" operator="equal">
      <formula>1</formula>
    </cfRule>
  </conditionalFormatting>
  <conditionalFormatting sqref="J163:N165">
    <cfRule type="cellIs" dxfId="377" priority="461" operator="equal">
      <formula>0</formula>
    </cfRule>
    <cfRule type="cellIs" dxfId="376" priority="462" operator="equal">
      <formula>1</formula>
    </cfRule>
  </conditionalFormatting>
  <conditionalFormatting sqref="J168:N170">
    <cfRule type="cellIs" dxfId="375" priority="459" operator="equal">
      <formula>0</formula>
    </cfRule>
    <cfRule type="cellIs" dxfId="374" priority="460" operator="equal">
      <formula>1</formula>
    </cfRule>
  </conditionalFormatting>
  <conditionalFormatting sqref="J173:N175">
    <cfRule type="cellIs" dxfId="373" priority="457" operator="equal">
      <formula>0</formula>
    </cfRule>
    <cfRule type="cellIs" dxfId="372" priority="458" operator="equal">
      <formula>1</formula>
    </cfRule>
  </conditionalFormatting>
  <conditionalFormatting sqref="J178:N180">
    <cfRule type="cellIs" dxfId="371" priority="455" operator="equal">
      <formula>0</formula>
    </cfRule>
    <cfRule type="cellIs" dxfId="370" priority="456" operator="equal">
      <formula>1</formula>
    </cfRule>
  </conditionalFormatting>
  <conditionalFormatting sqref="J183:N185">
    <cfRule type="cellIs" dxfId="369" priority="453" operator="equal">
      <formula>0</formula>
    </cfRule>
    <cfRule type="cellIs" dxfId="368" priority="454" operator="equal">
      <formula>1</formula>
    </cfRule>
  </conditionalFormatting>
  <conditionalFormatting sqref="J188:N190">
    <cfRule type="cellIs" dxfId="367" priority="451" operator="equal">
      <formula>0</formula>
    </cfRule>
    <cfRule type="cellIs" dxfId="366" priority="452" operator="equal">
      <formula>1</formula>
    </cfRule>
  </conditionalFormatting>
  <conditionalFormatting sqref="J193:N195">
    <cfRule type="cellIs" dxfId="365" priority="449" operator="equal">
      <formula>0</formula>
    </cfRule>
    <cfRule type="cellIs" dxfId="364" priority="450" operator="equal">
      <formula>1</formula>
    </cfRule>
  </conditionalFormatting>
  <conditionalFormatting sqref="J198:N200">
    <cfRule type="cellIs" dxfId="363" priority="447" operator="equal">
      <formula>0</formula>
    </cfRule>
    <cfRule type="cellIs" dxfId="362" priority="448" operator="equal">
      <formula>1</formula>
    </cfRule>
  </conditionalFormatting>
  <conditionalFormatting sqref="AE35:AI37">
    <cfRule type="cellIs" dxfId="361" priority="387" operator="equal">
      <formula>0</formula>
    </cfRule>
    <cfRule type="cellIs" dxfId="360" priority="388" operator="equal">
      <formula>1</formula>
    </cfRule>
  </conditionalFormatting>
  <conditionalFormatting sqref="AU35:AY37">
    <cfRule type="cellIs" dxfId="359" priority="385" operator="equal">
      <formula>0</formula>
    </cfRule>
    <cfRule type="cellIs" dxfId="358" priority="386" operator="equal">
      <formula>1</formula>
    </cfRule>
  </conditionalFormatting>
  <conditionalFormatting sqref="BK35:BO37">
    <cfRule type="cellIs" dxfId="357" priority="383" operator="equal">
      <formula>0</formula>
    </cfRule>
    <cfRule type="cellIs" dxfId="356" priority="384" operator="equal">
      <formula>1</formula>
    </cfRule>
  </conditionalFormatting>
  <conditionalFormatting sqref="BO141:BO143">
    <cfRule type="cellIs" dxfId="355" priority="373" operator="equal">
      <formula>0</formula>
    </cfRule>
    <cfRule type="cellIs" dxfId="354" priority="374" operator="equal">
      <formula>1</formula>
    </cfRule>
  </conditionalFormatting>
  <conditionalFormatting sqref="BO247:BO249">
    <cfRule type="cellIs" dxfId="353" priority="363" operator="equal">
      <formula>0</formula>
    </cfRule>
    <cfRule type="cellIs" dxfId="352" priority="364" operator="equal">
      <formula>1</formula>
    </cfRule>
  </conditionalFormatting>
  <conditionalFormatting sqref="BO353:BO355">
    <cfRule type="cellIs" dxfId="351" priority="353" operator="equal">
      <formula>0</formula>
    </cfRule>
    <cfRule type="cellIs" dxfId="350" priority="354" operator="equal">
      <formula>1</formula>
    </cfRule>
  </conditionalFormatting>
  <conditionalFormatting sqref="BO459:BO461">
    <cfRule type="cellIs" dxfId="349" priority="343" operator="equal">
      <formula>0</formula>
    </cfRule>
    <cfRule type="cellIs" dxfId="348" priority="344" operator="equal">
      <formula>1</formula>
    </cfRule>
  </conditionalFormatting>
  <conditionalFormatting sqref="AE141:AI143">
    <cfRule type="cellIs" dxfId="347" priority="337" operator="equal">
      <formula>0</formula>
    </cfRule>
    <cfRule type="cellIs" dxfId="346" priority="338" operator="equal">
      <formula>1</formula>
    </cfRule>
  </conditionalFormatting>
  <conditionalFormatting sqref="AU141:AY143">
    <cfRule type="cellIs" dxfId="345" priority="335" operator="equal">
      <formula>0</formula>
    </cfRule>
    <cfRule type="cellIs" dxfId="344" priority="336" operator="equal">
      <formula>1</formula>
    </cfRule>
  </conditionalFormatting>
  <conditionalFormatting sqref="BK141:BN143">
    <cfRule type="cellIs" dxfId="343" priority="333" operator="equal">
      <formula>0</formula>
    </cfRule>
    <cfRule type="cellIs" dxfId="342" priority="334" operator="equal">
      <formula>1</formula>
    </cfRule>
  </conditionalFormatting>
  <conditionalFormatting sqref="AE247:AI249">
    <cfRule type="cellIs" dxfId="341" priority="327" operator="equal">
      <formula>0</formula>
    </cfRule>
    <cfRule type="cellIs" dxfId="340" priority="328" operator="equal">
      <formula>1</formula>
    </cfRule>
  </conditionalFormatting>
  <conditionalFormatting sqref="AU247:AY249">
    <cfRule type="cellIs" dxfId="339" priority="325" operator="equal">
      <formula>0</formula>
    </cfRule>
    <cfRule type="cellIs" dxfId="338" priority="326" operator="equal">
      <formula>1</formula>
    </cfRule>
  </conditionalFormatting>
  <conditionalFormatting sqref="BK247:BN249">
    <cfRule type="cellIs" dxfId="337" priority="323" operator="equal">
      <formula>0</formula>
    </cfRule>
    <cfRule type="cellIs" dxfId="336" priority="324" operator="equal">
      <formula>1</formula>
    </cfRule>
  </conditionalFormatting>
  <conditionalFormatting sqref="AE352:AI354">
    <cfRule type="cellIs" dxfId="335" priority="317" operator="equal">
      <formula>0</formula>
    </cfRule>
    <cfRule type="cellIs" dxfId="334" priority="318" operator="equal">
      <formula>1</formula>
    </cfRule>
  </conditionalFormatting>
  <conditionalFormatting sqref="AU352:AY354">
    <cfRule type="cellIs" dxfId="333" priority="315" operator="equal">
      <formula>0</formula>
    </cfRule>
    <cfRule type="cellIs" dxfId="332" priority="316" operator="equal">
      <formula>1</formula>
    </cfRule>
  </conditionalFormatting>
  <conditionalFormatting sqref="BK352:BN354">
    <cfRule type="cellIs" dxfId="331" priority="313" operator="equal">
      <formula>0</formula>
    </cfRule>
    <cfRule type="cellIs" dxfId="330" priority="314" operator="equal">
      <formula>1</formula>
    </cfRule>
  </conditionalFormatting>
  <conditionalFormatting sqref="AE459:AI461">
    <cfRule type="cellIs" dxfId="329" priority="307" operator="equal">
      <formula>0</formula>
    </cfRule>
    <cfRule type="cellIs" dxfId="328" priority="308" operator="equal">
      <formula>1</formula>
    </cfRule>
  </conditionalFormatting>
  <conditionalFormatting sqref="AU459:AY461">
    <cfRule type="cellIs" dxfId="327" priority="305" operator="equal">
      <formula>0</formula>
    </cfRule>
    <cfRule type="cellIs" dxfId="326" priority="306" operator="equal">
      <formula>1</formula>
    </cfRule>
  </conditionalFormatting>
  <conditionalFormatting sqref="BK459:BN461">
    <cfRule type="cellIs" dxfId="325" priority="303" operator="equal">
      <formula>0</formula>
    </cfRule>
    <cfRule type="cellIs" dxfId="324" priority="304" operator="equal">
      <formula>1</formula>
    </cfRule>
  </conditionalFormatting>
  <conditionalFormatting sqref="J204:N207">
    <cfRule type="cellIs" dxfId="323" priority="301" operator="equal">
      <formula>0</formula>
    </cfRule>
    <cfRule type="cellIs" dxfId="322" priority="302" operator="equal">
      <formula>1</formula>
    </cfRule>
  </conditionalFormatting>
  <conditionalFormatting sqref="J220:N220">
    <cfRule type="cellIs" dxfId="321" priority="299" operator="equal">
      <formula>0</formula>
    </cfRule>
    <cfRule type="cellIs" dxfId="320" priority="300" operator="equal">
      <formula>1</formula>
    </cfRule>
  </conditionalFormatting>
  <conditionalFormatting sqref="J226:N226">
    <cfRule type="cellIs" dxfId="319" priority="297" operator="equal">
      <formula>0</formula>
    </cfRule>
    <cfRule type="cellIs" dxfId="318" priority="298" operator="equal">
      <formula>1</formula>
    </cfRule>
  </conditionalFormatting>
  <conditionalFormatting sqref="J232:N232">
    <cfRule type="cellIs" dxfId="317" priority="295" operator="equal">
      <formula>0</formula>
    </cfRule>
    <cfRule type="cellIs" dxfId="316" priority="296" operator="equal">
      <formula>1</formula>
    </cfRule>
  </conditionalFormatting>
  <conditionalFormatting sqref="J250:N250">
    <cfRule type="cellIs" dxfId="315" priority="293" operator="equal">
      <formula>0</formula>
    </cfRule>
    <cfRule type="cellIs" dxfId="314" priority="294" operator="equal">
      <formula>1</formula>
    </cfRule>
  </conditionalFormatting>
  <conditionalFormatting sqref="J292:N292">
    <cfRule type="cellIs" dxfId="313" priority="291" operator="equal">
      <formula>0</formula>
    </cfRule>
    <cfRule type="cellIs" dxfId="312" priority="292" operator="equal">
      <formula>1</formula>
    </cfRule>
  </conditionalFormatting>
  <conditionalFormatting sqref="J376:N376">
    <cfRule type="cellIs" dxfId="311" priority="289" operator="equal">
      <formula>0</formula>
    </cfRule>
    <cfRule type="cellIs" dxfId="310" priority="290" operator="equal">
      <formula>1</formula>
    </cfRule>
  </conditionalFormatting>
  <conditionalFormatting sqref="J210:N213">
    <cfRule type="cellIs" dxfId="309" priority="277" operator="equal">
      <formula>0</formula>
    </cfRule>
    <cfRule type="cellIs" dxfId="308" priority="278" operator="equal">
      <formula>1</formula>
    </cfRule>
  </conditionalFormatting>
  <conditionalFormatting sqref="J216:N219">
    <cfRule type="cellIs" dxfId="307" priority="275" operator="equal">
      <formula>0</formula>
    </cfRule>
    <cfRule type="cellIs" dxfId="306" priority="276" operator="equal">
      <formula>1</formula>
    </cfRule>
  </conditionalFormatting>
  <conditionalFormatting sqref="J222:N225">
    <cfRule type="cellIs" dxfId="305" priority="273" operator="equal">
      <formula>0</formula>
    </cfRule>
    <cfRule type="cellIs" dxfId="304" priority="274" operator="equal">
      <formula>1</formula>
    </cfRule>
  </conditionalFormatting>
  <conditionalFormatting sqref="J228:N231">
    <cfRule type="cellIs" dxfId="303" priority="271" operator="equal">
      <formula>0</formula>
    </cfRule>
    <cfRule type="cellIs" dxfId="302" priority="272" operator="equal">
      <formula>1</formula>
    </cfRule>
  </conditionalFormatting>
  <conditionalFormatting sqref="J234:N237">
    <cfRule type="cellIs" dxfId="301" priority="269" operator="equal">
      <formula>0</formula>
    </cfRule>
    <cfRule type="cellIs" dxfId="300" priority="270" operator="equal">
      <formula>1</formula>
    </cfRule>
  </conditionalFormatting>
  <conditionalFormatting sqref="J240:N243">
    <cfRule type="cellIs" dxfId="299" priority="267" operator="equal">
      <formula>0</formula>
    </cfRule>
    <cfRule type="cellIs" dxfId="298" priority="268" operator="equal">
      <formula>1</formula>
    </cfRule>
  </conditionalFormatting>
  <conditionalFormatting sqref="J246:N249">
    <cfRule type="cellIs" dxfId="297" priority="265" operator="equal">
      <formula>0</formula>
    </cfRule>
    <cfRule type="cellIs" dxfId="296" priority="266" operator="equal">
      <formula>1</formula>
    </cfRule>
  </conditionalFormatting>
  <conditionalFormatting sqref="J262:N262">
    <cfRule type="cellIs" dxfId="295" priority="263" operator="equal">
      <formula>0</formula>
    </cfRule>
    <cfRule type="cellIs" dxfId="294" priority="264" operator="equal">
      <formula>1</formula>
    </cfRule>
  </conditionalFormatting>
  <conditionalFormatting sqref="J268:N268">
    <cfRule type="cellIs" dxfId="293" priority="261" operator="equal">
      <formula>0</formula>
    </cfRule>
    <cfRule type="cellIs" dxfId="292" priority="262" operator="equal">
      <formula>1</formula>
    </cfRule>
  </conditionalFormatting>
  <conditionalFormatting sqref="J274:N274">
    <cfRule type="cellIs" dxfId="291" priority="259" operator="equal">
      <formula>0</formula>
    </cfRule>
    <cfRule type="cellIs" dxfId="290" priority="260" operator="equal">
      <formula>1</formula>
    </cfRule>
  </conditionalFormatting>
  <conditionalFormatting sqref="J252:N255">
    <cfRule type="cellIs" dxfId="289" priority="257" operator="equal">
      <formula>0</formula>
    </cfRule>
    <cfRule type="cellIs" dxfId="288" priority="258" operator="equal">
      <formula>1</formula>
    </cfRule>
  </conditionalFormatting>
  <conditionalFormatting sqref="J258:N261">
    <cfRule type="cellIs" dxfId="287" priority="255" operator="equal">
      <formula>0</formula>
    </cfRule>
    <cfRule type="cellIs" dxfId="286" priority="256" operator="equal">
      <formula>1</formula>
    </cfRule>
  </conditionalFormatting>
  <conditionalFormatting sqref="J264:N267">
    <cfRule type="cellIs" dxfId="285" priority="253" operator="equal">
      <formula>0</formula>
    </cfRule>
    <cfRule type="cellIs" dxfId="284" priority="254" operator="equal">
      <formula>1</formula>
    </cfRule>
  </conditionalFormatting>
  <conditionalFormatting sqref="J270:N273">
    <cfRule type="cellIs" dxfId="283" priority="251" operator="equal">
      <formula>0</formula>
    </cfRule>
    <cfRule type="cellIs" dxfId="282" priority="252" operator="equal">
      <formula>1</formula>
    </cfRule>
  </conditionalFormatting>
  <conditionalFormatting sqref="J276:N279">
    <cfRule type="cellIs" dxfId="281" priority="249" operator="equal">
      <formula>0</formula>
    </cfRule>
    <cfRule type="cellIs" dxfId="280" priority="250" operator="equal">
      <formula>1</formula>
    </cfRule>
  </conditionalFormatting>
  <conditionalFormatting sqref="J282:N285">
    <cfRule type="cellIs" dxfId="279" priority="247" operator="equal">
      <formula>0</formula>
    </cfRule>
    <cfRule type="cellIs" dxfId="278" priority="248" operator="equal">
      <formula>1</formula>
    </cfRule>
  </conditionalFormatting>
  <conditionalFormatting sqref="J288:N291">
    <cfRule type="cellIs" dxfId="277" priority="245" operator="equal">
      <formula>0</formula>
    </cfRule>
    <cfRule type="cellIs" dxfId="276" priority="246" operator="equal">
      <formula>1</formula>
    </cfRule>
  </conditionalFormatting>
  <conditionalFormatting sqref="J304:N304">
    <cfRule type="cellIs" dxfId="275" priority="243" operator="equal">
      <formula>0</formula>
    </cfRule>
    <cfRule type="cellIs" dxfId="274" priority="244" operator="equal">
      <formula>1</formula>
    </cfRule>
  </conditionalFormatting>
  <conditionalFormatting sqref="J310:N310">
    <cfRule type="cellIs" dxfId="273" priority="241" operator="equal">
      <formula>0</formula>
    </cfRule>
    <cfRule type="cellIs" dxfId="272" priority="242" operator="equal">
      <formula>1</formula>
    </cfRule>
  </conditionalFormatting>
  <conditionalFormatting sqref="J316:N316">
    <cfRule type="cellIs" dxfId="271" priority="239" operator="equal">
      <formula>0</formula>
    </cfRule>
    <cfRule type="cellIs" dxfId="270" priority="240" operator="equal">
      <formula>1</formula>
    </cfRule>
  </conditionalFormatting>
  <conditionalFormatting sqref="J334:N334">
    <cfRule type="cellIs" dxfId="269" priority="237" operator="equal">
      <formula>0</formula>
    </cfRule>
    <cfRule type="cellIs" dxfId="268" priority="238" operator="equal">
      <formula>1</formula>
    </cfRule>
  </conditionalFormatting>
  <conditionalFormatting sqref="J294:N297">
    <cfRule type="cellIs" dxfId="267" priority="235" operator="equal">
      <formula>0</formula>
    </cfRule>
    <cfRule type="cellIs" dxfId="266" priority="236" operator="equal">
      <formula>1</formula>
    </cfRule>
  </conditionalFormatting>
  <conditionalFormatting sqref="J300:N303">
    <cfRule type="cellIs" dxfId="265" priority="233" operator="equal">
      <formula>0</formula>
    </cfRule>
    <cfRule type="cellIs" dxfId="264" priority="234" operator="equal">
      <formula>1</formula>
    </cfRule>
  </conditionalFormatting>
  <conditionalFormatting sqref="J306:N309">
    <cfRule type="cellIs" dxfId="263" priority="231" operator="equal">
      <formula>0</formula>
    </cfRule>
    <cfRule type="cellIs" dxfId="262" priority="232" operator="equal">
      <formula>1</formula>
    </cfRule>
  </conditionalFormatting>
  <conditionalFormatting sqref="J312:N315">
    <cfRule type="cellIs" dxfId="261" priority="229" operator="equal">
      <formula>0</formula>
    </cfRule>
    <cfRule type="cellIs" dxfId="260" priority="230" operator="equal">
      <formula>1</formula>
    </cfRule>
  </conditionalFormatting>
  <conditionalFormatting sqref="J318:N321">
    <cfRule type="cellIs" dxfId="259" priority="227" operator="equal">
      <formula>0</formula>
    </cfRule>
    <cfRule type="cellIs" dxfId="258" priority="228" operator="equal">
      <formula>1</formula>
    </cfRule>
  </conditionalFormatting>
  <conditionalFormatting sqref="J324:N327">
    <cfRule type="cellIs" dxfId="257" priority="225" operator="equal">
      <formula>0</formula>
    </cfRule>
    <cfRule type="cellIs" dxfId="256" priority="226" operator="equal">
      <formula>1</formula>
    </cfRule>
  </conditionalFormatting>
  <conditionalFormatting sqref="J330:N333">
    <cfRule type="cellIs" dxfId="255" priority="223" operator="equal">
      <formula>0</formula>
    </cfRule>
    <cfRule type="cellIs" dxfId="254" priority="224" operator="equal">
      <formula>1</formula>
    </cfRule>
  </conditionalFormatting>
  <conditionalFormatting sqref="J346:N346">
    <cfRule type="cellIs" dxfId="253" priority="221" operator="equal">
      <formula>0</formula>
    </cfRule>
    <cfRule type="cellIs" dxfId="252" priority="222" operator="equal">
      <formula>1</formula>
    </cfRule>
  </conditionalFormatting>
  <conditionalFormatting sqref="J352:N352">
    <cfRule type="cellIs" dxfId="251" priority="219" operator="equal">
      <formula>0</formula>
    </cfRule>
    <cfRule type="cellIs" dxfId="250" priority="220" operator="equal">
      <formula>1</formula>
    </cfRule>
  </conditionalFormatting>
  <conditionalFormatting sqref="J358:N358">
    <cfRule type="cellIs" dxfId="249" priority="217" operator="equal">
      <formula>0</formula>
    </cfRule>
    <cfRule type="cellIs" dxfId="248" priority="218" operator="equal">
      <formula>1</formula>
    </cfRule>
  </conditionalFormatting>
  <conditionalFormatting sqref="J336:N339">
    <cfRule type="cellIs" dxfId="247" priority="215" operator="equal">
      <formula>0</formula>
    </cfRule>
    <cfRule type="cellIs" dxfId="246" priority="216" operator="equal">
      <formula>1</formula>
    </cfRule>
  </conditionalFormatting>
  <conditionalFormatting sqref="J342:N345">
    <cfRule type="cellIs" dxfId="245" priority="213" operator="equal">
      <formula>0</formula>
    </cfRule>
    <cfRule type="cellIs" dxfId="244" priority="214" operator="equal">
      <formula>1</formula>
    </cfRule>
  </conditionalFormatting>
  <conditionalFormatting sqref="J348:N351">
    <cfRule type="cellIs" dxfId="243" priority="211" operator="equal">
      <formula>0</formula>
    </cfRule>
    <cfRule type="cellIs" dxfId="242" priority="212" operator="equal">
      <formula>1</formula>
    </cfRule>
  </conditionalFormatting>
  <conditionalFormatting sqref="J354:N357">
    <cfRule type="cellIs" dxfId="241" priority="209" operator="equal">
      <formula>0</formula>
    </cfRule>
    <cfRule type="cellIs" dxfId="240" priority="210" operator="equal">
      <formula>1</formula>
    </cfRule>
  </conditionalFormatting>
  <conditionalFormatting sqref="J360:N363">
    <cfRule type="cellIs" dxfId="239" priority="207" operator="equal">
      <formula>0</formula>
    </cfRule>
    <cfRule type="cellIs" dxfId="238" priority="208" operator="equal">
      <formula>1</formula>
    </cfRule>
  </conditionalFormatting>
  <conditionalFormatting sqref="J366:N369">
    <cfRule type="cellIs" dxfId="237" priority="205" operator="equal">
      <formula>0</formula>
    </cfRule>
    <cfRule type="cellIs" dxfId="236" priority="206" operator="equal">
      <formula>1</formula>
    </cfRule>
  </conditionalFormatting>
  <conditionalFormatting sqref="J372:N375">
    <cfRule type="cellIs" dxfId="235" priority="203" operator="equal">
      <formula>0</formula>
    </cfRule>
    <cfRule type="cellIs" dxfId="234" priority="204" operator="equal">
      <formula>1</formula>
    </cfRule>
  </conditionalFormatting>
  <conditionalFormatting sqref="J388:N388">
    <cfRule type="cellIs" dxfId="233" priority="201" operator="equal">
      <formula>0</formula>
    </cfRule>
    <cfRule type="cellIs" dxfId="232" priority="202" operator="equal">
      <formula>1</formula>
    </cfRule>
  </conditionalFormatting>
  <conditionalFormatting sqref="J394:N394">
    <cfRule type="cellIs" dxfId="231" priority="199" operator="equal">
      <formula>0</formula>
    </cfRule>
    <cfRule type="cellIs" dxfId="230" priority="200" operator="equal">
      <formula>1</formula>
    </cfRule>
  </conditionalFormatting>
  <conditionalFormatting sqref="J400:N400">
    <cfRule type="cellIs" dxfId="229" priority="197" operator="equal">
      <formula>0</formula>
    </cfRule>
    <cfRule type="cellIs" dxfId="228" priority="198" operator="equal">
      <formula>1</formula>
    </cfRule>
  </conditionalFormatting>
  <conditionalFormatting sqref="J418:N418">
    <cfRule type="cellIs" dxfId="227" priority="195" operator="equal">
      <formula>0</formula>
    </cfRule>
    <cfRule type="cellIs" dxfId="226" priority="196" operator="equal">
      <formula>1</formula>
    </cfRule>
  </conditionalFormatting>
  <conditionalFormatting sqref="J378:N381">
    <cfRule type="cellIs" dxfId="225" priority="193" operator="equal">
      <formula>0</formula>
    </cfRule>
    <cfRule type="cellIs" dxfId="224" priority="194" operator="equal">
      <formula>1</formula>
    </cfRule>
  </conditionalFormatting>
  <conditionalFormatting sqref="J384:N387">
    <cfRule type="cellIs" dxfId="223" priority="191" operator="equal">
      <formula>0</formula>
    </cfRule>
    <cfRule type="cellIs" dxfId="222" priority="192" operator="equal">
      <formula>1</formula>
    </cfRule>
  </conditionalFormatting>
  <conditionalFormatting sqref="J390:N393">
    <cfRule type="cellIs" dxfId="221" priority="189" operator="equal">
      <formula>0</formula>
    </cfRule>
    <cfRule type="cellIs" dxfId="220" priority="190" operator="equal">
      <formula>1</formula>
    </cfRule>
  </conditionalFormatting>
  <conditionalFormatting sqref="J396:N399">
    <cfRule type="cellIs" dxfId="219" priority="187" operator="equal">
      <formula>0</formula>
    </cfRule>
    <cfRule type="cellIs" dxfId="218" priority="188" operator="equal">
      <formula>1</formula>
    </cfRule>
  </conditionalFormatting>
  <conditionalFormatting sqref="J402:N405">
    <cfRule type="cellIs" dxfId="217" priority="185" operator="equal">
      <formula>0</formula>
    </cfRule>
    <cfRule type="cellIs" dxfId="216" priority="186" operator="equal">
      <formula>1</formula>
    </cfRule>
  </conditionalFormatting>
  <conditionalFormatting sqref="J408:N411">
    <cfRule type="cellIs" dxfId="215" priority="183" operator="equal">
      <formula>0</formula>
    </cfRule>
    <cfRule type="cellIs" dxfId="214" priority="184" operator="equal">
      <formula>1</formula>
    </cfRule>
  </conditionalFormatting>
  <conditionalFormatting sqref="J414:N417">
    <cfRule type="cellIs" dxfId="213" priority="181" operator="equal">
      <formula>0</formula>
    </cfRule>
    <cfRule type="cellIs" dxfId="212" priority="182" operator="equal">
      <formula>1</formula>
    </cfRule>
  </conditionalFormatting>
  <conditionalFormatting sqref="J430:N430">
    <cfRule type="cellIs" dxfId="211" priority="179" operator="equal">
      <formula>0</formula>
    </cfRule>
    <cfRule type="cellIs" dxfId="210" priority="180" operator="equal">
      <formula>1</formula>
    </cfRule>
  </conditionalFormatting>
  <conditionalFormatting sqref="J436:N436">
    <cfRule type="cellIs" dxfId="209" priority="177" operator="equal">
      <formula>0</formula>
    </cfRule>
    <cfRule type="cellIs" dxfId="208" priority="178" operator="equal">
      <formula>1</formula>
    </cfRule>
  </conditionalFormatting>
  <conditionalFormatting sqref="J442:N442">
    <cfRule type="cellIs" dxfId="207" priority="175" operator="equal">
      <formula>0</formula>
    </cfRule>
    <cfRule type="cellIs" dxfId="206" priority="176" operator="equal">
      <formula>1</formula>
    </cfRule>
  </conditionalFormatting>
  <conditionalFormatting sqref="J420:N423">
    <cfRule type="cellIs" dxfId="205" priority="173" operator="equal">
      <formula>0</formula>
    </cfRule>
    <cfRule type="cellIs" dxfId="204" priority="174" operator="equal">
      <formula>1</formula>
    </cfRule>
  </conditionalFormatting>
  <conditionalFormatting sqref="J426:N429">
    <cfRule type="cellIs" dxfId="203" priority="171" operator="equal">
      <formula>0</formula>
    </cfRule>
    <cfRule type="cellIs" dxfId="202" priority="172" operator="equal">
      <formula>1</formula>
    </cfRule>
  </conditionalFormatting>
  <conditionalFormatting sqref="J432:N435">
    <cfRule type="cellIs" dxfId="201" priority="169" operator="equal">
      <formula>0</formula>
    </cfRule>
    <cfRule type="cellIs" dxfId="200" priority="170" operator="equal">
      <formula>1</formula>
    </cfRule>
  </conditionalFormatting>
  <conditionalFormatting sqref="J438:N441">
    <cfRule type="cellIs" dxfId="199" priority="167" operator="equal">
      <formula>0</formula>
    </cfRule>
    <cfRule type="cellIs" dxfId="198" priority="168" operator="equal">
      <formula>1</formula>
    </cfRule>
  </conditionalFormatting>
  <conditionalFormatting sqref="J444:N447">
    <cfRule type="cellIs" dxfId="197" priority="165" operator="equal">
      <formula>0</formula>
    </cfRule>
    <cfRule type="cellIs" dxfId="196" priority="166" operator="equal">
      <formula>1</formula>
    </cfRule>
  </conditionalFormatting>
  <conditionalFormatting sqref="J450:N453">
    <cfRule type="cellIs" dxfId="195" priority="163" operator="equal">
      <formula>0</formula>
    </cfRule>
    <cfRule type="cellIs" dxfId="194" priority="164" operator="equal">
      <formula>1</formula>
    </cfRule>
  </conditionalFormatting>
  <conditionalFormatting sqref="J456:N459">
    <cfRule type="cellIs" dxfId="193" priority="161" operator="equal">
      <formula>0</formula>
    </cfRule>
    <cfRule type="cellIs" dxfId="192" priority="162" operator="equal">
      <formula>1</formula>
    </cfRule>
  </conditionalFormatting>
  <conditionalFormatting sqref="J472:N472">
    <cfRule type="cellIs" dxfId="191" priority="159" operator="equal">
      <formula>0</formula>
    </cfRule>
    <cfRule type="cellIs" dxfId="190" priority="160" operator="equal">
      <formula>1</formula>
    </cfRule>
  </conditionalFormatting>
  <conditionalFormatting sqref="J478:N478">
    <cfRule type="cellIs" dxfId="189" priority="157" operator="equal">
      <formula>0</formula>
    </cfRule>
    <cfRule type="cellIs" dxfId="188" priority="158" operator="equal">
      <formula>1</formula>
    </cfRule>
  </conditionalFormatting>
  <conditionalFormatting sqref="J484:N484">
    <cfRule type="cellIs" dxfId="187" priority="155" operator="equal">
      <formula>0</formula>
    </cfRule>
    <cfRule type="cellIs" dxfId="186" priority="156" operator="equal">
      <formula>1</formula>
    </cfRule>
  </conditionalFormatting>
  <conditionalFormatting sqref="J502:N502">
    <cfRule type="cellIs" dxfId="185" priority="153" operator="equal">
      <formula>0</formula>
    </cfRule>
    <cfRule type="cellIs" dxfId="184" priority="154" operator="equal">
      <formula>1</formula>
    </cfRule>
  </conditionalFormatting>
  <conditionalFormatting sqref="J544:N544">
    <cfRule type="cellIs" dxfId="183" priority="151" operator="equal">
      <formula>0</formula>
    </cfRule>
    <cfRule type="cellIs" dxfId="182" priority="152" operator="equal">
      <formula>1</formula>
    </cfRule>
  </conditionalFormatting>
  <conditionalFormatting sqref="J628:N628">
    <cfRule type="cellIs" dxfId="181" priority="149" operator="equal">
      <formula>0</formula>
    </cfRule>
    <cfRule type="cellIs" dxfId="180" priority="150" operator="equal">
      <formula>1</formula>
    </cfRule>
  </conditionalFormatting>
  <conditionalFormatting sqref="J462:N465">
    <cfRule type="cellIs" dxfId="179" priority="147" operator="equal">
      <formula>0</formula>
    </cfRule>
    <cfRule type="cellIs" dxfId="178" priority="148" operator="equal">
      <formula>1</formula>
    </cfRule>
  </conditionalFormatting>
  <conditionalFormatting sqref="J468:N471">
    <cfRule type="cellIs" dxfId="177" priority="145" operator="equal">
      <formula>0</formula>
    </cfRule>
    <cfRule type="cellIs" dxfId="176" priority="146" operator="equal">
      <formula>1</formula>
    </cfRule>
  </conditionalFormatting>
  <conditionalFormatting sqref="J474:N477">
    <cfRule type="cellIs" dxfId="175" priority="143" operator="equal">
      <formula>0</formula>
    </cfRule>
    <cfRule type="cellIs" dxfId="174" priority="144" operator="equal">
      <formula>1</formula>
    </cfRule>
  </conditionalFormatting>
  <conditionalFormatting sqref="J480:N483">
    <cfRule type="cellIs" dxfId="173" priority="141" operator="equal">
      <formula>0</formula>
    </cfRule>
    <cfRule type="cellIs" dxfId="172" priority="142" operator="equal">
      <formula>1</formula>
    </cfRule>
  </conditionalFormatting>
  <conditionalFormatting sqref="J486:N489">
    <cfRule type="cellIs" dxfId="171" priority="139" operator="equal">
      <formula>0</formula>
    </cfRule>
    <cfRule type="cellIs" dxfId="170" priority="140" operator="equal">
      <formula>1</formula>
    </cfRule>
  </conditionalFormatting>
  <conditionalFormatting sqref="J492:N495">
    <cfRule type="cellIs" dxfId="169" priority="137" operator="equal">
      <formula>0</formula>
    </cfRule>
    <cfRule type="cellIs" dxfId="168" priority="138" operator="equal">
      <formula>1</formula>
    </cfRule>
  </conditionalFormatting>
  <conditionalFormatting sqref="J498:N501">
    <cfRule type="cellIs" dxfId="167" priority="135" operator="equal">
      <formula>0</formula>
    </cfRule>
    <cfRule type="cellIs" dxfId="166" priority="136" operator="equal">
      <formula>1</formula>
    </cfRule>
  </conditionalFormatting>
  <conditionalFormatting sqref="J514:N514">
    <cfRule type="cellIs" dxfId="165" priority="133" operator="equal">
      <formula>0</formula>
    </cfRule>
    <cfRule type="cellIs" dxfId="164" priority="134" operator="equal">
      <formula>1</formula>
    </cfRule>
  </conditionalFormatting>
  <conditionalFormatting sqref="J520:N520">
    <cfRule type="cellIs" dxfId="163" priority="131" operator="equal">
      <formula>0</formula>
    </cfRule>
    <cfRule type="cellIs" dxfId="162" priority="132" operator="equal">
      <formula>1</formula>
    </cfRule>
  </conditionalFormatting>
  <conditionalFormatting sqref="J526:N526">
    <cfRule type="cellIs" dxfId="161" priority="129" operator="equal">
      <formula>0</formula>
    </cfRule>
    <cfRule type="cellIs" dxfId="160" priority="130" operator="equal">
      <formula>1</formula>
    </cfRule>
  </conditionalFormatting>
  <conditionalFormatting sqref="J504:N507">
    <cfRule type="cellIs" dxfId="159" priority="127" operator="equal">
      <formula>0</formula>
    </cfRule>
    <cfRule type="cellIs" dxfId="158" priority="128" operator="equal">
      <formula>1</formula>
    </cfRule>
  </conditionalFormatting>
  <conditionalFormatting sqref="J510:N513">
    <cfRule type="cellIs" dxfId="157" priority="125" operator="equal">
      <formula>0</formula>
    </cfRule>
    <cfRule type="cellIs" dxfId="156" priority="126" operator="equal">
      <formula>1</formula>
    </cfRule>
  </conditionalFormatting>
  <conditionalFormatting sqref="J516:N519">
    <cfRule type="cellIs" dxfId="155" priority="123" operator="equal">
      <formula>0</formula>
    </cfRule>
    <cfRule type="cellIs" dxfId="154" priority="124" operator="equal">
      <formula>1</formula>
    </cfRule>
  </conditionalFormatting>
  <conditionalFormatting sqref="J522:N525">
    <cfRule type="cellIs" dxfId="153" priority="121" operator="equal">
      <formula>0</formula>
    </cfRule>
    <cfRule type="cellIs" dxfId="152" priority="122" operator="equal">
      <formula>1</formula>
    </cfRule>
  </conditionalFormatting>
  <conditionalFormatting sqref="J528:N531">
    <cfRule type="cellIs" dxfId="151" priority="119" operator="equal">
      <formula>0</formula>
    </cfRule>
    <cfRule type="cellIs" dxfId="150" priority="120" operator="equal">
      <formula>1</formula>
    </cfRule>
  </conditionalFormatting>
  <conditionalFormatting sqref="J534:N537">
    <cfRule type="cellIs" dxfId="149" priority="117" operator="equal">
      <formula>0</formula>
    </cfRule>
    <cfRule type="cellIs" dxfId="148" priority="118" operator="equal">
      <formula>1</formula>
    </cfRule>
  </conditionalFormatting>
  <conditionalFormatting sqref="J540:N543">
    <cfRule type="cellIs" dxfId="147" priority="115" operator="equal">
      <formula>0</formula>
    </cfRule>
    <cfRule type="cellIs" dxfId="146" priority="116" operator="equal">
      <formula>1</formula>
    </cfRule>
  </conditionalFormatting>
  <conditionalFormatting sqref="J556:N556">
    <cfRule type="cellIs" dxfId="145" priority="113" operator="equal">
      <formula>0</formula>
    </cfRule>
    <cfRule type="cellIs" dxfId="144" priority="114" operator="equal">
      <formula>1</formula>
    </cfRule>
  </conditionalFormatting>
  <conditionalFormatting sqref="J562:N562">
    <cfRule type="cellIs" dxfId="143" priority="111" operator="equal">
      <formula>0</formula>
    </cfRule>
    <cfRule type="cellIs" dxfId="142" priority="112" operator="equal">
      <formula>1</formula>
    </cfRule>
  </conditionalFormatting>
  <conditionalFormatting sqref="J568:N568">
    <cfRule type="cellIs" dxfId="141" priority="109" operator="equal">
      <formula>0</formula>
    </cfRule>
    <cfRule type="cellIs" dxfId="140" priority="110" operator="equal">
      <formula>1</formula>
    </cfRule>
  </conditionalFormatting>
  <conditionalFormatting sqref="J586:N586">
    <cfRule type="cellIs" dxfId="139" priority="107" operator="equal">
      <formula>0</formula>
    </cfRule>
    <cfRule type="cellIs" dxfId="138" priority="108" operator="equal">
      <formula>1</formula>
    </cfRule>
  </conditionalFormatting>
  <conditionalFormatting sqref="J546:N549">
    <cfRule type="cellIs" dxfId="137" priority="105" operator="equal">
      <formula>0</formula>
    </cfRule>
    <cfRule type="cellIs" dxfId="136" priority="106" operator="equal">
      <formula>1</formula>
    </cfRule>
  </conditionalFormatting>
  <conditionalFormatting sqref="J552:N555">
    <cfRule type="cellIs" dxfId="135" priority="103" operator="equal">
      <formula>0</formula>
    </cfRule>
    <cfRule type="cellIs" dxfId="134" priority="104" operator="equal">
      <formula>1</formula>
    </cfRule>
  </conditionalFormatting>
  <conditionalFormatting sqref="J558:N561">
    <cfRule type="cellIs" dxfId="133" priority="101" operator="equal">
      <formula>0</formula>
    </cfRule>
    <cfRule type="cellIs" dxfId="132" priority="102" operator="equal">
      <formula>1</formula>
    </cfRule>
  </conditionalFormatting>
  <conditionalFormatting sqref="J564:N567">
    <cfRule type="cellIs" dxfId="131" priority="99" operator="equal">
      <formula>0</formula>
    </cfRule>
    <cfRule type="cellIs" dxfId="130" priority="100" operator="equal">
      <formula>1</formula>
    </cfRule>
  </conditionalFormatting>
  <conditionalFormatting sqref="J570:N573">
    <cfRule type="cellIs" dxfId="129" priority="97" operator="equal">
      <formula>0</formula>
    </cfRule>
    <cfRule type="cellIs" dxfId="128" priority="98" operator="equal">
      <formula>1</formula>
    </cfRule>
  </conditionalFormatting>
  <conditionalFormatting sqref="J576:N579">
    <cfRule type="cellIs" dxfId="127" priority="95" operator="equal">
      <formula>0</formula>
    </cfRule>
    <cfRule type="cellIs" dxfId="126" priority="96" operator="equal">
      <formula>1</formula>
    </cfRule>
  </conditionalFormatting>
  <conditionalFormatting sqref="J582:N585">
    <cfRule type="cellIs" dxfId="125" priority="93" operator="equal">
      <formula>0</formula>
    </cfRule>
    <cfRule type="cellIs" dxfId="124" priority="94" operator="equal">
      <formula>1</formula>
    </cfRule>
  </conditionalFormatting>
  <conditionalFormatting sqref="J598:N598">
    <cfRule type="cellIs" dxfId="123" priority="91" operator="equal">
      <formula>0</formula>
    </cfRule>
    <cfRule type="cellIs" dxfId="122" priority="92" operator="equal">
      <formula>1</formula>
    </cfRule>
  </conditionalFormatting>
  <conditionalFormatting sqref="J604:N604">
    <cfRule type="cellIs" dxfId="121" priority="89" operator="equal">
      <formula>0</formula>
    </cfRule>
    <cfRule type="cellIs" dxfId="120" priority="90" operator="equal">
      <formula>1</formula>
    </cfRule>
  </conditionalFormatting>
  <conditionalFormatting sqref="J610:N610">
    <cfRule type="cellIs" dxfId="119" priority="87" operator="equal">
      <formula>0</formula>
    </cfRule>
    <cfRule type="cellIs" dxfId="118" priority="88" operator="equal">
      <formula>1</formula>
    </cfRule>
  </conditionalFormatting>
  <conditionalFormatting sqref="J588:N591">
    <cfRule type="cellIs" dxfId="117" priority="85" operator="equal">
      <formula>0</formula>
    </cfRule>
    <cfRule type="cellIs" dxfId="116" priority="86" operator="equal">
      <formula>1</formula>
    </cfRule>
  </conditionalFormatting>
  <conditionalFormatting sqref="J594:N597">
    <cfRule type="cellIs" dxfId="115" priority="83" operator="equal">
      <formula>0</formula>
    </cfRule>
    <cfRule type="cellIs" dxfId="114" priority="84" operator="equal">
      <formula>1</formula>
    </cfRule>
  </conditionalFormatting>
  <conditionalFormatting sqref="J600:N603">
    <cfRule type="cellIs" dxfId="113" priority="81" operator="equal">
      <formula>0</formula>
    </cfRule>
    <cfRule type="cellIs" dxfId="112" priority="82" operator="equal">
      <formula>1</formula>
    </cfRule>
  </conditionalFormatting>
  <conditionalFormatting sqref="J606:N609">
    <cfRule type="cellIs" dxfId="111" priority="79" operator="equal">
      <formula>0</formula>
    </cfRule>
    <cfRule type="cellIs" dxfId="110" priority="80" operator="equal">
      <formula>1</formula>
    </cfRule>
  </conditionalFormatting>
  <conditionalFormatting sqref="J612:N615">
    <cfRule type="cellIs" dxfId="109" priority="77" operator="equal">
      <formula>0</formula>
    </cfRule>
    <cfRule type="cellIs" dxfId="108" priority="78" operator="equal">
      <formula>1</formula>
    </cfRule>
  </conditionalFormatting>
  <conditionalFormatting sqref="J618:N621">
    <cfRule type="cellIs" dxfId="107" priority="75" operator="equal">
      <formula>0</formula>
    </cfRule>
    <cfRule type="cellIs" dxfId="106" priority="76" operator="equal">
      <formula>1</formula>
    </cfRule>
  </conditionalFormatting>
  <conditionalFormatting sqref="J624:N627">
    <cfRule type="cellIs" dxfId="105" priority="73" operator="equal">
      <formula>0</formula>
    </cfRule>
    <cfRule type="cellIs" dxfId="104" priority="74" operator="equal">
      <formula>1</formula>
    </cfRule>
  </conditionalFormatting>
  <conditionalFormatting sqref="J640:N640">
    <cfRule type="cellIs" dxfId="103" priority="71" operator="equal">
      <formula>0</formula>
    </cfRule>
    <cfRule type="cellIs" dxfId="102" priority="72" operator="equal">
      <formula>1</formula>
    </cfRule>
  </conditionalFormatting>
  <conditionalFormatting sqref="J646:N646">
    <cfRule type="cellIs" dxfId="101" priority="69" operator="equal">
      <formula>0</formula>
    </cfRule>
    <cfRule type="cellIs" dxfId="100" priority="70" operator="equal">
      <formula>1</formula>
    </cfRule>
  </conditionalFormatting>
  <conditionalFormatting sqref="J652:N652">
    <cfRule type="cellIs" dxfId="99" priority="67" operator="equal">
      <formula>0</formula>
    </cfRule>
    <cfRule type="cellIs" dxfId="98" priority="68" operator="equal">
      <formula>1</formula>
    </cfRule>
  </conditionalFormatting>
  <conditionalFormatting sqref="J670:N670">
    <cfRule type="cellIs" dxfId="97" priority="65" operator="equal">
      <formula>0</formula>
    </cfRule>
    <cfRule type="cellIs" dxfId="96" priority="66" operator="equal">
      <formula>1</formula>
    </cfRule>
  </conditionalFormatting>
  <conditionalFormatting sqref="J630:N633">
    <cfRule type="cellIs" dxfId="95" priority="63" operator="equal">
      <formula>0</formula>
    </cfRule>
    <cfRule type="cellIs" dxfId="94" priority="64" operator="equal">
      <formula>1</formula>
    </cfRule>
  </conditionalFormatting>
  <conditionalFormatting sqref="J636:N639">
    <cfRule type="cellIs" dxfId="93" priority="61" operator="equal">
      <formula>0</formula>
    </cfRule>
    <cfRule type="cellIs" dxfId="92" priority="62" operator="equal">
      <formula>1</formula>
    </cfRule>
  </conditionalFormatting>
  <conditionalFormatting sqref="J642:N645">
    <cfRule type="cellIs" dxfId="91" priority="59" operator="equal">
      <formula>0</formula>
    </cfRule>
    <cfRule type="cellIs" dxfId="90" priority="60" operator="equal">
      <formula>1</formula>
    </cfRule>
  </conditionalFormatting>
  <conditionalFormatting sqref="J648:N651">
    <cfRule type="cellIs" dxfId="89" priority="57" operator="equal">
      <formula>0</formula>
    </cfRule>
    <cfRule type="cellIs" dxfId="88" priority="58" operator="equal">
      <formula>1</formula>
    </cfRule>
  </conditionalFormatting>
  <conditionalFormatting sqref="J654:N657">
    <cfRule type="cellIs" dxfId="87" priority="55" operator="equal">
      <formula>0</formula>
    </cfRule>
    <cfRule type="cellIs" dxfId="86" priority="56" operator="equal">
      <formula>1</formula>
    </cfRule>
  </conditionalFormatting>
  <conditionalFormatting sqref="J660:N663">
    <cfRule type="cellIs" dxfId="85" priority="53" operator="equal">
      <formula>0</formula>
    </cfRule>
    <cfRule type="cellIs" dxfId="84" priority="54" operator="equal">
      <formula>1</formula>
    </cfRule>
  </conditionalFormatting>
  <conditionalFormatting sqref="J666:N669">
    <cfRule type="cellIs" dxfId="83" priority="51" operator="equal">
      <formula>0</formula>
    </cfRule>
    <cfRule type="cellIs" dxfId="82" priority="52" operator="equal">
      <formula>1</formula>
    </cfRule>
  </conditionalFormatting>
  <conditionalFormatting sqref="J682:N682">
    <cfRule type="cellIs" dxfId="81" priority="49" operator="equal">
      <formula>0</formula>
    </cfRule>
    <cfRule type="cellIs" dxfId="80" priority="50" operator="equal">
      <formula>1</formula>
    </cfRule>
  </conditionalFormatting>
  <conditionalFormatting sqref="J688:N688">
    <cfRule type="cellIs" dxfId="79" priority="47" operator="equal">
      <formula>0</formula>
    </cfRule>
    <cfRule type="cellIs" dxfId="78" priority="48" operator="equal">
      <formula>1</formula>
    </cfRule>
  </conditionalFormatting>
  <conditionalFormatting sqref="J694:N694">
    <cfRule type="cellIs" dxfId="77" priority="45" operator="equal">
      <formula>0</formula>
    </cfRule>
    <cfRule type="cellIs" dxfId="76" priority="46" operator="equal">
      <formula>1</formula>
    </cfRule>
  </conditionalFormatting>
  <conditionalFormatting sqref="J672:N675">
    <cfRule type="cellIs" dxfId="75" priority="43" operator="equal">
      <formula>0</formula>
    </cfRule>
    <cfRule type="cellIs" dxfId="74" priority="44" operator="equal">
      <formula>1</formula>
    </cfRule>
  </conditionalFormatting>
  <conditionalFormatting sqref="J678:N681">
    <cfRule type="cellIs" dxfId="73" priority="41" operator="equal">
      <formula>0</formula>
    </cfRule>
    <cfRule type="cellIs" dxfId="72" priority="42" operator="equal">
      <formula>1</formula>
    </cfRule>
  </conditionalFormatting>
  <conditionalFormatting sqref="J684:N687">
    <cfRule type="cellIs" dxfId="71" priority="39" operator="equal">
      <formula>0</formula>
    </cfRule>
    <cfRule type="cellIs" dxfId="70" priority="40" operator="equal">
      <formula>1</formula>
    </cfRule>
  </conditionalFormatting>
  <conditionalFormatting sqref="J690:N693">
    <cfRule type="cellIs" dxfId="69" priority="37" operator="equal">
      <formula>0</formula>
    </cfRule>
    <cfRule type="cellIs" dxfId="68" priority="38" operator="equal">
      <formula>1</formula>
    </cfRule>
  </conditionalFormatting>
  <conditionalFormatting sqref="J696:N699">
    <cfRule type="cellIs" dxfId="67" priority="35" operator="equal">
      <formula>0</formula>
    </cfRule>
    <cfRule type="cellIs" dxfId="66" priority="36" operator="equal">
      <formula>1</formula>
    </cfRule>
  </conditionalFormatting>
  <conditionalFormatting sqref="J702:N705">
    <cfRule type="cellIs" dxfId="65" priority="33" operator="equal">
      <formula>0</formula>
    </cfRule>
    <cfRule type="cellIs" dxfId="64" priority="34" operator="equal">
      <formula>1</formula>
    </cfRule>
  </conditionalFormatting>
  <conditionalFormatting sqref="J708:N711">
    <cfRule type="cellIs" dxfId="63" priority="31" operator="equal">
      <formula>0</formula>
    </cfRule>
    <cfRule type="cellIs" dxfId="62" priority="32" operator="equal">
      <formula>1</formula>
    </cfRule>
  </conditionalFormatting>
  <conditionalFormatting sqref="J714:N717">
    <cfRule type="cellIs" dxfId="61" priority="29" operator="equal">
      <formula>0</formula>
    </cfRule>
    <cfRule type="cellIs" dxfId="60" priority="30" operator="equal">
      <formula>1</formula>
    </cfRule>
  </conditionalFormatting>
  <conditionalFormatting sqref="J720:N723">
    <cfRule type="cellIs" dxfId="59" priority="27" operator="equal">
      <formula>0</formula>
    </cfRule>
    <cfRule type="cellIs" dxfId="58" priority="28" operator="equal">
      <formula>1</formula>
    </cfRule>
  </conditionalFormatting>
  <conditionalFormatting sqref="J726:N729">
    <cfRule type="cellIs" dxfId="57" priority="25" operator="equal">
      <formula>0</formula>
    </cfRule>
    <cfRule type="cellIs" dxfId="56" priority="26" operator="equal">
      <formula>1</formula>
    </cfRule>
  </conditionalFormatting>
  <conditionalFormatting sqref="J732:N735">
    <cfRule type="cellIs" dxfId="55" priority="23" operator="equal">
      <formula>0</formula>
    </cfRule>
    <cfRule type="cellIs" dxfId="54" priority="24" operator="equal">
      <formula>1</formula>
    </cfRule>
  </conditionalFormatting>
  <conditionalFormatting sqref="J738:N741">
    <cfRule type="cellIs" dxfId="53" priority="21" operator="equal">
      <formula>0</formula>
    </cfRule>
    <cfRule type="cellIs" dxfId="52" priority="22" operator="equal">
      <formula>1</formula>
    </cfRule>
  </conditionalFormatting>
  <conditionalFormatting sqref="J744:N747">
    <cfRule type="cellIs" dxfId="51" priority="19" operator="equal">
      <formula>0</formula>
    </cfRule>
    <cfRule type="cellIs" dxfId="50" priority="20" operator="equal">
      <formula>1</formula>
    </cfRule>
  </conditionalFormatting>
  <conditionalFormatting sqref="J750:N753">
    <cfRule type="cellIs" dxfId="49" priority="17" operator="equal">
      <formula>0</formula>
    </cfRule>
    <cfRule type="cellIs" dxfId="48" priority="18" operator="equal">
      <formula>1</formula>
    </cfRule>
  </conditionalFormatting>
  <conditionalFormatting sqref="J756:N759">
    <cfRule type="cellIs" dxfId="47" priority="15" operator="equal">
      <formula>0</formula>
    </cfRule>
    <cfRule type="cellIs" dxfId="46" priority="16" operator="equal">
      <formula>1</formula>
    </cfRule>
  </conditionalFormatting>
  <conditionalFormatting sqref="J762:N765">
    <cfRule type="cellIs" dxfId="45" priority="13" operator="equal">
      <formula>0</formula>
    </cfRule>
    <cfRule type="cellIs" dxfId="44" priority="14" operator="equal">
      <formula>1</formula>
    </cfRule>
  </conditionalFormatting>
  <conditionalFormatting sqref="J768:N771">
    <cfRule type="cellIs" dxfId="43" priority="11" operator="equal">
      <formula>0</formula>
    </cfRule>
    <cfRule type="cellIs" dxfId="42" priority="12" operator="equal">
      <formula>1</formula>
    </cfRule>
  </conditionalFormatting>
  <conditionalFormatting sqref="J774:N777">
    <cfRule type="cellIs" dxfId="41" priority="9" operator="equal">
      <formula>0</formula>
    </cfRule>
    <cfRule type="cellIs" dxfId="40" priority="10" operator="equal">
      <formula>1</formula>
    </cfRule>
  </conditionalFormatting>
  <conditionalFormatting sqref="J780:N783">
    <cfRule type="cellIs" dxfId="39" priority="7" operator="equal">
      <formula>0</formula>
    </cfRule>
    <cfRule type="cellIs" dxfId="38" priority="8" operator="equal">
      <formula>1</formula>
    </cfRule>
  </conditionalFormatting>
  <conditionalFormatting sqref="J786:N789">
    <cfRule type="cellIs" dxfId="37" priority="5" operator="equal">
      <formula>0</formula>
    </cfRule>
    <cfRule type="cellIs" dxfId="36" priority="6" operator="equal">
      <formula>1</formula>
    </cfRule>
  </conditionalFormatting>
  <conditionalFormatting sqref="J792:N795">
    <cfRule type="cellIs" dxfId="35" priority="3" operator="equal">
      <formula>0</formula>
    </cfRule>
    <cfRule type="cellIs" dxfId="34" priority="4" operator="equal">
      <formula>1</formula>
    </cfRule>
  </conditionalFormatting>
  <conditionalFormatting sqref="J798:N801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AB46-6C0B-4CAD-9067-76B6686E3E02}">
  <dimension ref="A1:AI24"/>
  <sheetViews>
    <sheetView zoomScale="205" zoomScaleNormal="205" workbookViewId="0">
      <selection activeCell="N26" sqref="N26"/>
    </sheetView>
  </sheetViews>
  <sheetFormatPr defaultRowHeight="15" x14ac:dyDescent="0.25"/>
  <cols>
    <col min="1" max="1" width="20.85546875" bestFit="1" customWidth="1"/>
    <col min="6" max="6" width="16.42578125" bestFit="1" customWidth="1"/>
    <col min="7" max="7" width="12" bestFit="1" customWidth="1"/>
    <col min="9" max="9" width="15.85546875" bestFit="1" customWidth="1"/>
    <col min="10" max="11" width="12" bestFit="1" customWidth="1"/>
    <col min="12" max="12" width="15.28515625" bestFit="1" customWidth="1"/>
    <col min="13" max="13" width="23.85546875" bestFit="1" customWidth="1"/>
    <col min="14" max="16" width="24.85546875" bestFit="1" customWidth="1"/>
    <col min="17" max="17" width="26" bestFit="1" customWidth="1"/>
    <col min="18" max="19" width="27" bestFit="1" customWidth="1"/>
    <col min="20" max="20" width="28" bestFit="1" customWidth="1"/>
    <col min="21" max="22" width="29" bestFit="1" customWidth="1"/>
    <col min="23" max="23" width="17.42578125" bestFit="1" customWidth="1"/>
    <col min="24" max="24" width="15.28515625" bestFit="1" customWidth="1"/>
    <col min="25" max="25" width="23.85546875" bestFit="1" customWidth="1"/>
    <col min="26" max="28" width="24.85546875" bestFit="1" customWidth="1"/>
    <col min="29" max="29" width="26" bestFit="1" customWidth="1"/>
    <col min="30" max="31" width="27" bestFit="1" customWidth="1"/>
    <col min="32" max="32" width="28" bestFit="1" customWidth="1"/>
    <col min="33" max="34" width="29" bestFit="1" customWidth="1"/>
    <col min="35" max="35" width="17.42578125" bestFit="1" customWidth="1"/>
  </cols>
  <sheetData>
    <row r="1" spans="1:35" ht="15.75" thickBot="1" x14ac:dyDescent="0.3">
      <c r="A1" t="s">
        <v>160</v>
      </c>
    </row>
    <row r="2" spans="1:35" ht="15.75" thickBot="1" x14ac:dyDescent="0.3">
      <c r="F2" s="136" t="s">
        <v>182</v>
      </c>
      <c r="G2" s="138" t="s">
        <v>183</v>
      </c>
      <c r="I2" s="68" t="s">
        <v>161</v>
      </c>
      <c r="J2" s="58" t="s">
        <v>142</v>
      </c>
      <c r="K2" s="52" t="s">
        <v>162</v>
      </c>
      <c r="L2" s="140" t="s">
        <v>163</v>
      </c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2"/>
      <c r="X2" s="140" t="s">
        <v>164</v>
      </c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2"/>
    </row>
    <row r="3" spans="1:35" ht="15.75" thickBot="1" x14ac:dyDescent="0.3">
      <c r="F3" s="68" t="s">
        <v>185</v>
      </c>
      <c r="G3" s="52">
        <v>107.29613733905499</v>
      </c>
      <c r="I3" s="70" t="s">
        <v>165</v>
      </c>
      <c r="J3" s="62" t="s">
        <v>166</v>
      </c>
      <c r="K3" s="71"/>
      <c r="L3" s="136" t="s">
        <v>167</v>
      </c>
      <c r="M3" s="137" t="s">
        <v>168</v>
      </c>
      <c r="N3" s="137" t="s">
        <v>169</v>
      </c>
      <c r="O3" s="137" t="s">
        <v>170</v>
      </c>
      <c r="P3" s="137" t="s">
        <v>171</v>
      </c>
      <c r="Q3" s="137" t="s">
        <v>172</v>
      </c>
      <c r="R3" s="137" t="s">
        <v>173</v>
      </c>
      <c r="S3" s="137" t="s">
        <v>174</v>
      </c>
      <c r="T3" s="137" t="s">
        <v>175</v>
      </c>
      <c r="U3" s="137" t="s">
        <v>176</v>
      </c>
      <c r="V3" s="137" t="s">
        <v>177</v>
      </c>
      <c r="W3" s="138" t="s">
        <v>178</v>
      </c>
      <c r="X3" s="136" t="s">
        <v>167</v>
      </c>
      <c r="Y3" s="137" t="s">
        <v>168</v>
      </c>
      <c r="Z3" s="137" t="s">
        <v>169</v>
      </c>
      <c r="AA3" s="137" t="s">
        <v>170</v>
      </c>
      <c r="AB3" s="137" t="s">
        <v>171</v>
      </c>
      <c r="AC3" s="137" t="s">
        <v>172</v>
      </c>
      <c r="AD3" s="137" t="s">
        <v>173</v>
      </c>
      <c r="AE3" s="137" t="s">
        <v>174</v>
      </c>
      <c r="AF3" s="137" t="s">
        <v>175</v>
      </c>
      <c r="AG3" s="137" t="s">
        <v>176</v>
      </c>
      <c r="AH3" s="137" t="s">
        <v>177</v>
      </c>
      <c r="AI3" s="138" t="s">
        <v>178</v>
      </c>
    </row>
    <row r="4" spans="1:35" x14ac:dyDescent="0.25">
      <c r="F4" s="69" t="s">
        <v>186</v>
      </c>
      <c r="G4" s="50">
        <v>1851.8518518518499</v>
      </c>
      <c r="I4" s="68" t="s">
        <v>179</v>
      </c>
      <c r="J4" s="58">
        <v>96.904470588235299</v>
      </c>
      <c r="K4" s="52">
        <v>0.41519618019514198</v>
      </c>
      <c r="L4" s="68">
        <v>0</v>
      </c>
      <c r="M4" s="58">
        <v>41.828000000000003</v>
      </c>
      <c r="N4" s="58">
        <v>9.8929411764705808</v>
      </c>
      <c r="O4" s="58">
        <v>14.357647058823501</v>
      </c>
      <c r="P4" s="58">
        <v>4.4611764705882297</v>
      </c>
      <c r="Q4" s="58">
        <v>1.1294117647058799</v>
      </c>
      <c r="R4" s="58">
        <v>5.7529411764705802</v>
      </c>
      <c r="S4" s="58">
        <v>14.305882352941101</v>
      </c>
      <c r="T4" s="58">
        <v>5.1764705882352899</v>
      </c>
      <c r="U4" s="58">
        <v>0</v>
      </c>
      <c r="V4" s="58">
        <v>0</v>
      </c>
      <c r="W4" s="52">
        <v>0</v>
      </c>
      <c r="X4" s="68"/>
      <c r="Y4" s="58">
        <v>1.0744461594739501</v>
      </c>
      <c r="Z4" s="58">
        <v>28.796030607364798</v>
      </c>
      <c r="AA4" s="58">
        <v>39.470665355621101</v>
      </c>
      <c r="AB4" s="58">
        <v>254.06118143459901</v>
      </c>
      <c r="AC4" s="58">
        <v>1254.4270833333301</v>
      </c>
      <c r="AD4" s="58">
        <v>623.96373056994798</v>
      </c>
      <c r="AE4" s="58">
        <v>396.13486842105198</v>
      </c>
      <c r="AF4" s="58">
        <v>2736.9318181818098</v>
      </c>
      <c r="AG4" s="58"/>
      <c r="AH4" s="58"/>
      <c r="AI4" s="52"/>
    </row>
    <row r="5" spans="1:35" x14ac:dyDescent="0.25">
      <c r="F5" s="69" t="s">
        <v>187</v>
      </c>
      <c r="G5" s="50">
        <v>129.53367875647601</v>
      </c>
      <c r="I5" s="69" t="s">
        <v>180</v>
      </c>
      <c r="J5">
        <v>5.5103529411764702</v>
      </c>
      <c r="K5" s="50">
        <v>7.9465988556897598</v>
      </c>
      <c r="L5" s="69">
        <v>0</v>
      </c>
      <c r="M5">
        <v>2.1668235294117602</v>
      </c>
      <c r="N5">
        <v>0.55294117647058805</v>
      </c>
      <c r="O5">
        <v>0.72470588235294098</v>
      </c>
      <c r="P5">
        <v>0.254117647058823</v>
      </c>
      <c r="Q5">
        <v>7.0588235294117604E-2</v>
      </c>
      <c r="R5">
        <v>0.376470588235294</v>
      </c>
      <c r="S5">
        <v>0.89411764705882302</v>
      </c>
      <c r="T5">
        <v>0.47058823529411697</v>
      </c>
      <c r="U5">
        <v>0</v>
      </c>
      <c r="V5">
        <v>0</v>
      </c>
      <c r="W5" s="50">
        <v>0</v>
      </c>
      <c r="X5" s="69"/>
      <c r="Y5">
        <v>1.07832047986289</v>
      </c>
      <c r="Z5">
        <v>26.8888888888888</v>
      </c>
      <c r="AA5">
        <v>40.857142857142797</v>
      </c>
      <c r="AB5">
        <v>233.03703703703701</v>
      </c>
      <c r="AC5">
        <v>1048.6666666666599</v>
      </c>
      <c r="AD5">
        <v>484</v>
      </c>
      <c r="AE5">
        <v>331.15789473684202</v>
      </c>
      <c r="AF5">
        <v>1573</v>
      </c>
      <c r="AI5" s="50"/>
    </row>
    <row r="6" spans="1:35" ht="15.75" thickBot="1" x14ac:dyDescent="0.3">
      <c r="F6" s="70" t="s">
        <v>188</v>
      </c>
      <c r="G6" s="71">
        <v>549.45054945054903</v>
      </c>
      <c r="I6" s="69" t="s">
        <v>181</v>
      </c>
      <c r="J6">
        <v>36.3482352941176</v>
      </c>
      <c r="K6" s="50">
        <v>9.05469032959072</v>
      </c>
      <c r="L6" s="69">
        <v>0</v>
      </c>
      <c r="M6">
        <v>1.7435294117647</v>
      </c>
      <c r="N6">
        <v>2.1929411764705802</v>
      </c>
      <c r="O6">
        <v>0</v>
      </c>
      <c r="P6">
        <v>0</v>
      </c>
      <c r="Q6">
        <v>10.7176470588235</v>
      </c>
      <c r="R6">
        <v>21.6941176470588</v>
      </c>
      <c r="S6">
        <v>0</v>
      </c>
      <c r="T6">
        <v>0</v>
      </c>
      <c r="U6">
        <v>0</v>
      </c>
      <c r="V6">
        <v>0</v>
      </c>
      <c r="W6" s="50">
        <v>0</v>
      </c>
      <c r="X6" s="69"/>
      <c r="Y6">
        <v>2.0029017047515398</v>
      </c>
      <c r="Z6">
        <v>5.9248927038626604</v>
      </c>
      <c r="AC6">
        <v>6.06147091108671</v>
      </c>
      <c r="AD6">
        <v>5.9891540130151801</v>
      </c>
      <c r="AI6" s="50"/>
    </row>
    <row r="7" spans="1:35" ht="15.75" thickBot="1" x14ac:dyDescent="0.3">
      <c r="I7" s="70" t="s">
        <v>184</v>
      </c>
      <c r="J7" s="62">
        <v>3.19647058823529</v>
      </c>
      <c r="K7" s="71">
        <v>549.45054945054903</v>
      </c>
      <c r="L7" s="70">
        <v>0</v>
      </c>
      <c r="M7" s="62">
        <v>0</v>
      </c>
      <c r="N7" s="62">
        <v>0</v>
      </c>
      <c r="O7" s="62">
        <v>0</v>
      </c>
      <c r="P7" s="62">
        <v>0</v>
      </c>
      <c r="Q7" s="62">
        <v>0.33999999999999903</v>
      </c>
      <c r="R7" s="62">
        <v>1.3529411764705801</v>
      </c>
      <c r="S7" s="62">
        <v>0.67999999999999905</v>
      </c>
      <c r="T7" s="62">
        <v>0.11764705882352899</v>
      </c>
      <c r="U7" s="62">
        <v>0.70588235294117596</v>
      </c>
      <c r="V7" s="62">
        <v>0</v>
      </c>
      <c r="W7" s="71">
        <v>0</v>
      </c>
      <c r="X7" s="70"/>
      <c r="Y7" s="62"/>
      <c r="Z7" s="62"/>
      <c r="AA7" s="62"/>
      <c r="AB7" s="62"/>
      <c r="AC7" s="62">
        <v>4.3333333333333304</v>
      </c>
      <c r="AD7" s="62">
        <v>1.75</v>
      </c>
      <c r="AE7" s="62">
        <v>6.5</v>
      </c>
      <c r="AF7" s="62">
        <v>91</v>
      </c>
      <c r="AG7" s="62">
        <v>30.3333333333333</v>
      </c>
      <c r="AH7" s="62"/>
      <c r="AI7" s="71"/>
    </row>
    <row r="21" spans="13:17" ht="15.75" thickBot="1" x14ac:dyDescent="0.3"/>
    <row r="22" spans="13:17" x14ac:dyDescent="0.25">
      <c r="M22" s="68" t="s">
        <v>189</v>
      </c>
      <c r="N22" s="58" t="s">
        <v>189</v>
      </c>
      <c r="O22" s="58" t="s">
        <v>189</v>
      </c>
      <c r="P22" s="58"/>
      <c r="Q22" s="52"/>
    </row>
    <row r="23" spans="13:17" x14ac:dyDescent="0.25">
      <c r="M23" s="69"/>
      <c r="Q23" s="50"/>
    </row>
    <row r="24" spans="13:17" ht="15.75" thickBot="1" x14ac:dyDescent="0.3">
      <c r="M24" s="70"/>
      <c r="N24" s="62"/>
      <c r="O24" s="62"/>
      <c r="P24" s="62"/>
      <c r="Q24" s="71"/>
    </row>
  </sheetData>
  <mergeCells count="2">
    <mergeCell ref="L2:W2"/>
    <mergeCell ref="X2:A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F32B9-F83D-4141-A57B-7B513822A747}">
  <sheetPr codeName="Sheet23"/>
  <dimension ref="A1:K53"/>
  <sheetViews>
    <sheetView workbookViewId="0">
      <selection activeCell="L44" sqref="L44:L45"/>
    </sheetView>
  </sheetViews>
  <sheetFormatPr defaultColWidth="9.140625" defaultRowHeight="12.75" x14ac:dyDescent="0.2"/>
  <cols>
    <col min="1" max="1" width="8.85546875" style="1" customWidth="1"/>
    <col min="2" max="2" width="9.140625" style="1"/>
    <col min="3" max="3" width="8.5703125" style="1" bestFit="1" customWidth="1"/>
    <col min="4" max="5" width="5.5703125" style="1" bestFit="1" customWidth="1"/>
    <col min="6" max="6" width="4.42578125" style="1" bestFit="1" customWidth="1"/>
    <col min="7" max="8" width="9.140625" style="1"/>
    <col min="9" max="9" width="16.5703125" style="1" bestFit="1" customWidth="1"/>
    <col min="10" max="10" width="9.140625" style="1"/>
    <col min="11" max="11" width="12.28515625" style="1" customWidth="1"/>
    <col min="12" max="16384" width="9.140625" style="1"/>
  </cols>
  <sheetData>
    <row r="1" spans="1:11" x14ac:dyDescent="0.2">
      <c r="A1" s="16"/>
    </row>
    <row r="5" spans="1:11" x14ac:dyDescent="0.2">
      <c r="C5" s="17"/>
    </row>
    <row r="6" spans="1:11" ht="13.5" thickBot="1" x14ac:dyDescent="0.25"/>
    <row r="7" spans="1:11" ht="13.5" thickBot="1" x14ac:dyDescent="0.25">
      <c r="C7" s="3" t="s">
        <v>58</v>
      </c>
      <c r="D7" s="10">
        <v>5</v>
      </c>
      <c r="E7" s="10">
        <v>4</v>
      </c>
      <c r="F7" s="10">
        <v>3</v>
      </c>
      <c r="G7" s="49">
        <v>2</v>
      </c>
      <c r="I7" s="92" t="s">
        <v>145</v>
      </c>
      <c r="J7" s="9"/>
      <c r="K7" s="92" t="s">
        <v>144</v>
      </c>
    </row>
    <row r="8" spans="1:11" ht="15.75" x14ac:dyDescent="0.25">
      <c r="B8" s="94">
        <v>0</v>
      </c>
      <c r="C8" s="63" t="s">
        <v>127</v>
      </c>
      <c r="D8" s="72">
        <v>2500</v>
      </c>
      <c r="E8" s="72">
        <v>1000</v>
      </c>
      <c r="F8" s="72">
        <v>100</v>
      </c>
      <c r="G8" s="52">
        <v>10</v>
      </c>
      <c r="I8" s="80" t="s">
        <v>130</v>
      </c>
      <c r="J8" s="72"/>
      <c r="K8" s="80" t="s">
        <v>143</v>
      </c>
    </row>
    <row r="9" spans="1:11" ht="15.75" x14ac:dyDescent="0.25">
      <c r="B9" s="94">
        <v>1</v>
      </c>
      <c r="C9" s="56" t="s">
        <v>131</v>
      </c>
      <c r="D9" s="72">
        <v>2500</v>
      </c>
      <c r="E9" s="72">
        <v>1000</v>
      </c>
      <c r="F9" s="72">
        <v>100</v>
      </c>
      <c r="G9" s="50">
        <v>10</v>
      </c>
      <c r="I9" s="80" t="s">
        <v>143</v>
      </c>
      <c r="J9" s="72"/>
      <c r="K9" s="80"/>
    </row>
    <row r="10" spans="1:11" ht="15.75" x14ac:dyDescent="0.25">
      <c r="B10" s="94">
        <v>2</v>
      </c>
      <c r="C10" s="56" t="s">
        <v>10</v>
      </c>
      <c r="D10" s="72">
        <v>750</v>
      </c>
      <c r="E10" s="72">
        <v>200</v>
      </c>
      <c r="F10" s="72">
        <v>50</v>
      </c>
      <c r="G10" s="50">
        <v>5</v>
      </c>
      <c r="I10" s="131" t="s">
        <v>156</v>
      </c>
      <c r="K10" s="90"/>
    </row>
    <row r="11" spans="1:11" ht="15.75" x14ac:dyDescent="0.25">
      <c r="B11" s="94">
        <v>3</v>
      </c>
      <c r="C11" s="56" t="s">
        <v>11</v>
      </c>
      <c r="D11" s="72">
        <v>500</v>
      </c>
      <c r="E11" s="72">
        <v>100</v>
      </c>
      <c r="F11" s="72">
        <v>30</v>
      </c>
      <c r="G11" s="50">
        <v>5</v>
      </c>
      <c r="I11" s="90"/>
      <c r="K11" s="90"/>
    </row>
    <row r="12" spans="1:11" ht="15.75" x14ac:dyDescent="0.25">
      <c r="B12" s="94">
        <v>4</v>
      </c>
      <c r="C12" s="56" t="s">
        <v>129</v>
      </c>
      <c r="D12" s="72">
        <v>250</v>
      </c>
      <c r="E12" s="72">
        <v>50</v>
      </c>
      <c r="F12" s="72">
        <v>20</v>
      </c>
      <c r="G12" s="50">
        <v>5</v>
      </c>
      <c r="I12" s="90"/>
      <c r="K12" s="90"/>
    </row>
    <row r="13" spans="1:11" ht="15.75" x14ac:dyDescent="0.25">
      <c r="B13" s="94">
        <v>5</v>
      </c>
      <c r="C13" s="56" t="s">
        <v>12</v>
      </c>
      <c r="D13" s="72">
        <v>100</v>
      </c>
      <c r="E13" s="72">
        <v>25</v>
      </c>
      <c r="F13" s="72">
        <v>10</v>
      </c>
      <c r="G13" s="50">
        <v>0</v>
      </c>
      <c r="I13" s="90"/>
      <c r="K13" s="90"/>
    </row>
    <row r="14" spans="1:11" ht="15.75" x14ac:dyDescent="0.25">
      <c r="B14" s="94">
        <v>6</v>
      </c>
      <c r="C14" s="56" t="s">
        <v>13</v>
      </c>
      <c r="D14" s="72">
        <v>75</v>
      </c>
      <c r="E14" s="72">
        <v>20</v>
      </c>
      <c r="F14" s="72">
        <v>10</v>
      </c>
      <c r="G14" s="50">
        <v>0</v>
      </c>
      <c r="I14" s="90"/>
      <c r="K14" s="90"/>
    </row>
    <row r="15" spans="1:11" ht="15.75" x14ac:dyDescent="0.25">
      <c r="B15" s="94">
        <v>7</v>
      </c>
      <c r="C15" s="56" t="s">
        <v>14</v>
      </c>
      <c r="D15" s="72">
        <v>75</v>
      </c>
      <c r="E15" s="72">
        <v>20</v>
      </c>
      <c r="F15" s="72">
        <v>10</v>
      </c>
      <c r="G15" s="50">
        <v>0</v>
      </c>
      <c r="I15" s="90"/>
      <c r="K15" s="90"/>
    </row>
    <row r="16" spans="1:11" ht="15.75" x14ac:dyDescent="0.25">
      <c r="B16" s="94">
        <v>8</v>
      </c>
      <c r="C16" s="56" t="s">
        <v>15</v>
      </c>
      <c r="D16" s="72">
        <v>50</v>
      </c>
      <c r="E16" s="72">
        <v>15</v>
      </c>
      <c r="F16" s="72">
        <v>10</v>
      </c>
      <c r="G16" s="50">
        <v>0</v>
      </c>
      <c r="I16" s="90"/>
      <c r="K16" s="90"/>
    </row>
    <row r="17" spans="2:11" ht="15.75" x14ac:dyDescent="0.25">
      <c r="B17" s="94">
        <v>9</v>
      </c>
      <c r="C17" s="56" t="s">
        <v>16</v>
      </c>
      <c r="D17" s="72">
        <v>50</v>
      </c>
      <c r="E17" s="72">
        <v>15</v>
      </c>
      <c r="F17" s="72">
        <v>10</v>
      </c>
      <c r="G17" s="50">
        <v>0</v>
      </c>
      <c r="I17" s="90"/>
      <c r="K17" s="90"/>
    </row>
    <row r="18" spans="2:11" ht="13.5" thickBot="1" x14ac:dyDescent="0.25">
      <c r="C18" s="61"/>
      <c r="D18" s="15"/>
      <c r="E18" s="15"/>
      <c r="F18" s="15"/>
      <c r="G18" s="53"/>
      <c r="I18" s="91"/>
      <c r="K18" s="91"/>
    </row>
    <row r="19" spans="2:11" x14ac:dyDescent="0.2">
      <c r="C19" s="17"/>
      <c r="D19" s="9"/>
      <c r="E19" s="9"/>
      <c r="F19" s="9"/>
      <c r="G19" s="9"/>
    </row>
    <row r="20" spans="2:11" ht="15.75" x14ac:dyDescent="0.2">
      <c r="D20" s="13"/>
      <c r="E20" s="13"/>
      <c r="F20" s="13"/>
    </row>
    <row r="21" spans="2:11" ht="15.75" x14ac:dyDescent="0.2">
      <c r="D21" s="13"/>
      <c r="E21" s="13"/>
      <c r="F21" s="13"/>
    </row>
    <row r="22" spans="2:11" ht="15.75" x14ac:dyDescent="0.2">
      <c r="D22" s="13"/>
      <c r="E22" s="13"/>
      <c r="F22" s="13"/>
    </row>
    <row r="23" spans="2:11" ht="15.75" x14ac:dyDescent="0.2">
      <c r="D23" s="13"/>
      <c r="E23" s="13"/>
      <c r="F23" s="13"/>
    </row>
    <row r="24" spans="2:11" ht="15.75" x14ac:dyDescent="0.2">
      <c r="D24" s="13"/>
      <c r="E24" s="13"/>
      <c r="F24" s="13"/>
    </row>
    <row r="25" spans="2:11" ht="15.75" x14ac:dyDescent="0.2">
      <c r="D25" s="13"/>
      <c r="E25" s="13"/>
      <c r="F25" s="13"/>
    </row>
    <row r="26" spans="2:11" ht="15.75" x14ac:dyDescent="0.2">
      <c r="D26" s="13"/>
      <c r="E26" s="13"/>
      <c r="F26" s="13"/>
    </row>
    <row r="27" spans="2:11" ht="15.75" x14ac:dyDescent="0.2">
      <c r="D27" s="13"/>
      <c r="E27" s="13"/>
      <c r="F27" s="13"/>
    </row>
    <row r="28" spans="2:11" ht="15.75" x14ac:dyDescent="0.2">
      <c r="D28" s="13"/>
      <c r="E28" s="13"/>
      <c r="F28" s="13"/>
    </row>
    <row r="29" spans="2:11" ht="15.75" x14ac:dyDescent="0.2">
      <c r="D29" s="13"/>
      <c r="E29" s="13"/>
      <c r="F29" s="13"/>
    </row>
    <row r="30" spans="2:11" ht="14.25" x14ac:dyDescent="0.2">
      <c r="J30" s="18"/>
      <c r="K30" s="19"/>
    </row>
    <row r="31" spans="2:11" ht="14.25" x14ac:dyDescent="0.2">
      <c r="J31" s="18"/>
      <c r="K31" s="19"/>
    </row>
    <row r="32" spans="2:11" ht="14.25" x14ac:dyDescent="0.2">
      <c r="J32" s="18"/>
      <c r="K32" s="19"/>
    </row>
    <row r="33" spans="10:11" ht="14.25" x14ac:dyDescent="0.2">
      <c r="J33" s="18"/>
      <c r="K33" s="19"/>
    </row>
    <row r="34" spans="10:11" ht="14.25" x14ac:dyDescent="0.2">
      <c r="J34" s="18"/>
      <c r="K34" s="18"/>
    </row>
    <row r="35" spans="10:11" ht="14.25" x14ac:dyDescent="0.2">
      <c r="J35" s="18"/>
      <c r="K35" s="19"/>
    </row>
    <row r="36" spans="10:11" ht="14.25" x14ac:dyDescent="0.2">
      <c r="J36" s="18"/>
      <c r="K36" s="19"/>
    </row>
    <row r="37" spans="10:11" ht="14.25" x14ac:dyDescent="0.2">
      <c r="J37" s="18"/>
      <c r="K37" s="19"/>
    </row>
    <row r="38" spans="10:11" ht="14.25" x14ac:dyDescent="0.2">
      <c r="J38" s="18"/>
      <c r="K38" s="18"/>
    </row>
    <row r="39" spans="10:11" ht="14.25" x14ac:dyDescent="0.2">
      <c r="J39" s="18"/>
      <c r="K39" s="19"/>
    </row>
    <row r="40" spans="10:11" ht="14.25" x14ac:dyDescent="0.2">
      <c r="J40" s="18"/>
      <c r="K40" s="19"/>
    </row>
    <row r="41" spans="10:11" ht="14.25" x14ac:dyDescent="0.2">
      <c r="J41" s="18"/>
      <c r="K41" s="19"/>
    </row>
    <row r="42" spans="10:11" ht="14.25" x14ac:dyDescent="0.2">
      <c r="J42" s="18"/>
      <c r="K42" s="18"/>
    </row>
    <row r="43" spans="10:11" ht="14.25" x14ac:dyDescent="0.2">
      <c r="J43" s="18"/>
      <c r="K43" s="19"/>
    </row>
    <row r="44" spans="10:11" ht="14.25" x14ac:dyDescent="0.2">
      <c r="J44" s="18"/>
      <c r="K44" s="19"/>
    </row>
    <row r="45" spans="10:11" ht="14.25" x14ac:dyDescent="0.2">
      <c r="J45" s="18"/>
      <c r="K45" s="19"/>
    </row>
    <row r="46" spans="10:11" ht="14.25" x14ac:dyDescent="0.2">
      <c r="J46" s="18"/>
      <c r="K46" s="18"/>
    </row>
    <row r="47" spans="10:11" ht="14.25" x14ac:dyDescent="0.2">
      <c r="J47" s="18"/>
      <c r="K47" s="19"/>
    </row>
    <row r="48" spans="10:11" ht="14.25" x14ac:dyDescent="0.2">
      <c r="J48" s="18"/>
      <c r="K48" s="19"/>
    </row>
    <row r="49" spans="10:11" ht="14.25" x14ac:dyDescent="0.2">
      <c r="J49" s="18"/>
      <c r="K49" s="19"/>
    </row>
    <row r="50" spans="10:11" ht="14.25" x14ac:dyDescent="0.2">
      <c r="J50" s="18"/>
      <c r="K50" s="18"/>
    </row>
    <row r="51" spans="10:11" ht="14.25" x14ac:dyDescent="0.2">
      <c r="J51" s="18"/>
      <c r="K51" s="19"/>
    </row>
    <row r="52" spans="10:11" ht="14.25" x14ac:dyDescent="0.2">
      <c r="J52" s="18"/>
      <c r="K52" s="19"/>
    </row>
    <row r="53" spans="10:11" ht="14.25" x14ac:dyDescent="0.2">
      <c r="J53" s="18"/>
      <c r="K53" s="19"/>
    </row>
  </sheetData>
  <conditionalFormatting sqref="C8:C18">
    <cfRule type="containsText" dxfId="31" priority="43" operator="containsText" text="mid">
      <formula>NOT(ISERROR(SEARCH("mid",C8)))</formula>
    </cfRule>
    <cfRule type="containsText" dxfId="30" priority="44" operator="containsText" text="act_2">
      <formula>NOT(ISERROR(SEARCH("act_2",C8)))</formula>
    </cfRule>
    <cfRule type="containsText" dxfId="29" priority="45" operator="containsText" text="act_1">
      <formula>NOT(ISERROR(SEARCH("act_1",C8)))</formula>
    </cfRule>
    <cfRule type="containsText" dxfId="28" priority="46" operator="containsText" text="low">
      <formula>NOT(ISERROR(SEARCH("low",C8)))</formula>
    </cfRule>
    <cfRule type="containsText" dxfId="27" priority="47" operator="containsText" text="hig">
      <formula>NOT(ISERROR(SEARCH("hig",C8)))</formula>
    </cfRule>
    <cfRule type="containsText" dxfId="26" priority="48" operator="containsText" text="top">
      <formula>NOT(ISERROR(SEARCH("top",C8)))</formula>
    </cfRule>
    <cfRule type="containsText" dxfId="25" priority="49" operator="containsText" text="coin">
      <formula>NOT(ISERROR(SEARCH("coin",C8)))</formula>
    </cfRule>
  </conditionalFormatting>
  <conditionalFormatting sqref="I8:I9">
    <cfRule type="containsText" dxfId="24" priority="8" operator="containsText" text="mid">
      <formula>NOT(ISERROR(SEARCH("mid",I8)))</formula>
    </cfRule>
    <cfRule type="containsText" dxfId="23" priority="9" operator="containsText" text="act_2">
      <formula>NOT(ISERROR(SEARCH("act_2",I8)))</formula>
    </cfRule>
    <cfRule type="containsText" dxfId="22" priority="10" operator="containsText" text="act_1">
      <formula>NOT(ISERROR(SEARCH("act_1",I8)))</formula>
    </cfRule>
    <cfRule type="containsText" dxfId="21" priority="11" operator="containsText" text="low">
      <formula>NOT(ISERROR(SEARCH("low",I8)))</formula>
    </cfRule>
    <cfRule type="containsText" dxfId="20" priority="12" operator="containsText" text="hig">
      <formula>NOT(ISERROR(SEARCH("hig",I8)))</formula>
    </cfRule>
    <cfRule type="containsText" dxfId="19" priority="13" operator="containsText" text="top">
      <formula>NOT(ISERROR(SEARCH("top",I8)))</formula>
    </cfRule>
    <cfRule type="containsText" dxfId="18" priority="14" operator="containsText" text="coin">
      <formula>NOT(ISERROR(SEARCH("coin",I8)))</formula>
    </cfRule>
  </conditionalFormatting>
  <conditionalFormatting sqref="K8:K9">
    <cfRule type="containsText" dxfId="17" priority="1" operator="containsText" text="mid">
      <formula>NOT(ISERROR(SEARCH("mid",K8)))</formula>
    </cfRule>
    <cfRule type="containsText" dxfId="16" priority="2" operator="containsText" text="act_2">
      <formula>NOT(ISERROR(SEARCH("act_2",K8)))</formula>
    </cfRule>
    <cfRule type="containsText" dxfId="15" priority="3" operator="containsText" text="act_1">
      <formula>NOT(ISERROR(SEARCH("act_1",K8)))</formula>
    </cfRule>
    <cfRule type="containsText" dxfId="14" priority="4" operator="containsText" text="low">
      <formula>NOT(ISERROR(SEARCH("low",K8)))</formula>
    </cfRule>
    <cfRule type="containsText" dxfId="13" priority="5" operator="containsText" text="hig">
      <formula>NOT(ISERROR(SEARCH("hig",K8)))</formula>
    </cfRule>
    <cfRule type="containsText" dxfId="12" priority="6" operator="containsText" text="top">
      <formula>NOT(ISERROR(SEARCH("top",K8)))</formula>
    </cfRule>
    <cfRule type="containsText" dxfId="11" priority="7" operator="containsText" text="coin">
      <formula>NOT(ISERROR(SEARCH("coin",K8)))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06C9-1E33-4157-A626-0EDC375CB3BC}">
  <sheetPr codeName="Sheet2">
    <tabColor rgb="FF92D050"/>
  </sheetPr>
  <dimension ref="B2:S26"/>
  <sheetViews>
    <sheetView workbookViewId="0">
      <selection activeCell="M18" sqref="M18"/>
    </sheetView>
  </sheetViews>
  <sheetFormatPr defaultColWidth="7.85546875" defaultRowHeight="15" x14ac:dyDescent="0.25"/>
  <cols>
    <col min="1" max="1" width="7.85546875" style="73"/>
    <col min="2" max="2" width="22" style="73" bestFit="1" customWidth="1"/>
    <col min="3" max="3" width="7.85546875" style="73"/>
    <col min="4" max="4" width="10.85546875" style="73" bestFit="1" customWidth="1"/>
    <col min="5" max="5" width="11.85546875" style="73" bestFit="1" customWidth="1"/>
    <col min="6" max="6" width="11.85546875" style="73" customWidth="1"/>
    <col min="7" max="7" width="7.85546875" style="73"/>
    <col min="8" max="8" width="2.7109375" style="73" bestFit="1" customWidth="1"/>
    <col min="9" max="9" width="12" style="73" bestFit="1" customWidth="1"/>
    <col min="10" max="10" width="7.85546875" style="73"/>
    <col min="11" max="11" width="16.5703125" style="73" bestFit="1" customWidth="1"/>
    <col min="12" max="12" width="9" style="73" bestFit="1" customWidth="1"/>
    <col min="13" max="13" width="15.42578125" style="73" bestFit="1" customWidth="1"/>
    <col min="14" max="14" width="18.42578125" style="73" bestFit="1" customWidth="1"/>
    <col min="15" max="15" width="4.28515625" style="73" customWidth="1"/>
    <col min="16" max="16" width="18.42578125" style="73" customWidth="1"/>
    <col min="17" max="17" width="9" style="73" bestFit="1" customWidth="1"/>
    <col min="18" max="18" width="15.42578125" style="73" bestFit="1" customWidth="1"/>
    <col min="19" max="19" width="18.42578125" style="73" customWidth="1"/>
    <col min="20" max="16384" width="7.85546875" style="73"/>
  </cols>
  <sheetData>
    <row r="2" spans="2:19" x14ac:dyDescent="0.25">
      <c r="K2" s="73" t="s">
        <v>132</v>
      </c>
      <c r="P2" s="73" t="s">
        <v>140</v>
      </c>
    </row>
    <row r="3" spans="2:19" ht="15.75" thickBot="1" x14ac:dyDescent="0.3"/>
    <row r="4" spans="2:19" ht="15.75" thickBot="1" x14ac:dyDescent="0.25">
      <c r="B4" s="76" t="s">
        <v>135</v>
      </c>
      <c r="D4" s="82" t="s">
        <v>2</v>
      </c>
      <c r="E4" s="82" t="s">
        <v>3</v>
      </c>
      <c r="F4" s="82" t="s">
        <v>149</v>
      </c>
      <c r="H4" s="78"/>
      <c r="I4" s="77" t="s">
        <v>136</v>
      </c>
      <c r="K4" s="74" t="s">
        <v>1</v>
      </c>
      <c r="L4" s="87" t="s">
        <v>128</v>
      </c>
      <c r="M4" s="74" t="s">
        <v>133</v>
      </c>
      <c r="N4" s="75" t="s">
        <v>134</v>
      </c>
      <c r="P4" s="74" t="s">
        <v>1</v>
      </c>
      <c r="Q4" s="87" t="s">
        <v>128</v>
      </c>
      <c r="R4" s="74" t="s">
        <v>133</v>
      </c>
      <c r="S4" s="75" t="s">
        <v>134</v>
      </c>
    </row>
    <row r="5" spans="2:19" ht="15.75" thickBot="1" x14ac:dyDescent="0.25">
      <c r="B5" s="106">
        <v>0</v>
      </c>
      <c r="D5" s="95">
        <v>80</v>
      </c>
      <c r="E5" s="95">
        <v>1</v>
      </c>
      <c r="F5" s="95">
        <v>0</v>
      </c>
      <c r="H5" s="77">
        <v>0</v>
      </c>
      <c r="I5" s="79" t="s">
        <v>131</v>
      </c>
      <c r="K5" s="85" t="s">
        <v>146</v>
      </c>
      <c r="L5" s="85">
        <v>1</v>
      </c>
      <c r="M5" s="85" t="s">
        <v>147</v>
      </c>
      <c r="N5" s="83" t="s">
        <v>148</v>
      </c>
      <c r="P5" s="85" t="s">
        <v>146</v>
      </c>
      <c r="Q5" s="85">
        <v>1</v>
      </c>
      <c r="R5" s="85" t="s">
        <v>147</v>
      </c>
      <c r="S5" s="83" t="s">
        <v>148</v>
      </c>
    </row>
    <row r="6" spans="2:19" ht="15.75" thickBot="1" x14ac:dyDescent="0.25">
      <c r="B6" s="106">
        <v>0.5</v>
      </c>
      <c r="D6" s="85">
        <v>80</v>
      </c>
      <c r="E6" s="85">
        <v>2</v>
      </c>
      <c r="F6" s="85">
        <v>0</v>
      </c>
      <c r="H6" s="77">
        <v>1</v>
      </c>
      <c r="I6" s="80" t="s">
        <v>10</v>
      </c>
      <c r="K6" s="85"/>
      <c r="L6" s="85"/>
      <c r="M6" s="85"/>
      <c r="N6" s="83"/>
      <c r="P6" s="85"/>
      <c r="Q6" s="85"/>
      <c r="R6" s="85"/>
      <c r="S6" s="83"/>
    </row>
    <row r="7" spans="2:19" ht="15.75" thickBot="1" x14ac:dyDescent="0.25">
      <c r="B7" s="106">
        <v>1</v>
      </c>
      <c r="D7" s="85">
        <v>80</v>
      </c>
      <c r="E7" s="85">
        <v>3</v>
      </c>
      <c r="F7" s="85">
        <v>0</v>
      </c>
      <c r="H7" s="77">
        <v>2</v>
      </c>
      <c r="I7" s="80" t="s">
        <v>11</v>
      </c>
      <c r="K7" s="85"/>
      <c r="L7" s="85"/>
      <c r="M7" s="85"/>
      <c r="N7" s="83"/>
      <c r="P7" s="85"/>
      <c r="Q7" s="85"/>
      <c r="R7" s="85"/>
      <c r="S7" s="83"/>
    </row>
    <row r="8" spans="2:19" ht="15.75" thickBot="1" x14ac:dyDescent="0.25">
      <c r="B8" s="106">
        <v>2</v>
      </c>
      <c r="D8" s="85">
        <v>80</v>
      </c>
      <c r="E8" s="85">
        <v>4</v>
      </c>
      <c r="F8" s="85">
        <v>0</v>
      </c>
      <c r="H8" s="77">
        <v>3</v>
      </c>
      <c r="I8" s="80" t="s">
        <v>129</v>
      </c>
      <c r="K8" s="85"/>
      <c r="L8" s="85"/>
      <c r="M8" s="85"/>
      <c r="N8" s="83"/>
      <c r="P8" s="85"/>
      <c r="Q8" s="85"/>
      <c r="R8" s="85"/>
      <c r="S8" s="83"/>
    </row>
    <row r="9" spans="2:19" ht="15.75" thickBot="1" x14ac:dyDescent="0.25">
      <c r="B9" s="106">
        <v>3</v>
      </c>
      <c r="D9" s="73">
        <v>80</v>
      </c>
      <c r="E9" s="73">
        <v>5</v>
      </c>
      <c r="F9" s="73">
        <v>0</v>
      </c>
      <c r="H9" s="77">
        <v>4</v>
      </c>
      <c r="I9" s="80" t="s">
        <v>12</v>
      </c>
      <c r="K9" s="85"/>
      <c r="L9" s="85"/>
      <c r="M9" s="85"/>
      <c r="N9" s="83"/>
      <c r="P9" s="85"/>
      <c r="Q9" s="85"/>
      <c r="R9" s="85"/>
      <c r="S9" s="83"/>
    </row>
    <row r="10" spans="2:19" ht="15.75" thickBot="1" x14ac:dyDescent="0.25">
      <c r="B10" s="106">
        <v>5</v>
      </c>
      <c r="H10" s="77">
        <v>5</v>
      </c>
      <c r="I10" s="80" t="s">
        <v>13</v>
      </c>
      <c r="K10" s="86"/>
      <c r="L10" s="86"/>
      <c r="M10" s="86"/>
      <c r="N10" s="84"/>
      <c r="P10" s="86"/>
      <c r="Q10" s="86"/>
      <c r="R10" s="86"/>
      <c r="S10" s="84"/>
    </row>
    <row r="11" spans="2:19" ht="15.75" thickBot="1" x14ac:dyDescent="0.25">
      <c r="B11" s="106">
        <v>10</v>
      </c>
      <c r="H11" s="77">
        <v>6</v>
      </c>
      <c r="I11" s="80" t="s">
        <v>14</v>
      </c>
    </row>
    <row r="12" spans="2:19" ht="15.75" thickBot="1" x14ac:dyDescent="0.25">
      <c r="B12" s="106">
        <v>15</v>
      </c>
      <c r="H12" s="77">
        <v>7</v>
      </c>
      <c r="I12" s="80" t="s">
        <v>15</v>
      </c>
    </row>
    <row r="13" spans="2:19" ht="15.75" thickBot="1" x14ac:dyDescent="0.25">
      <c r="B13" s="106">
        <v>20</v>
      </c>
      <c r="H13" s="77">
        <v>8</v>
      </c>
      <c r="I13" s="80" t="s">
        <v>16</v>
      </c>
    </row>
    <row r="14" spans="2:19" ht="15.75" thickBot="1" x14ac:dyDescent="0.25">
      <c r="B14" s="106">
        <v>25</v>
      </c>
      <c r="H14" s="77">
        <v>9</v>
      </c>
      <c r="I14" s="80" t="s">
        <v>127</v>
      </c>
    </row>
    <row r="15" spans="2:19" ht="15.75" thickBot="1" x14ac:dyDescent="0.25">
      <c r="B15" s="106">
        <v>30</v>
      </c>
      <c r="H15" s="77">
        <v>10</v>
      </c>
      <c r="I15" s="80" t="s">
        <v>130</v>
      </c>
    </row>
    <row r="16" spans="2:19" ht="15.75" thickBot="1" x14ac:dyDescent="0.25">
      <c r="B16" s="106">
        <v>35</v>
      </c>
      <c r="H16" s="77">
        <v>11</v>
      </c>
      <c r="I16" s="80" t="s">
        <v>137</v>
      </c>
    </row>
    <row r="17" spans="2:9" ht="15.75" thickBot="1" x14ac:dyDescent="0.25">
      <c r="B17" s="106">
        <v>40</v>
      </c>
      <c r="H17" s="77">
        <v>12</v>
      </c>
      <c r="I17" s="80" t="s">
        <v>156</v>
      </c>
    </row>
    <row r="18" spans="2:9" ht="15.75" thickBot="1" x14ac:dyDescent="0.25">
      <c r="B18" s="106">
        <v>50</v>
      </c>
      <c r="D18" s="73" t="s">
        <v>139</v>
      </c>
      <c r="H18" s="77">
        <v>13</v>
      </c>
      <c r="I18" s="80"/>
    </row>
    <row r="19" spans="2:9" ht="15.75" thickBot="1" x14ac:dyDescent="0.25">
      <c r="B19" s="106">
        <v>75</v>
      </c>
      <c r="D19" s="73" t="s">
        <v>139</v>
      </c>
      <c r="H19" s="77">
        <v>14</v>
      </c>
      <c r="I19" s="80"/>
    </row>
    <row r="20" spans="2:9" ht="15.75" thickBot="1" x14ac:dyDescent="0.25">
      <c r="B20" s="106">
        <v>100</v>
      </c>
      <c r="D20" s="73" t="s">
        <v>139</v>
      </c>
      <c r="H20" s="77">
        <v>15</v>
      </c>
      <c r="I20" s="80"/>
    </row>
    <row r="21" spans="2:9" ht="15.75" thickBot="1" x14ac:dyDescent="0.25">
      <c r="B21" s="106">
        <v>150</v>
      </c>
      <c r="D21" s="73" t="s">
        <v>139</v>
      </c>
      <c r="H21" s="77">
        <v>16</v>
      </c>
      <c r="I21" s="80"/>
    </row>
    <row r="22" spans="2:9" ht="15.75" thickBot="1" x14ac:dyDescent="0.25">
      <c r="B22" s="106">
        <v>200</v>
      </c>
      <c r="D22" s="73" t="s">
        <v>139</v>
      </c>
      <c r="H22" s="77">
        <v>17</v>
      </c>
      <c r="I22" s="81"/>
    </row>
    <row r="23" spans="2:9" ht="15.75" thickBot="1" x14ac:dyDescent="0.3">
      <c r="B23" s="106">
        <v>250</v>
      </c>
      <c r="D23" s="73" t="s">
        <v>139</v>
      </c>
    </row>
    <row r="24" spans="2:9" ht="15.75" thickBot="1" x14ac:dyDescent="0.3">
      <c r="B24" s="106">
        <v>500</v>
      </c>
      <c r="D24" s="73" t="s">
        <v>139</v>
      </c>
    </row>
    <row r="25" spans="2:9" ht="15.75" thickBot="1" x14ac:dyDescent="0.3">
      <c r="B25" s="76">
        <v>750</v>
      </c>
      <c r="D25" s="73" t="s">
        <v>139</v>
      </c>
    </row>
    <row r="26" spans="2:9" ht="15.75" thickBot="1" x14ac:dyDescent="0.3">
      <c r="B26" s="76">
        <v>1000</v>
      </c>
    </row>
  </sheetData>
  <conditionalFormatting sqref="I5:I22">
    <cfRule type="containsText" dxfId="10" priority="1" operator="containsText" text="mid">
      <formula>NOT(ISERROR(SEARCH("mid",I5)))</formula>
    </cfRule>
    <cfRule type="containsText" dxfId="9" priority="2" operator="containsText" text="act_2">
      <formula>NOT(ISERROR(SEARCH("act_2",I5)))</formula>
    </cfRule>
    <cfRule type="containsText" dxfId="8" priority="3" operator="containsText" text="act_1">
      <formula>NOT(ISERROR(SEARCH("act_1",I5)))</formula>
    </cfRule>
    <cfRule type="containsText" dxfId="7" priority="4" operator="containsText" text="low">
      <formula>NOT(ISERROR(SEARCH("low",I5)))</formula>
    </cfRule>
    <cfRule type="containsText" dxfId="6" priority="5" operator="containsText" text="hig">
      <formula>NOT(ISERROR(SEARCH("hig",I5)))</formula>
    </cfRule>
    <cfRule type="containsText" dxfId="5" priority="6" operator="containsText" text="top">
      <formula>NOT(ISERROR(SEARCH("top",I5)))</formula>
    </cfRule>
    <cfRule type="containsText" dxfId="4" priority="7" operator="containsText" text="coin">
      <formula>NOT(ISERROR(SEARCH("coin",I5)))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73CA-E558-4469-A7E4-B539BE8EDE1B}">
  <sheetPr>
    <tabColor rgb="FFFF0000"/>
  </sheetPr>
  <dimension ref="A1:M61"/>
  <sheetViews>
    <sheetView zoomScale="70" zoomScaleNormal="70" workbookViewId="0">
      <selection activeCell="G46" sqref="G46"/>
    </sheetView>
  </sheetViews>
  <sheetFormatPr defaultColWidth="13.85546875" defaultRowHeight="15" x14ac:dyDescent="0.25"/>
  <cols>
    <col min="1" max="16384" width="13.85546875" style="73"/>
  </cols>
  <sheetData>
    <row r="1" spans="1:13" x14ac:dyDescent="0.25">
      <c r="A1" s="73" t="e">
        <f>#REF!</f>
        <v>#REF!</v>
      </c>
    </row>
    <row r="2" spans="1:13" x14ac:dyDescent="0.25">
      <c r="C2" s="73" t="s">
        <v>60</v>
      </c>
    </row>
    <row r="4" spans="1:13" x14ac:dyDescent="0.25">
      <c r="A4" s="73" t="s">
        <v>0</v>
      </c>
      <c r="B4" s="73" t="s">
        <v>61</v>
      </c>
      <c r="C4" s="73" t="s">
        <v>62</v>
      </c>
      <c r="D4" s="73" t="s">
        <v>63</v>
      </c>
      <c r="E4" s="73" t="s">
        <v>64</v>
      </c>
      <c r="F4" s="73" t="s">
        <v>65</v>
      </c>
      <c r="I4" s="73" t="s">
        <v>61</v>
      </c>
      <c r="J4" s="73" t="s">
        <v>62</v>
      </c>
      <c r="K4" s="73" t="s">
        <v>63</v>
      </c>
      <c r="L4" s="73" t="s">
        <v>64</v>
      </c>
      <c r="M4" s="73" t="s">
        <v>65</v>
      </c>
    </row>
    <row r="5" spans="1:13" x14ac:dyDescent="0.25">
      <c r="A5" s="73">
        <v>1</v>
      </c>
      <c r="B5" s="73" t="s">
        <v>131</v>
      </c>
      <c r="C5" s="73" t="s">
        <v>16</v>
      </c>
      <c r="D5" s="73" t="s">
        <v>131</v>
      </c>
      <c r="E5" s="73" t="s">
        <v>131</v>
      </c>
      <c r="F5" s="73" t="s">
        <v>131</v>
      </c>
      <c r="I5" s="96">
        <v>1</v>
      </c>
      <c r="J5" s="96">
        <v>1</v>
      </c>
      <c r="K5" s="96">
        <v>1</v>
      </c>
      <c r="L5" s="96">
        <v>1</v>
      </c>
      <c r="M5" s="96">
        <v>1</v>
      </c>
    </row>
    <row r="6" spans="1:13" x14ac:dyDescent="0.25">
      <c r="A6" s="73">
        <v>2</v>
      </c>
      <c r="B6" s="73" t="s">
        <v>10</v>
      </c>
      <c r="C6" s="73" t="s">
        <v>15</v>
      </c>
      <c r="D6" s="73" t="s">
        <v>10</v>
      </c>
      <c r="E6" s="73" t="s">
        <v>10</v>
      </c>
      <c r="F6" s="73" t="s">
        <v>10</v>
      </c>
      <c r="I6" s="96">
        <v>1</v>
      </c>
      <c r="J6" s="96">
        <v>1</v>
      </c>
      <c r="K6" s="96">
        <v>1</v>
      </c>
      <c r="L6" s="96">
        <v>1</v>
      </c>
      <c r="M6" s="96">
        <v>1</v>
      </c>
    </row>
    <row r="7" spans="1:13" x14ac:dyDescent="0.25">
      <c r="A7" s="73">
        <v>3</v>
      </c>
      <c r="B7" s="73" t="s">
        <v>11</v>
      </c>
      <c r="C7" s="73" t="s">
        <v>137</v>
      </c>
      <c r="D7" s="73" t="s">
        <v>11</v>
      </c>
      <c r="E7" s="73" t="s">
        <v>16</v>
      </c>
      <c r="F7" s="73" t="s">
        <v>16</v>
      </c>
      <c r="I7" s="96">
        <v>1</v>
      </c>
      <c r="J7" s="96">
        <v>1</v>
      </c>
      <c r="K7" s="96">
        <v>1</v>
      </c>
      <c r="L7" s="96">
        <v>1</v>
      </c>
      <c r="M7" s="96">
        <v>1</v>
      </c>
    </row>
    <row r="8" spans="1:13" x14ac:dyDescent="0.25">
      <c r="A8" s="73">
        <v>4</v>
      </c>
      <c r="B8" s="73" t="s">
        <v>129</v>
      </c>
      <c r="C8" s="73" t="s">
        <v>137</v>
      </c>
      <c r="D8" s="73" t="s">
        <v>129</v>
      </c>
      <c r="E8" s="73" t="s">
        <v>15</v>
      </c>
      <c r="F8" s="73" t="s">
        <v>15</v>
      </c>
      <c r="I8" s="96">
        <v>1</v>
      </c>
      <c r="J8" s="96">
        <v>1</v>
      </c>
      <c r="K8" s="96">
        <v>1</v>
      </c>
      <c r="L8" s="96">
        <v>1</v>
      </c>
      <c r="M8" s="96">
        <v>1</v>
      </c>
    </row>
    <row r="9" spans="1:13" x14ac:dyDescent="0.25">
      <c r="A9" s="73">
        <v>5</v>
      </c>
      <c r="B9" s="73" t="s">
        <v>12</v>
      </c>
      <c r="C9" s="73" t="s">
        <v>12</v>
      </c>
      <c r="D9" s="73" t="s">
        <v>12</v>
      </c>
      <c r="E9" s="73" t="s">
        <v>137</v>
      </c>
      <c r="F9" s="73" t="s">
        <v>14</v>
      </c>
      <c r="I9" s="96">
        <v>1</v>
      </c>
      <c r="J9" s="96">
        <v>1</v>
      </c>
      <c r="K9" s="96">
        <v>1</v>
      </c>
      <c r="L9" s="96">
        <v>1</v>
      </c>
      <c r="M9" s="96">
        <v>1</v>
      </c>
    </row>
    <row r="10" spans="1:13" x14ac:dyDescent="0.25">
      <c r="A10" s="73">
        <v>6</v>
      </c>
      <c r="B10" s="73" t="s">
        <v>13</v>
      </c>
      <c r="C10" s="73" t="s">
        <v>129</v>
      </c>
      <c r="D10" s="73" t="s">
        <v>13</v>
      </c>
      <c r="E10" s="73" t="s">
        <v>137</v>
      </c>
      <c r="F10" s="73" t="s">
        <v>13</v>
      </c>
      <c r="I10" s="96">
        <v>1</v>
      </c>
      <c r="J10" s="96">
        <v>1</v>
      </c>
      <c r="K10" s="96">
        <v>1</v>
      </c>
      <c r="L10" s="96">
        <v>1</v>
      </c>
      <c r="M10" s="96">
        <v>1</v>
      </c>
    </row>
    <row r="11" spans="1:13" x14ac:dyDescent="0.25">
      <c r="A11" s="73">
        <v>7</v>
      </c>
      <c r="B11" s="73" t="s">
        <v>14</v>
      </c>
      <c r="C11" s="73" t="s">
        <v>11</v>
      </c>
      <c r="D11" s="73" t="s">
        <v>14</v>
      </c>
      <c r="E11" s="73" t="s">
        <v>12</v>
      </c>
      <c r="F11" s="73" t="s">
        <v>12</v>
      </c>
      <c r="I11" s="96">
        <v>1</v>
      </c>
      <c r="J11" s="96">
        <v>1</v>
      </c>
      <c r="K11" s="96">
        <v>1</v>
      </c>
      <c r="L11" s="96">
        <v>1</v>
      </c>
      <c r="M11" s="96">
        <v>1</v>
      </c>
    </row>
    <row r="12" spans="1:13" x14ac:dyDescent="0.25">
      <c r="A12" s="73">
        <v>8</v>
      </c>
      <c r="B12" s="73" t="s">
        <v>15</v>
      </c>
      <c r="C12" s="73" t="s">
        <v>10</v>
      </c>
      <c r="D12" s="73" t="s">
        <v>15</v>
      </c>
      <c r="E12" s="73" t="s">
        <v>129</v>
      </c>
      <c r="F12" s="73" t="s">
        <v>129</v>
      </c>
      <c r="I12" s="96">
        <v>1</v>
      </c>
      <c r="J12" s="96">
        <v>1</v>
      </c>
      <c r="K12" s="96">
        <v>1</v>
      </c>
      <c r="L12" s="96">
        <v>1</v>
      </c>
      <c r="M12" s="96">
        <v>1</v>
      </c>
    </row>
    <row r="13" spans="1:13" x14ac:dyDescent="0.25">
      <c r="A13" s="73">
        <v>9</v>
      </c>
      <c r="B13" s="73" t="s">
        <v>16</v>
      </c>
      <c r="C13" s="73" t="s">
        <v>131</v>
      </c>
      <c r="D13" s="73" t="s">
        <v>16</v>
      </c>
      <c r="E13" s="73" t="s">
        <v>11</v>
      </c>
      <c r="F13" s="73" t="s">
        <v>11</v>
      </c>
      <c r="I13" s="96">
        <v>1</v>
      </c>
      <c r="J13" s="96">
        <v>1</v>
      </c>
      <c r="K13" s="96">
        <v>1</v>
      </c>
      <c r="L13" s="96">
        <v>1</v>
      </c>
      <c r="M13" s="96">
        <v>1</v>
      </c>
    </row>
    <row r="14" spans="1:13" x14ac:dyDescent="0.25">
      <c r="A14" s="73">
        <v>10</v>
      </c>
      <c r="B14" s="73" t="s">
        <v>127</v>
      </c>
      <c r="C14" s="73" t="s">
        <v>16</v>
      </c>
      <c r="D14" s="73" t="s">
        <v>15</v>
      </c>
      <c r="E14" s="73" t="s">
        <v>10</v>
      </c>
      <c r="F14" s="73" t="s">
        <v>10</v>
      </c>
      <c r="I14" s="96">
        <v>1</v>
      </c>
      <c r="J14" s="96">
        <v>1</v>
      </c>
      <c r="K14" s="96">
        <v>1</v>
      </c>
      <c r="L14" s="96">
        <v>1</v>
      </c>
      <c r="M14" s="96">
        <v>1</v>
      </c>
    </row>
    <row r="15" spans="1:13" x14ac:dyDescent="0.25">
      <c r="A15" s="73">
        <v>11</v>
      </c>
      <c r="B15" s="73" t="s">
        <v>130</v>
      </c>
      <c r="C15" s="73" t="s">
        <v>15</v>
      </c>
      <c r="D15" s="73" t="s">
        <v>14</v>
      </c>
      <c r="E15" s="73" t="s">
        <v>131</v>
      </c>
      <c r="F15" s="73" t="s">
        <v>131</v>
      </c>
      <c r="I15" s="96">
        <v>1</v>
      </c>
      <c r="J15" s="96">
        <v>1</v>
      </c>
      <c r="K15" s="96">
        <v>1</v>
      </c>
      <c r="L15" s="96">
        <v>1</v>
      </c>
      <c r="M15" s="96">
        <v>1</v>
      </c>
    </row>
    <row r="16" spans="1:13" x14ac:dyDescent="0.25">
      <c r="A16" s="73">
        <v>12</v>
      </c>
      <c r="B16" s="73" t="s">
        <v>137</v>
      </c>
      <c r="C16" s="73" t="s">
        <v>137</v>
      </c>
      <c r="D16" s="73" t="s">
        <v>137</v>
      </c>
      <c r="E16" s="73" t="s">
        <v>137</v>
      </c>
      <c r="F16" s="73" t="s">
        <v>137</v>
      </c>
      <c r="I16" s="96">
        <v>1</v>
      </c>
      <c r="J16" s="96">
        <v>1</v>
      </c>
      <c r="K16" s="96">
        <v>1</v>
      </c>
      <c r="L16" s="96">
        <v>1</v>
      </c>
      <c r="M16" s="96">
        <v>1</v>
      </c>
    </row>
    <row r="17" spans="1:13" x14ac:dyDescent="0.25">
      <c r="A17" s="73">
        <v>13</v>
      </c>
      <c r="B17" s="73" t="s">
        <v>137</v>
      </c>
      <c r="C17" s="73" t="s">
        <v>137</v>
      </c>
      <c r="D17" s="73" t="s">
        <v>137</v>
      </c>
      <c r="E17" s="73" t="s">
        <v>137</v>
      </c>
      <c r="F17" s="73" t="s">
        <v>137</v>
      </c>
      <c r="I17" s="96">
        <v>1</v>
      </c>
      <c r="J17" s="96">
        <v>1</v>
      </c>
      <c r="K17" s="96">
        <v>1</v>
      </c>
      <c r="L17" s="96">
        <v>1</v>
      </c>
      <c r="M17" s="96">
        <v>1</v>
      </c>
    </row>
    <row r="18" spans="1:13" x14ac:dyDescent="0.25">
      <c r="A18" s="73">
        <v>14</v>
      </c>
      <c r="B18" s="73" t="s">
        <v>137</v>
      </c>
      <c r="C18" s="73" t="s">
        <v>137</v>
      </c>
      <c r="D18" s="73" t="s">
        <v>137</v>
      </c>
      <c r="E18" s="73" t="s">
        <v>137</v>
      </c>
      <c r="F18" s="73" t="s">
        <v>137</v>
      </c>
      <c r="I18" s="96">
        <v>1</v>
      </c>
      <c r="J18" s="96">
        <v>1</v>
      </c>
      <c r="K18" s="96">
        <v>1</v>
      </c>
      <c r="L18" s="96">
        <v>1</v>
      </c>
      <c r="M18" s="96">
        <v>1</v>
      </c>
    </row>
    <row r="19" spans="1:13" x14ac:dyDescent="0.25">
      <c r="A19" s="73">
        <v>15</v>
      </c>
      <c r="B19" s="73" t="s">
        <v>131</v>
      </c>
      <c r="C19" s="73" t="s">
        <v>129</v>
      </c>
      <c r="D19" s="73" t="s">
        <v>11</v>
      </c>
      <c r="E19" s="73" t="s">
        <v>131</v>
      </c>
      <c r="F19" s="73" t="s">
        <v>131</v>
      </c>
      <c r="I19" s="96">
        <v>1</v>
      </c>
      <c r="J19" s="96">
        <v>1</v>
      </c>
      <c r="K19" s="96">
        <v>1</v>
      </c>
      <c r="L19" s="96">
        <v>1</v>
      </c>
      <c r="M19" s="96">
        <v>1</v>
      </c>
    </row>
    <row r="20" spans="1:13" x14ac:dyDescent="0.25">
      <c r="A20" s="73">
        <v>16</v>
      </c>
      <c r="B20" s="73" t="s">
        <v>10</v>
      </c>
      <c r="C20" s="73" t="s">
        <v>11</v>
      </c>
      <c r="D20" s="73" t="s">
        <v>10</v>
      </c>
      <c r="E20" s="73" t="s">
        <v>10</v>
      </c>
      <c r="F20" s="73" t="s">
        <v>10</v>
      </c>
      <c r="I20" s="96">
        <v>1</v>
      </c>
      <c r="J20" s="96">
        <v>1</v>
      </c>
      <c r="K20" s="96">
        <v>1</v>
      </c>
      <c r="L20" s="96">
        <v>1</v>
      </c>
      <c r="M20" s="96">
        <v>1</v>
      </c>
    </row>
    <row r="21" spans="1:13" x14ac:dyDescent="0.25">
      <c r="A21" s="73">
        <v>17</v>
      </c>
      <c r="B21" s="73" t="s">
        <v>11</v>
      </c>
      <c r="C21" s="73" t="s">
        <v>10</v>
      </c>
      <c r="D21" s="73" t="s">
        <v>131</v>
      </c>
      <c r="E21" s="73" t="s">
        <v>11</v>
      </c>
      <c r="F21" s="73" t="s">
        <v>16</v>
      </c>
      <c r="I21" s="96">
        <v>1</v>
      </c>
      <c r="J21" s="96">
        <v>1</v>
      </c>
      <c r="K21" s="96">
        <v>1</v>
      </c>
      <c r="L21" s="96">
        <v>1</v>
      </c>
      <c r="M21" s="96">
        <v>1</v>
      </c>
    </row>
    <row r="22" spans="1:13" x14ac:dyDescent="0.25">
      <c r="A22" s="73">
        <v>18</v>
      </c>
      <c r="B22" s="73" t="s">
        <v>129</v>
      </c>
      <c r="C22" s="73" t="s">
        <v>131</v>
      </c>
      <c r="D22" s="73" t="s">
        <v>129</v>
      </c>
      <c r="E22" s="73" t="s">
        <v>129</v>
      </c>
      <c r="F22" s="73" t="s">
        <v>15</v>
      </c>
      <c r="I22" s="96">
        <v>1</v>
      </c>
      <c r="J22" s="96">
        <v>1</v>
      </c>
      <c r="K22" s="96">
        <v>1</v>
      </c>
      <c r="L22" s="96">
        <v>1</v>
      </c>
      <c r="M22" s="96">
        <v>1</v>
      </c>
    </row>
    <row r="23" spans="1:13" x14ac:dyDescent="0.25">
      <c r="A23" s="73">
        <v>19</v>
      </c>
      <c r="B23" s="73" t="s">
        <v>12</v>
      </c>
      <c r="C23" s="73" t="s">
        <v>16</v>
      </c>
      <c r="D23" s="73" t="s">
        <v>12</v>
      </c>
      <c r="E23" s="73" t="s">
        <v>12</v>
      </c>
      <c r="F23" s="73" t="s">
        <v>14</v>
      </c>
      <c r="I23" s="96">
        <v>1</v>
      </c>
      <c r="J23" s="96">
        <v>1</v>
      </c>
      <c r="K23" s="96">
        <v>1</v>
      </c>
      <c r="L23" s="96">
        <v>1</v>
      </c>
      <c r="M23" s="96">
        <v>1</v>
      </c>
    </row>
    <row r="24" spans="1:13" x14ac:dyDescent="0.25">
      <c r="A24" s="73">
        <v>20</v>
      </c>
      <c r="B24" s="73" t="s">
        <v>13</v>
      </c>
      <c r="C24" s="73" t="s">
        <v>15</v>
      </c>
      <c r="D24" s="73" t="s">
        <v>13</v>
      </c>
      <c r="E24" s="73" t="s">
        <v>13</v>
      </c>
      <c r="F24" s="73" t="s">
        <v>13</v>
      </c>
      <c r="I24" s="96">
        <v>1</v>
      </c>
      <c r="J24" s="96">
        <v>1</v>
      </c>
      <c r="K24" s="96">
        <v>1</v>
      </c>
      <c r="L24" s="96">
        <v>1</v>
      </c>
      <c r="M24" s="96">
        <v>1</v>
      </c>
    </row>
    <row r="25" spans="1:13" x14ac:dyDescent="0.25">
      <c r="A25" s="73">
        <v>21</v>
      </c>
      <c r="B25" s="132" t="s">
        <v>156</v>
      </c>
      <c r="C25" s="73" t="s">
        <v>14</v>
      </c>
      <c r="D25" s="132" t="s">
        <v>156</v>
      </c>
      <c r="E25" s="73" t="s">
        <v>14</v>
      </c>
      <c r="F25" s="132" t="s">
        <v>156</v>
      </c>
      <c r="I25" s="96">
        <v>1</v>
      </c>
      <c r="J25" s="96">
        <v>1</v>
      </c>
      <c r="K25" s="96">
        <v>1</v>
      </c>
      <c r="L25" s="96">
        <v>1</v>
      </c>
      <c r="M25" s="96">
        <v>1</v>
      </c>
    </row>
    <row r="26" spans="1:13" x14ac:dyDescent="0.25">
      <c r="A26" s="73">
        <v>22</v>
      </c>
      <c r="B26" s="73" t="s">
        <v>15</v>
      </c>
      <c r="C26" s="73" t="s">
        <v>13</v>
      </c>
      <c r="D26" s="73" t="s">
        <v>15</v>
      </c>
      <c r="E26" s="73" t="s">
        <v>16</v>
      </c>
      <c r="F26" s="73" t="s">
        <v>129</v>
      </c>
      <c r="I26" s="96">
        <v>1</v>
      </c>
      <c r="J26" s="96">
        <v>1</v>
      </c>
      <c r="K26" s="96">
        <v>1</v>
      </c>
      <c r="L26" s="96">
        <v>1</v>
      </c>
      <c r="M26" s="96">
        <v>1</v>
      </c>
    </row>
    <row r="27" spans="1:13" x14ac:dyDescent="0.25">
      <c r="A27" s="73">
        <v>23</v>
      </c>
      <c r="B27" s="73" t="s">
        <v>16</v>
      </c>
      <c r="C27" s="73" t="s">
        <v>12</v>
      </c>
      <c r="D27" s="73" t="s">
        <v>16</v>
      </c>
      <c r="E27" s="73" t="s">
        <v>15</v>
      </c>
      <c r="F27" s="73" t="s">
        <v>11</v>
      </c>
      <c r="I27" s="96">
        <v>1</v>
      </c>
      <c r="J27" s="96">
        <v>1</v>
      </c>
      <c r="K27" s="96">
        <v>1</v>
      </c>
      <c r="L27" s="96">
        <v>1</v>
      </c>
      <c r="M27" s="96">
        <v>1</v>
      </c>
    </row>
    <row r="28" spans="1:13" x14ac:dyDescent="0.25">
      <c r="A28" s="73">
        <v>24</v>
      </c>
      <c r="B28" s="73" t="s">
        <v>127</v>
      </c>
      <c r="C28" s="73" t="s">
        <v>129</v>
      </c>
      <c r="D28" s="73" t="s">
        <v>127</v>
      </c>
      <c r="E28" s="73" t="s">
        <v>14</v>
      </c>
      <c r="F28" s="73" t="s">
        <v>10</v>
      </c>
      <c r="I28" s="96">
        <v>1</v>
      </c>
      <c r="J28" s="96">
        <v>1</v>
      </c>
      <c r="K28" s="96">
        <v>1</v>
      </c>
      <c r="L28" s="96">
        <v>1</v>
      </c>
      <c r="M28" s="96">
        <v>1</v>
      </c>
    </row>
    <row r="29" spans="1:13" x14ac:dyDescent="0.25">
      <c r="A29" s="73">
        <v>25</v>
      </c>
      <c r="B29" s="73" t="s">
        <v>130</v>
      </c>
      <c r="C29" s="73" t="s">
        <v>11</v>
      </c>
      <c r="D29" s="73" t="s">
        <v>130</v>
      </c>
      <c r="E29" s="73" t="s">
        <v>13</v>
      </c>
      <c r="F29" s="73" t="s">
        <v>130</v>
      </c>
      <c r="I29" s="96">
        <v>1</v>
      </c>
      <c r="J29" s="96">
        <v>1</v>
      </c>
      <c r="K29" s="96">
        <v>1</v>
      </c>
      <c r="L29" s="96">
        <v>1</v>
      </c>
      <c r="M29" s="96">
        <v>1</v>
      </c>
    </row>
    <row r="30" spans="1:13" x14ac:dyDescent="0.25">
      <c r="A30" s="73">
        <v>26</v>
      </c>
      <c r="B30" s="73" t="s">
        <v>11</v>
      </c>
      <c r="C30" s="73" t="s">
        <v>10</v>
      </c>
      <c r="D30" s="73" t="s">
        <v>12</v>
      </c>
      <c r="E30" s="73" t="s">
        <v>12</v>
      </c>
      <c r="F30" s="73" t="s">
        <v>12</v>
      </c>
      <c r="I30" s="96">
        <v>1</v>
      </c>
      <c r="J30" s="96">
        <v>1</v>
      </c>
      <c r="K30" s="96">
        <v>1</v>
      </c>
      <c r="L30" s="96">
        <v>1</v>
      </c>
      <c r="M30" s="96">
        <v>1</v>
      </c>
    </row>
    <row r="31" spans="1:13" x14ac:dyDescent="0.25">
      <c r="A31" s="73">
        <v>27</v>
      </c>
      <c r="B31" s="73" t="s">
        <v>129</v>
      </c>
      <c r="C31" s="73" t="s">
        <v>131</v>
      </c>
      <c r="D31" s="73" t="s">
        <v>129</v>
      </c>
      <c r="E31" s="73" t="s">
        <v>129</v>
      </c>
      <c r="F31" s="73" t="s">
        <v>129</v>
      </c>
      <c r="I31" s="96">
        <v>1</v>
      </c>
      <c r="J31" s="96">
        <v>1</v>
      </c>
      <c r="K31" s="96">
        <v>1</v>
      </c>
      <c r="L31" s="96">
        <v>1</v>
      </c>
      <c r="M31" s="96">
        <v>1</v>
      </c>
    </row>
    <row r="32" spans="1:13" x14ac:dyDescent="0.25">
      <c r="A32" s="73">
        <v>28</v>
      </c>
      <c r="B32" s="73" t="s">
        <v>12</v>
      </c>
      <c r="C32" s="73" t="s">
        <v>16</v>
      </c>
      <c r="D32" s="73" t="s">
        <v>137</v>
      </c>
      <c r="E32" s="73" t="s">
        <v>11</v>
      </c>
      <c r="F32" s="73" t="s">
        <v>11</v>
      </c>
      <c r="I32" s="96">
        <v>1</v>
      </c>
      <c r="J32" s="96">
        <v>1</v>
      </c>
      <c r="K32" s="96">
        <v>1</v>
      </c>
      <c r="L32" s="96">
        <v>1</v>
      </c>
      <c r="M32" s="96">
        <v>1</v>
      </c>
    </row>
    <row r="33" spans="1:13" x14ac:dyDescent="0.25">
      <c r="A33" s="73">
        <v>29</v>
      </c>
      <c r="B33" s="73" t="s">
        <v>131</v>
      </c>
      <c r="C33" s="73" t="s">
        <v>15</v>
      </c>
      <c r="D33" s="73" t="s">
        <v>137</v>
      </c>
      <c r="E33" s="73" t="s">
        <v>10</v>
      </c>
      <c r="F33" s="73" t="s">
        <v>131</v>
      </c>
      <c r="I33" s="96">
        <v>1</v>
      </c>
      <c r="J33" s="96">
        <v>1</v>
      </c>
      <c r="K33" s="96">
        <v>1</v>
      </c>
      <c r="L33" s="96">
        <v>1</v>
      </c>
      <c r="M33" s="96">
        <v>1</v>
      </c>
    </row>
    <row r="34" spans="1:13" x14ac:dyDescent="0.25">
      <c r="A34" s="73">
        <v>30</v>
      </c>
      <c r="B34" s="73" t="s">
        <v>10</v>
      </c>
      <c r="C34" s="73" t="s">
        <v>14</v>
      </c>
      <c r="D34" s="73" t="s">
        <v>14</v>
      </c>
      <c r="E34" s="73" t="s">
        <v>131</v>
      </c>
      <c r="F34" s="73" t="s">
        <v>10</v>
      </c>
      <c r="I34" s="96">
        <v>1</v>
      </c>
      <c r="J34" s="96">
        <v>1</v>
      </c>
      <c r="K34" s="96">
        <v>1</v>
      </c>
      <c r="L34" s="96">
        <v>1</v>
      </c>
      <c r="M34" s="96">
        <v>1</v>
      </c>
    </row>
    <row r="35" spans="1:13" x14ac:dyDescent="0.25">
      <c r="A35" s="73">
        <v>31</v>
      </c>
      <c r="B35" s="73" t="s">
        <v>11</v>
      </c>
      <c r="C35" s="73" t="s">
        <v>13</v>
      </c>
      <c r="D35" s="73" t="s">
        <v>13</v>
      </c>
      <c r="E35" s="73" t="s">
        <v>11</v>
      </c>
      <c r="F35" s="73" t="s">
        <v>11</v>
      </c>
      <c r="I35" s="96">
        <v>1</v>
      </c>
      <c r="J35" s="96">
        <v>1</v>
      </c>
      <c r="K35" s="96">
        <v>1</v>
      </c>
      <c r="L35" s="96">
        <v>1</v>
      </c>
      <c r="M35" s="96">
        <v>1</v>
      </c>
    </row>
    <row r="36" spans="1:13" x14ac:dyDescent="0.25">
      <c r="A36" s="73">
        <v>32</v>
      </c>
      <c r="B36" s="73" t="s">
        <v>137</v>
      </c>
      <c r="C36" s="73" t="s">
        <v>12</v>
      </c>
      <c r="D36" s="73" t="s">
        <v>12</v>
      </c>
      <c r="E36" s="73" t="s">
        <v>129</v>
      </c>
      <c r="F36" s="73" t="s">
        <v>129</v>
      </c>
      <c r="I36" s="96">
        <v>1</v>
      </c>
      <c r="J36" s="96">
        <v>1</v>
      </c>
      <c r="K36" s="96">
        <v>1</v>
      </c>
      <c r="L36" s="96">
        <v>1</v>
      </c>
      <c r="M36" s="96">
        <v>1</v>
      </c>
    </row>
    <row r="37" spans="1:13" x14ac:dyDescent="0.25">
      <c r="A37" s="73">
        <v>33</v>
      </c>
      <c r="B37" s="73" t="s">
        <v>137</v>
      </c>
      <c r="C37" s="73" t="s">
        <v>129</v>
      </c>
      <c r="D37" s="73" t="s">
        <v>137</v>
      </c>
      <c r="E37" s="73" t="s">
        <v>12</v>
      </c>
      <c r="F37" s="73" t="s">
        <v>137</v>
      </c>
      <c r="I37" s="96">
        <v>1</v>
      </c>
      <c r="J37" s="96">
        <v>1</v>
      </c>
      <c r="K37" s="96">
        <v>1</v>
      </c>
      <c r="L37" s="96">
        <v>1</v>
      </c>
      <c r="M37" s="96">
        <v>1</v>
      </c>
    </row>
    <row r="38" spans="1:13" x14ac:dyDescent="0.25">
      <c r="A38" s="73">
        <v>34</v>
      </c>
      <c r="B38" s="73" t="s">
        <v>13</v>
      </c>
      <c r="C38" s="73" t="s">
        <v>11</v>
      </c>
      <c r="D38" s="73" t="s">
        <v>11</v>
      </c>
      <c r="E38" s="73" t="s">
        <v>13</v>
      </c>
      <c r="F38" s="73" t="s">
        <v>13</v>
      </c>
      <c r="I38" s="96">
        <v>1</v>
      </c>
      <c r="J38" s="96">
        <v>1</v>
      </c>
      <c r="K38" s="96">
        <v>1</v>
      </c>
      <c r="L38" s="96">
        <v>1</v>
      </c>
      <c r="M38" s="96">
        <v>1</v>
      </c>
    </row>
    <row r="39" spans="1:13" x14ac:dyDescent="0.25">
      <c r="A39" s="73">
        <v>35</v>
      </c>
      <c r="B39" s="73" t="s">
        <v>14</v>
      </c>
      <c r="C39" s="73" t="s">
        <v>10</v>
      </c>
      <c r="D39" s="73" t="s">
        <v>10</v>
      </c>
      <c r="E39" s="73" t="s">
        <v>16</v>
      </c>
      <c r="F39" s="73" t="s">
        <v>14</v>
      </c>
      <c r="I39" s="96">
        <v>1</v>
      </c>
      <c r="J39" s="96">
        <v>1</v>
      </c>
      <c r="K39" s="96">
        <v>1</v>
      </c>
      <c r="L39" s="96">
        <v>1</v>
      </c>
      <c r="M39" s="96">
        <v>1</v>
      </c>
    </row>
    <row r="40" spans="1:13" x14ac:dyDescent="0.25">
      <c r="A40" s="73">
        <v>36</v>
      </c>
      <c r="B40" s="73" t="s">
        <v>15</v>
      </c>
      <c r="C40" s="73" t="s">
        <v>131</v>
      </c>
      <c r="D40" s="73" t="s">
        <v>131</v>
      </c>
      <c r="E40" s="73" t="s">
        <v>15</v>
      </c>
      <c r="F40" s="73" t="s">
        <v>15</v>
      </c>
      <c r="I40" s="96">
        <v>1</v>
      </c>
      <c r="J40" s="96">
        <v>1</v>
      </c>
      <c r="K40" s="96">
        <v>1</v>
      </c>
      <c r="L40" s="96">
        <v>1</v>
      </c>
      <c r="M40" s="96">
        <v>1</v>
      </c>
    </row>
    <row r="41" spans="1:13" x14ac:dyDescent="0.25">
      <c r="A41" s="73">
        <v>37</v>
      </c>
      <c r="B41" s="73" t="s">
        <v>16</v>
      </c>
      <c r="C41" s="73" t="s">
        <v>16</v>
      </c>
      <c r="D41" s="73" t="s">
        <v>16</v>
      </c>
      <c r="E41" s="73" t="s">
        <v>14</v>
      </c>
      <c r="F41" s="73" t="s">
        <v>16</v>
      </c>
      <c r="I41" s="96">
        <v>1</v>
      </c>
      <c r="J41" s="96">
        <v>1</v>
      </c>
      <c r="K41" s="96">
        <v>1</v>
      </c>
      <c r="L41" s="96">
        <v>1</v>
      </c>
      <c r="M41" s="96">
        <v>1</v>
      </c>
    </row>
    <row r="42" spans="1:13" x14ac:dyDescent="0.25">
      <c r="A42" s="73">
        <v>38</v>
      </c>
      <c r="B42" s="73" t="s">
        <v>127</v>
      </c>
      <c r="C42" s="73" t="s">
        <v>127</v>
      </c>
      <c r="D42" s="73" t="s">
        <v>127</v>
      </c>
      <c r="E42" s="73" t="s">
        <v>127</v>
      </c>
      <c r="F42" s="73" t="s">
        <v>127</v>
      </c>
      <c r="I42" s="96">
        <v>1</v>
      </c>
      <c r="J42" s="96">
        <v>1</v>
      </c>
      <c r="K42" s="96">
        <v>1</v>
      </c>
      <c r="L42" s="96">
        <v>1</v>
      </c>
      <c r="M42" s="96">
        <v>1</v>
      </c>
    </row>
    <row r="43" spans="1:13" x14ac:dyDescent="0.25">
      <c r="A43" s="73">
        <v>39</v>
      </c>
      <c r="B43" s="73" t="s">
        <v>130</v>
      </c>
      <c r="C43" s="73" t="s">
        <v>130</v>
      </c>
      <c r="D43" s="73" t="s">
        <v>130</v>
      </c>
      <c r="E43" s="73" t="s">
        <v>130</v>
      </c>
      <c r="F43" s="73" t="s">
        <v>130</v>
      </c>
      <c r="I43" s="96">
        <v>1</v>
      </c>
      <c r="J43" s="96">
        <v>1</v>
      </c>
      <c r="K43" s="96">
        <v>1</v>
      </c>
      <c r="L43" s="96">
        <v>1</v>
      </c>
      <c r="M43" s="96">
        <v>1</v>
      </c>
    </row>
    <row r="44" spans="1:13" x14ac:dyDescent="0.25">
      <c r="A44" s="73">
        <v>40</v>
      </c>
      <c r="B44" s="73" t="s">
        <v>10</v>
      </c>
      <c r="C44" s="73" t="s">
        <v>10</v>
      </c>
      <c r="D44" s="73" t="s">
        <v>10</v>
      </c>
      <c r="E44" s="73" t="s">
        <v>10</v>
      </c>
      <c r="F44" s="73" t="s">
        <v>10</v>
      </c>
      <c r="I44" s="96">
        <v>1</v>
      </c>
      <c r="J44" s="96">
        <v>1</v>
      </c>
      <c r="K44" s="96">
        <v>1</v>
      </c>
      <c r="L44" s="96">
        <v>1</v>
      </c>
      <c r="M44" s="96">
        <v>1</v>
      </c>
    </row>
    <row r="45" spans="1:13" x14ac:dyDescent="0.25">
      <c r="A45" s="73">
        <v>41</v>
      </c>
      <c r="B45" s="73" t="s">
        <v>11</v>
      </c>
      <c r="C45" s="73" t="s">
        <v>137</v>
      </c>
      <c r="D45" s="73" t="s">
        <v>11</v>
      </c>
      <c r="E45" s="73" t="s">
        <v>11</v>
      </c>
      <c r="F45" s="73" t="s">
        <v>11</v>
      </c>
      <c r="I45" s="96">
        <v>1</v>
      </c>
      <c r="J45" s="96">
        <v>1</v>
      </c>
      <c r="K45" s="96">
        <v>1</v>
      </c>
      <c r="L45" s="96">
        <v>1</v>
      </c>
      <c r="M45" s="96">
        <v>1</v>
      </c>
    </row>
    <row r="46" spans="1:13" x14ac:dyDescent="0.25">
      <c r="A46" s="73">
        <v>42</v>
      </c>
      <c r="B46" s="73" t="s">
        <v>129</v>
      </c>
      <c r="C46" s="73" t="s">
        <v>129</v>
      </c>
      <c r="D46" s="73" t="s">
        <v>129</v>
      </c>
      <c r="E46" s="73" t="s">
        <v>129</v>
      </c>
      <c r="F46" s="73" t="s">
        <v>129</v>
      </c>
      <c r="I46" s="96">
        <v>1</v>
      </c>
      <c r="J46" s="96">
        <v>1</v>
      </c>
      <c r="K46" s="96">
        <v>1</v>
      </c>
      <c r="L46" s="96">
        <v>1</v>
      </c>
      <c r="M46" s="96">
        <v>1</v>
      </c>
    </row>
    <row r="47" spans="1:13" x14ac:dyDescent="0.25">
      <c r="A47" s="73">
        <v>43</v>
      </c>
      <c r="B47" s="73" t="s">
        <v>131</v>
      </c>
      <c r="C47" s="73" t="s">
        <v>131</v>
      </c>
      <c r="D47" s="73" t="s">
        <v>131</v>
      </c>
      <c r="E47" s="73" t="s">
        <v>131</v>
      </c>
      <c r="F47" s="73" t="s">
        <v>14</v>
      </c>
      <c r="I47" s="96">
        <v>1</v>
      </c>
      <c r="J47" s="96">
        <v>1</v>
      </c>
      <c r="K47" s="96">
        <v>1</v>
      </c>
      <c r="L47" s="96">
        <v>1</v>
      </c>
      <c r="M47" s="96">
        <v>1</v>
      </c>
    </row>
    <row r="48" spans="1:13" x14ac:dyDescent="0.25">
      <c r="A48" s="73">
        <v>44</v>
      </c>
      <c r="B48" s="73" t="s">
        <v>137</v>
      </c>
      <c r="C48" s="73" t="s">
        <v>10</v>
      </c>
      <c r="D48" s="73" t="s">
        <v>10</v>
      </c>
      <c r="E48" s="73" t="s">
        <v>10</v>
      </c>
      <c r="F48" s="73" t="s">
        <v>137</v>
      </c>
      <c r="I48" s="96">
        <v>1</v>
      </c>
      <c r="J48" s="96">
        <v>1</v>
      </c>
      <c r="K48" s="96">
        <v>1</v>
      </c>
      <c r="L48" s="96">
        <v>1</v>
      </c>
      <c r="M48" s="96">
        <v>1</v>
      </c>
    </row>
    <row r="49" spans="1:13" x14ac:dyDescent="0.25">
      <c r="A49" s="73">
        <v>45</v>
      </c>
      <c r="B49" s="73" t="s">
        <v>11</v>
      </c>
      <c r="C49" s="73" t="s">
        <v>11</v>
      </c>
      <c r="D49" s="73" t="s">
        <v>11</v>
      </c>
      <c r="E49" s="73" t="s">
        <v>11</v>
      </c>
      <c r="F49" s="73" t="s">
        <v>137</v>
      </c>
      <c r="I49" s="96">
        <v>1</v>
      </c>
      <c r="J49" s="96">
        <v>1</v>
      </c>
      <c r="K49" s="96">
        <v>1</v>
      </c>
      <c r="L49" s="96">
        <v>1</v>
      </c>
      <c r="M49" s="96">
        <v>1</v>
      </c>
    </row>
    <row r="50" spans="1:13" x14ac:dyDescent="0.25">
      <c r="A50" s="73">
        <v>46</v>
      </c>
      <c r="B50" s="73" t="s">
        <v>129</v>
      </c>
      <c r="C50" s="73" t="s">
        <v>129</v>
      </c>
      <c r="D50" s="73" t="s">
        <v>129</v>
      </c>
      <c r="E50" s="73" t="s">
        <v>129</v>
      </c>
      <c r="F50" s="73" t="s">
        <v>129</v>
      </c>
      <c r="I50" s="96">
        <v>1</v>
      </c>
      <c r="J50" s="96">
        <v>1</v>
      </c>
      <c r="K50" s="96">
        <v>1</v>
      </c>
      <c r="L50" s="96">
        <v>1</v>
      </c>
      <c r="M50" s="96">
        <v>1</v>
      </c>
    </row>
    <row r="51" spans="1:13" x14ac:dyDescent="0.25">
      <c r="A51" s="73">
        <v>47</v>
      </c>
      <c r="B51" s="132" t="s">
        <v>156</v>
      </c>
      <c r="C51" s="73" t="s">
        <v>12</v>
      </c>
      <c r="D51" s="132" t="s">
        <v>156</v>
      </c>
      <c r="E51" s="73" t="s">
        <v>137</v>
      </c>
      <c r="F51" s="132" t="s">
        <v>156</v>
      </c>
      <c r="I51" s="96">
        <v>1</v>
      </c>
      <c r="J51" s="96">
        <v>1</v>
      </c>
      <c r="K51" s="96">
        <v>1</v>
      </c>
      <c r="L51" s="96">
        <v>1</v>
      </c>
      <c r="M51" s="96">
        <v>1</v>
      </c>
    </row>
    <row r="52" spans="1:13" x14ac:dyDescent="0.25">
      <c r="A52" s="73">
        <v>48</v>
      </c>
      <c r="B52" s="73" t="s">
        <v>13</v>
      </c>
      <c r="C52" s="73" t="s">
        <v>13</v>
      </c>
      <c r="D52" s="73" t="s">
        <v>13</v>
      </c>
      <c r="E52" s="73" t="s">
        <v>13</v>
      </c>
      <c r="F52" s="73" t="s">
        <v>10</v>
      </c>
      <c r="I52" s="96">
        <v>1</v>
      </c>
      <c r="J52" s="96">
        <v>1</v>
      </c>
      <c r="K52" s="96">
        <v>1</v>
      </c>
      <c r="L52" s="96">
        <v>1</v>
      </c>
      <c r="M52" s="96">
        <v>1</v>
      </c>
    </row>
    <row r="53" spans="1:13" x14ac:dyDescent="0.25">
      <c r="A53" s="73">
        <v>49</v>
      </c>
      <c r="B53" s="73" t="s">
        <v>14</v>
      </c>
      <c r="C53" s="73" t="s">
        <v>14</v>
      </c>
      <c r="D53" s="73" t="s">
        <v>14</v>
      </c>
      <c r="E53" s="73" t="s">
        <v>14</v>
      </c>
      <c r="F53" s="73" t="s">
        <v>131</v>
      </c>
      <c r="I53" s="96">
        <v>1</v>
      </c>
      <c r="J53" s="96">
        <v>1</v>
      </c>
      <c r="K53" s="96">
        <v>1</v>
      </c>
      <c r="L53" s="96">
        <v>1</v>
      </c>
      <c r="M53" s="96">
        <v>1</v>
      </c>
    </row>
    <row r="55" spans="1:13" x14ac:dyDescent="0.25">
      <c r="B55" s="73">
        <f>COUNTIF(B5:B53,$B$47)</f>
        <v>4</v>
      </c>
      <c r="C55" s="73">
        <f t="shared" ref="C55:F55" si="0">COUNTIF(C5:C53,$B$47)</f>
        <v>5</v>
      </c>
      <c r="D55" s="73">
        <f t="shared" si="0"/>
        <v>4</v>
      </c>
      <c r="E55" s="73">
        <f t="shared" si="0"/>
        <v>5</v>
      </c>
      <c r="F55" s="73">
        <f t="shared" si="0"/>
        <v>5</v>
      </c>
      <c r="I55" s="73">
        <f>SUM(I5:I53)</f>
        <v>49</v>
      </c>
      <c r="J55" s="73">
        <f t="shared" ref="J55:M55" si="1">SUM(J5:J53)</f>
        <v>49</v>
      </c>
      <c r="K55" s="73">
        <f t="shared" si="1"/>
        <v>49</v>
      </c>
      <c r="L55" s="73">
        <f t="shared" si="1"/>
        <v>49</v>
      </c>
      <c r="M55" s="73">
        <f t="shared" si="1"/>
        <v>49</v>
      </c>
    </row>
    <row r="57" spans="1:13" x14ac:dyDescent="0.25">
      <c r="B57" s="73">
        <f>B55/I55</f>
        <v>8.1632653061224483E-2</v>
      </c>
      <c r="C57" s="73">
        <f t="shared" ref="C57:F57" si="2">C55/J55</f>
        <v>0.10204081632653061</v>
      </c>
      <c r="D57" s="73">
        <f t="shared" si="2"/>
        <v>8.1632653061224483E-2</v>
      </c>
      <c r="E57" s="73">
        <f t="shared" si="2"/>
        <v>0.10204081632653061</v>
      </c>
      <c r="F57" s="73">
        <f t="shared" si="2"/>
        <v>0.10204081632653061</v>
      </c>
    </row>
    <row r="61" spans="1:13" x14ac:dyDescent="0.25">
      <c r="B61" s="73">
        <f>PRODUCT(B57:F57)</f>
        <v>7.0802663492828705E-6</v>
      </c>
    </row>
  </sheetData>
  <conditionalFormatting sqref="B5:F53">
    <cfRule type="containsText" dxfId="3" priority="1" operator="containsText" text="TOP">
      <formula>NOT(ISERROR(SEARCH("TOP",B5)))</formula>
    </cfRule>
    <cfRule type="containsText" dxfId="2" priority="2" operator="containsText" text="COI">
      <formula>NOT(ISERROR(SEARCH("COI",B5)))</formula>
    </cfRule>
    <cfRule type="containsText" dxfId="1" priority="4" operator="containsText" text="JOK">
      <formula>NOT(ISERROR(SEARCH("JOK",B5)))</formula>
    </cfRule>
    <cfRule type="containsText" dxfId="0" priority="7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B9E3-27AF-4678-B736-4494BA3992E0}">
  <dimension ref="B1:V23"/>
  <sheetViews>
    <sheetView workbookViewId="0">
      <selection activeCell="Q43" sqref="Q43"/>
    </sheetView>
  </sheetViews>
  <sheetFormatPr defaultRowHeight="15" x14ac:dyDescent="0.25"/>
  <cols>
    <col min="1" max="1" width="9.140625" style="73"/>
    <col min="2" max="2" width="6.7109375" style="73" bestFit="1" customWidth="1"/>
    <col min="3" max="3" width="8" style="73" bestFit="1" customWidth="1"/>
    <col min="4" max="4" width="8.140625" style="73" bestFit="1" customWidth="1"/>
    <col min="5" max="5" width="9.140625" style="73"/>
    <col min="6" max="6" width="14.7109375" style="73" bestFit="1" customWidth="1"/>
    <col min="7" max="15" width="8" style="73" bestFit="1" customWidth="1"/>
    <col min="16" max="16384" width="9.140625" style="73"/>
  </cols>
  <sheetData>
    <row r="1" spans="2:22" ht="15.75" thickBot="1" x14ac:dyDescent="0.3"/>
    <row r="2" spans="2:22" ht="15.75" thickBot="1" x14ac:dyDescent="0.3">
      <c r="B2" s="109" t="s">
        <v>138</v>
      </c>
      <c r="C2" s="109" t="s">
        <v>151</v>
      </c>
      <c r="D2" s="109" t="s">
        <v>150</v>
      </c>
      <c r="F2" s="109" t="s">
        <v>153</v>
      </c>
      <c r="G2" s="117">
        <v>6</v>
      </c>
      <c r="H2" s="120">
        <v>7</v>
      </c>
      <c r="I2" s="120">
        <v>8</v>
      </c>
      <c r="J2" s="120">
        <v>9</v>
      </c>
      <c r="K2" s="120">
        <v>10</v>
      </c>
      <c r="L2" s="120">
        <v>11</v>
      </c>
      <c r="M2" s="120">
        <v>12</v>
      </c>
      <c r="N2" s="120">
        <v>13</v>
      </c>
      <c r="O2" s="119">
        <v>14</v>
      </c>
      <c r="Q2" s="139" t="s">
        <v>190</v>
      </c>
      <c r="R2" s="139" t="s">
        <v>191</v>
      </c>
      <c r="S2" s="139" t="s">
        <v>192</v>
      </c>
    </row>
    <row r="3" spans="2:22" x14ac:dyDescent="0.25">
      <c r="B3" s="107">
        <v>10</v>
      </c>
      <c r="C3" s="99">
        <v>100</v>
      </c>
      <c r="D3" s="102">
        <f>C3/SUM($C$3:$C$8)</f>
        <v>0.16666666666666666</v>
      </c>
      <c r="F3" s="93">
        <v>0</v>
      </c>
      <c r="G3" s="118">
        <v>0</v>
      </c>
      <c r="H3" s="118">
        <v>200</v>
      </c>
      <c r="I3" s="118">
        <v>1000</v>
      </c>
      <c r="J3" s="118">
        <v>2000</v>
      </c>
      <c r="K3" s="118">
        <v>2800</v>
      </c>
      <c r="L3" s="118">
        <v>3000</v>
      </c>
      <c r="M3" s="118">
        <v>5000</v>
      </c>
      <c r="N3" s="118">
        <v>8000</v>
      </c>
      <c r="O3" s="118">
        <v>11000</v>
      </c>
      <c r="Q3" s="73">
        <v>1</v>
      </c>
      <c r="R3" s="73">
        <v>100</v>
      </c>
      <c r="S3" s="73">
        <v>0</v>
      </c>
      <c r="U3" s="73">
        <v>1</v>
      </c>
      <c r="V3" s="73">
        <v>99</v>
      </c>
    </row>
    <row r="4" spans="2:22" x14ac:dyDescent="0.25">
      <c r="B4" s="93">
        <v>20</v>
      </c>
      <c r="C4" s="105">
        <v>100</v>
      </c>
      <c r="D4" s="101">
        <f t="shared" ref="D4:D8" si="0">C4/SUM($C$3:$C$8)</f>
        <v>0.16666666666666666</v>
      </c>
      <c r="F4" s="93">
        <v>1</v>
      </c>
      <c r="G4" s="115">
        <v>15000</v>
      </c>
      <c r="H4" s="115">
        <v>15000</v>
      </c>
      <c r="I4" s="115">
        <v>15000</v>
      </c>
      <c r="J4" s="115">
        <v>15000</v>
      </c>
      <c r="K4" s="115">
        <v>15000</v>
      </c>
      <c r="L4" s="115">
        <v>15000</v>
      </c>
      <c r="M4" s="115">
        <v>15000</v>
      </c>
      <c r="N4" s="115">
        <v>15000</v>
      </c>
      <c r="O4" s="115">
        <v>15000</v>
      </c>
      <c r="Q4" s="73">
        <v>2</v>
      </c>
      <c r="R4" s="73">
        <v>100</v>
      </c>
      <c r="S4" s="73">
        <v>0</v>
      </c>
      <c r="U4" s="73">
        <v>3</v>
      </c>
      <c r="V4" s="73">
        <v>97</v>
      </c>
    </row>
    <row r="5" spans="2:22" x14ac:dyDescent="0.25">
      <c r="B5" s="93">
        <v>50</v>
      </c>
      <c r="C5" s="105">
        <v>100</v>
      </c>
      <c r="D5" s="101">
        <f t="shared" si="0"/>
        <v>0.16666666666666666</v>
      </c>
      <c r="F5" s="93">
        <v>2</v>
      </c>
      <c r="G5" s="115">
        <v>10000</v>
      </c>
      <c r="H5" s="115">
        <v>10000</v>
      </c>
      <c r="I5" s="115">
        <v>10000</v>
      </c>
      <c r="J5" s="115">
        <v>10000</v>
      </c>
      <c r="K5" s="115">
        <v>10000</v>
      </c>
      <c r="L5" s="115">
        <v>10000</v>
      </c>
      <c r="M5" s="115">
        <v>10000</v>
      </c>
      <c r="N5" s="115">
        <v>10000</v>
      </c>
      <c r="O5" s="127">
        <v>0</v>
      </c>
      <c r="Q5" s="73">
        <v>3</v>
      </c>
      <c r="R5" s="73">
        <v>100</v>
      </c>
      <c r="S5" s="73">
        <v>0</v>
      </c>
      <c r="U5" s="73">
        <v>7</v>
      </c>
      <c r="V5" s="73">
        <v>93</v>
      </c>
    </row>
    <row r="6" spans="2:22" x14ac:dyDescent="0.25">
      <c r="B6" s="93">
        <v>100</v>
      </c>
      <c r="C6" s="105">
        <v>100</v>
      </c>
      <c r="D6" s="101">
        <f t="shared" si="0"/>
        <v>0.16666666666666666</v>
      </c>
      <c r="F6" s="93">
        <v>3</v>
      </c>
      <c r="G6" s="115">
        <v>6000</v>
      </c>
      <c r="H6" s="115">
        <v>6000</v>
      </c>
      <c r="I6" s="115">
        <v>6000</v>
      </c>
      <c r="J6" s="115">
        <v>6000</v>
      </c>
      <c r="K6" s="115">
        <v>6000</v>
      </c>
      <c r="L6" s="115">
        <v>6000</v>
      </c>
      <c r="M6" s="115">
        <v>6000</v>
      </c>
      <c r="N6" s="127">
        <v>0</v>
      </c>
      <c r="O6" s="127">
        <v>0</v>
      </c>
      <c r="Q6" s="73">
        <v>4</v>
      </c>
      <c r="R6" s="73">
        <v>100</v>
      </c>
      <c r="S6" s="73">
        <v>0</v>
      </c>
      <c r="U6" s="73">
        <v>15</v>
      </c>
      <c r="V6" s="73">
        <v>85</v>
      </c>
    </row>
    <row r="7" spans="2:22" x14ac:dyDescent="0.25">
      <c r="B7" s="93">
        <v>500</v>
      </c>
      <c r="C7" s="105">
        <v>100</v>
      </c>
      <c r="D7" s="101">
        <f t="shared" si="0"/>
        <v>0.16666666666666666</v>
      </c>
      <c r="F7" s="93">
        <v>4</v>
      </c>
      <c r="G7" s="115">
        <v>1500</v>
      </c>
      <c r="H7" s="115">
        <v>1500</v>
      </c>
      <c r="I7" s="115">
        <v>1500</v>
      </c>
      <c r="J7" s="115">
        <v>1500</v>
      </c>
      <c r="K7" s="115">
        <v>1500</v>
      </c>
      <c r="L7" s="115">
        <v>1500</v>
      </c>
      <c r="M7" s="127">
        <v>0</v>
      </c>
      <c r="N7" s="127">
        <v>0</v>
      </c>
      <c r="O7" s="127">
        <v>0</v>
      </c>
      <c r="Q7" s="73">
        <v>5</v>
      </c>
      <c r="R7" s="73">
        <v>100</v>
      </c>
      <c r="S7" s="73">
        <v>0</v>
      </c>
      <c r="U7" s="73">
        <v>30</v>
      </c>
      <c r="V7" s="73">
        <v>70</v>
      </c>
    </row>
    <row r="8" spans="2:22" ht="15.75" thickBot="1" x14ac:dyDescent="0.3">
      <c r="B8" s="108">
        <v>4</v>
      </c>
      <c r="C8" s="103">
        <v>100</v>
      </c>
      <c r="D8" s="100">
        <f t="shared" si="0"/>
        <v>0.16666666666666666</v>
      </c>
      <c r="F8" s="108">
        <v>5</v>
      </c>
      <c r="G8" s="116">
        <v>150</v>
      </c>
      <c r="H8" s="116">
        <v>150</v>
      </c>
      <c r="I8" s="116">
        <v>150</v>
      </c>
      <c r="J8" s="116">
        <v>150</v>
      </c>
      <c r="K8" s="116">
        <v>150</v>
      </c>
      <c r="L8" s="128">
        <v>0</v>
      </c>
      <c r="M8" s="128">
        <v>0</v>
      </c>
      <c r="N8" s="128">
        <v>0</v>
      </c>
      <c r="O8" s="128">
        <v>0</v>
      </c>
    </row>
    <row r="9" spans="2:22" ht="15.75" thickBot="1" x14ac:dyDescent="0.3">
      <c r="F9"/>
      <c r="G9"/>
      <c r="H9"/>
      <c r="I9"/>
      <c r="J9"/>
      <c r="K9"/>
      <c r="L9"/>
      <c r="M9"/>
      <c r="N9"/>
      <c r="O9"/>
    </row>
    <row r="10" spans="2:22" ht="15.75" thickBot="1" x14ac:dyDescent="0.3">
      <c r="B10" s="73" t="s">
        <v>152</v>
      </c>
      <c r="C10" s="97">
        <f>SUMPRODUCT(B3:B8,D3:D8)</f>
        <v>114</v>
      </c>
      <c r="F10" s="109" t="s">
        <v>153</v>
      </c>
      <c r="G10" s="117">
        <v>6</v>
      </c>
      <c r="H10" s="120">
        <v>7</v>
      </c>
      <c r="I10" s="120">
        <v>8</v>
      </c>
      <c r="J10" s="120">
        <v>9</v>
      </c>
      <c r="K10" s="120">
        <v>10</v>
      </c>
      <c r="L10" s="120">
        <v>11</v>
      </c>
      <c r="M10" s="120">
        <v>12</v>
      </c>
      <c r="N10" s="120">
        <v>13</v>
      </c>
      <c r="O10" s="119">
        <v>14</v>
      </c>
    </row>
    <row r="11" spans="2:22" x14ac:dyDescent="0.25">
      <c r="F11" s="93">
        <v>0</v>
      </c>
      <c r="G11" s="111">
        <f t="shared" ref="G11:O11" si="1">G3/SUM(G$3:G$8)</f>
        <v>0</v>
      </c>
      <c r="H11" s="111">
        <f t="shared" si="1"/>
        <v>6.0882800608828003E-3</v>
      </c>
      <c r="I11" s="111">
        <f t="shared" si="1"/>
        <v>2.9717682020802376E-2</v>
      </c>
      <c r="J11" s="111">
        <f t="shared" si="1"/>
        <v>5.772005772005772E-2</v>
      </c>
      <c r="K11" s="111">
        <f t="shared" si="1"/>
        <v>7.8984485190409029E-2</v>
      </c>
      <c r="L11" s="111">
        <f t="shared" si="1"/>
        <v>8.4507042253521125E-2</v>
      </c>
      <c r="M11" s="111">
        <f t="shared" si="1"/>
        <v>0.1388888888888889</v>
      </c>
      <c r="N11" s="111">
        <f t="shared" si="1"/>
        <v>0.24242424242424243</v>
      </c>
      <c r="O11" s="111">
        <f t="shared" si="1"/>
        <v>0.42307692307692307</v>
      </c>
    </row>
    <row r="12" spans="2:22" x14ac:dyDescent="0.25">
      <c r="F12" s="93">
        <v>1</v>
      </c>
      <c r="G12" s="110">
        <f t="shared" ref="G12" si="2">G4/SUM(G$3:G$8)</f>
        <v>0.45941807044410415</v>
      </c>
      <c r="H12" s="110">
        <f>H4/SUM(H$3:H$8)</f>
        <v>0.45662100456621002</v>
      </c>
      <c r="I12" s="110">
        <f t="shared" ref="I12:O12" si="3">I4/SUM(I$3:I$8)</f>
        <v>0.44576523031203569</v>
      </c>
      <c r="J12" s="110">
        <f t="shared" si="3"/>
        <v>0.4329004329004329</v>
      </c>
      <c r="K12" s="110">
        <f t="shared" si="3"/>
        <v>0.42313117066290551</v>
      </c>
      <c r="L12" s="110">
        <f t="shared" si="3"/>
        <v>0.42253521126760563</v>
      </c>
      <c r="M12" s="110">
        <f t="shared" si="3"/>
        <v>0.41666666666666669</v>
      </c>
      <c r="N12" s="110">
        <f t="shared" si="3"/>
        <v>0.45454545454545453</v>
      </c>
      <c r="O12" s="110">
        <f t="shared" si="3"/>
        <v>0.57692307692307687</v>
      </c>
    </row>
    <row r="13" spans="2:22" x14ac:dyDescent="0.25">
      <c r="F13" s="93">
        <v>2</v>
      </c>
      <c r="G13" s="110">
        <f t="shared" ref="G13:O13" si="4">G5/SUM(G$3:G$8)</f>
        <v>0.30627871362940273</v>
      </c>
      <c r="H13" s="110">
        <f t="shared" si="4"/>
        <v>0.30441400304414001</v>
      </c>
      <c r="I13" s="110">
        <f t="shared" si="4"/>
        <v>0.29717682020802377</v>
      </c>
      <c r="J13" s="110">
        <f t="shared" si="4"/>
        <v>0.28860028860028858</v>
      </c>
      <c r="K13" s="110">
        <f t="shared" si="4"/>
        <v>0.28208744710860367</v>
      </c>
      <c r="L13" s="110">
        <f t="shared" si="4"/>
        <v>0.28169014084507044</v>
      </c>
      <c r="M13" s="110">
        <f t="shared" si="4"/>
        <v>0.27777777777777779</v>
      </c>
      <c r="N13" s="110">
        <f t="shared" si="4"/>
        <v>0.30303030303030304</v>
      </c>
      <c r="O13" s="110">
        <f t="shared" si="4"/>
        <v>0</v>
      </c>
    </row>
    <row r="14" spans="2:22" x14ac:dyDescent="0.25">
      <c r="F14" s="93">
        <v>3</v>
      </c>
      <c r="G14" s="110">
        <f t="shared" ref="G14:O14" si="5">G6/SUM(G$3:G$8)</f>
        <v>0.18376722817764166</v>
      </c>
      <c r="H14" s="110">
        <f t="shared" si="5"/>
        <v>0.18264840182648401</v>
      </c>
      <c r="I14" s="110">
        <f t="shared" si="5"/>
        <v>0.17830609212481427</v>
      </c>
      <c r="J14" s="110">
        <f t="shared" si="5"/>
        <v>0.17316017316017315</v>
      </c>
      <c r="K14" s="110">
        <f t="shared" si="5"/>
        <v>0.16925246826516219</v>
      </c>
      <c r="L14" s="110">
        <f t="shared" si="5"/>
        <v>0.16901408450704225</v>
      </c>
      <c r="M14" s="110">
        <f t="shared" si="5"/>
        <v>0.16666666666666666</v>
      </c>
      <c r="N14" s="110">
        <f t="shared" si="5"/>
        <v>0</v>
      </c>
      <c r="O14" s="110">
        <f t="shared" si="5"/>
        <v>0</v>
      </c>
    </row>
    <row r="15" spans="2:22" x14ac:dyDescent="0.25">
      <c r="F15" s="93">
        <v>4</v>
      </c>
      <c r="G15" s="110">
        <f t="shared" ref="G15:O15" si="6">G7/SUM(G$3:G$8)</f>
        <v>4.5941807044410414E-2</v>
      </c>
      <c r="H15" s="110">
        <f t="shared" si="6"/>
        <v>4.5662100456621002E-2</v>
      </c>
      <c r="I15" s="110">
        <f t="shared" si="6"/>
        <v>4.4576523031203567E-2</v>
      </c>
      <c r="J15" s="110">
        <f t="shared" si="6"/>
        <v>4.3290043290043288E-2</v>
      </c>
      <c r="K15" s="110">
        <f t="shared" si="6"/>
        <v>4.2313117066290547E-2</v>
      </c>
      <c r="L15" s="110">
        <f t="shared" si="6"/>
        <v>4.2253521126760563E-2</v>
      </c>
      <c r="M15" s="110">
        <f t="shared" si="6"/>
        <v>0</v>
      </c>
      <c r="N15" s="110">
        <f t="shared" si="6"/>
        <v>0</v>
      </c>
      <c r="O15" s="110">
        <f t="shared" si="6"/>
        <v>0</v>
      </c>
    </row>
    <row r="16" spans="2:22" ht="15.75" thickBot="1" x14ac:dyDescent="0.3">
      <c r="F16" s="108">
        <v>5</v>
      </c>
      <c r="G16" s="104">
        <f t="shared" ref="G16:O16" si="7">G8/SUM(G$3:G$8)</f>
        <v>4.5941807044410417E-3</v>
      </c>
      <c r="H16" s="104">
        <f t="shared" si="7"/>
        <v>4.5662100456621002E-3</v>
      </c>
      <c r="I16" s="104">
        <f t="shared" si="7"/>
        <v>4.4576523031203564E-3</v>
      </c>
      <c r="J16" s="104">
        <f t="shared" si="7"/>
        <v>4.329004329004329E-3</v>
      </c>
      <c r="K16" s="104">
        <f t="shared" si="7"/>
        <v>4.2313117066290554E-3</v>
      </c>
      <c r="L16" s="104">
        <f t="shared" si="7"/>
        <v>0</v>
      </c>
      <c r="M16" s="104">
        <f t="shared" si="7"/>
        <v>0</v>
      </c>
      <c r="N16" s="104">
        <f t="shared" si="7"/>
        <v>0</v>
      </c>
      <c r="O16" s="104">
        <f t="shared" si="7"/>
        <v>0</v>
      </c>
    </row>
    <row r="17" spans="6:15" ht="15.75" thickBot="1" x14ac:dyDescent="0.3"/>
    <row r="18" spans="6:15" ht="15.75" thickBot="1" x14ac:dyDescent="0.3">
      <c r="F18" s="73" t="s">
        <v>154</v>
      </c>
      <c r="G18" s="112">
        <f>SUMPRODUCT($F$12:$F$16,G12:G16)</f>
        <v>1.8300153139356816</v>
      </c>
      <c r="H18" s="114">
        <f t="shared" ref="H18:O18" si="8">SUMPRODUCT($F$12:$F$16,H12:H16)</f>
        <v>1.8188736681887365</v>
      </c>
      <c r="I18" s="114">
        <f t="shared" si="8"/>
        <v>1.7756315007429422</v>
      </c>
      <c r="J18" s="114">
        <f t="shared" si="8"/>
        <v>1.7243867243867241</v>
      </c>
      <c r="K18" s="114">
        <f t="shared" si="8"/>
        <v>1.6854724964739067</v>
      </c>
      <c r="L18" s="114">
        <f t="shared" si="8"/>
        <v>1.6619718309859155</v>
      </c>
      <c r="M18" s="114">
        <f t="shared" si="8"/>
        <v>1.4722222222222223</v>
      </c>
      <c r="N18" s="114">
        <f t="shared" si="8"/>
        <v>1.0606060606060606</v>
      </c>
      <c r="O18" s="98">
        <f t="shared" si="8"/>
        <v>0.57692307692307687</v>
      </c>
    </row>
    <row r="19" spans="6:15" ht="15.75" thickBot="1" x14ac:dyDescent="0.3">
      <c r="F19"/>
      <c r="G19"/>
      <c r="H19"/>
      <c r="I19"/>
      <c r="J19"/>
      <c r="K19"/>
      <c r="L19"/>
      <c r="M19"/>
      <c r="N19"/>
      <c r="O19"/>
    </row>
    <row r="20" spans="6:15" ht="15.75" thickBot="1" x14ac:dyDescent="0.3">
      <c r="F20" s="126" t="s">
        <v>155</v>
      </c>
      <c r="G20" s="109" t="s">
        <v>151</v>
      </c>
      <c r="H20" s="109" t="s">
        <v>151</v>
      </c>
      <c r="I20" s="109" t="s">
        <v>151</v>
      </c>
      <c r="J20" s="109" t="s">
        <v>151</v>
      </c>
      <c r="K20" s="109" t="s">
        <v>151</v>
      </c>
      <c r="L20" s="109" t="s">
        <v>151</v>
      </c>
      <c r="M20" s="109" t="s">
        <v>151</v>
      </c>
      <c r="N20" s="109" t="s">
        <v>151</v>
      </c>
      <c r="O20" s="109" t="s">
        <v>151</v>
      </c>
    </row>
    <row r="21" spans="6:15" x14ac:dyDescent="0.25">
      <c r="F21" s="124">
        <v>1</v>
      </c>
      <c r="G21" s="113">
        <v>50</v>
      </c>
      <c r="H21" s="113">
        <v>50</v>
      </c>
      <c r="I21" s="113">
        <v>50</v>
      </c>
      <c r="J21" s="113">
        <v>50</v>
      </c>
      <c r="K21" s="113">
        <v>50</v>
      </c>
      <c r="L21" s="113">
        <v>50</v>
      </c>
      <c r="M21" s="113">
        <v>50</v>
      </c>
      <c r="N21" s="113">
        <v>50</v>
      </c>
      <c r="O21" s="118">
        <v>50</v>
      </c>
    </row>
    <row r="22" spans="6:15" x14ac:dyDescent="0.25">
      <c r="F22" s="123">
        <v>2</v>
      </c>
      <c r="G22" s="121">
        <v>35</v>
      </c>
      <c r="H22" s="121">
        <v>35</v>
      </c>
      <c r="I22" s="121">
        <v>35</v>
      </c>
      <c r="J22" s="121">
        <v>35</v>
      </c>
      <c r="K22" s="121">
        <v>35</v>
      </c>
      <c r="L22" s="121">
        <v>35</v>
      </c>
      <c r="M22" s="121">
        <v>35</v>
      </c>
      <c r="N22" s="121">
        <v>35</v>
      </c>
      <c r="O22" s="115">
        <v>35</v>
      </c>
    </row>
    <row r="23" spans="6:15" ht="15.75" thickBot="1" x14ac:dyDescent="0.3">
      <c r="F23" s="125">
        <v>3</v>
      </c>
      <c r="G23" s="122">
        <v>15</v>
      </c>
      <c r="H23" s="122">
        <v>15</v>
      </c>
      <c r="I23" s="122">
        <v>15</v>
      </c>
      <c r="J23" s="122">
        <v>15</v>
      </c>
      <c r="K23" s="122">
        <v>15</v>
      </c>
      <c r="L23" s="122">
        <v>15</v>
      </c>
      <c r="M23" s="122">
        <v>15</v>
      </c>
      <c r="N23" s="122">
        <v>15</v>
      </c>
      <c r="O23" s="116">
        <v>15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634C-43D3-4124-8269-01F951938E5E}">
  <dimension ref="B2:E25"/>
  <sheetViews>
    <sheetView tabSelected="1" workbookViewId="0">
      <selection activeCell="B12" sqref="B12:E26"/>
    </sheetView>
  </sheetViews>
  <sheetFormatPr defaultRowHeight="15" x14ac:dyDescent="0.25"/>
  <cols>
    <col min="2" max="2" width="13.42578125" customWidth="1"/>
    <col min="3" max="3" width="12.7109375" customWidth="1"/>
  </cols>
  <sheetData>
    <row r="2" spans="2:5" ht="15.75" thickBot="1" x14ac:dyDescent="0.3"/>
    <row r="3" spans="2:5" ht="15.75" thickBot="1" x14ac:dyDescent="0.3">
      <c r="B3" s="67" t="s">
        <v>59</v>
      </c>
      <c r="C3" s="67" t="s">
        <v>157</v>
      </c>
      <c r="D3" s="67" t="s">
        <v>158</v>
      </c>
      <c r="E3" s="67" t="s">
        <v>159</v>
      </c>
    </row>
    <row r="4" spans="2:5" x14ac:dyDescent="0.25">
      <c r="B4" t="s">
        <v>193</v>
      </c>
      <c r="C4" t="s">
        <v>193</v>
      </c>
      <c r="D4" s="133">
        <v>1</v>
      </c>
      <c r="E4" s="133">
        <v>20</v>
      </c>
    </row>
    <row r="5" spans="2:5" x14ac:dyDescent="0.25">
      <c r="B5" t="s">
        <v>194</v>
      </c>
      <c r="C5" t="s">
        <v>194</v>
      </c>
      <c r="D5" s="134">
        <v>2</v>
      </c>
      <c r="E5" s="134">
        <v>7</v>
      </c>
    </row>
    <row r="6" spans="2:5" x14ac:dyDescent="0.25">
      <c r="B6" t="s">
        <v>195</v>
      </c>
      <c r="C6" t="s">
        <v>195</v>
      </c>
      <c r="D6" s="134">
        <v>3</v>
      </c>
      <c r="E6" s="134">
        <v>50</v>
      </c>
    </row>
    <row r="7" spans="2:5" x14ac:dyDescent="0.25">
      <c r="B7" t="s">
        <v>196</v>
      </c>
      <c r="C7" t="s">
        <v>196</v>
      </c>
      <c r="D7" s="134">
        <v>4</v>
      </c>
      <c r="E7" s="134">
        <v>5</v>
      </c>
    </row>
    <row r="8" spans="2:5" x14ac:dyDescent="0.25">
      <c r="B8" t="s">
        <v>197</v>
      </c>
      <c r="C8" t="s">
        <v>197</v>
      </c>
      <c r="D8" s="134">
        <v>5</v>
      </c>
      <c r="E8" s="134">
        <v>5</v>
      </c>
    </row>
    <row r="9" spans="2:5" x14ac:dyDescent="0.25">
      <c r="B9" t="s">
        <v>198</v>
      </c>
      <c r="C9" t="s">
        <v>198</v>
      </c>
      <c r="D9" s="134">
        <v>6</v>
      </c>
      <c r="E9" s="134">
        <v>5</v>
      </c>
    </row>
    <row r="10" spans="2:5" x14ac:dyDescent="0.25">
      <c r="B10" t="s">
        <v>199</v>
      </c>
      <c r="C10" t="s">
        <v>199</v>
      </c>
      <c r="D10" s="134">
        <v>7</v>
      </c>
      <c r="E10" s="134">
        <v>10</v>
      </c>
    </row>
    <row r="11" spans="2:5" x14ac:dyDescent="0.25">
      <c r="B11" t="s">
        <v>200</v>
      </c>
      <c r="C11" t="s">
        <v>200</v>
      </c>
      <c r="D11" s="134">
        <v>8</v>
      </c>
      <c r="E11" s="134">
        <v>7</v>
      </c>
    </row>
    <row r="12" spans="2:5" x14ac:dyDescent="0.25">
      <c r="B12" s="134"/>
      <c r="C12" s="134"/>
      <c r="D12" s="134"/>
      <c r="E12" s="134"/>
    </row>
    <row r="13" spans="2:5" x14ac:dyDescent="0.25">
      <c r="B13" s="134"/>
      <c r="C13" s="134"/>
      <c r="D13" s="134"/>
      <c r="E13" s="134"/>
    </row>
    <row r="14" spans="2:5" x14ac:dyDescent="0.25">
      <c r="B14" s="134"/>
      <c r="C14" s="134"/>
      <c r="D14" s="134"/>
      <c r="E14" s="134"/>
    </row>
    <row r="15" spans="2:5" x14ac:dyDescent="0.25">
      <c r="B15" s="134"/>
      <c r="C15" s="134"/>
      <c r="D15" s="134"/>
      <c r="E15" s="134"/>
    </row>
    <row r="16" spans="2:5" x14ac:dyDescent="0.25">
      <c r="B16" s="134"/>
      <c r="C16" s="134"/>
      <c r="D16" s="134"/>
      <c r="E16" s="134"/>
    </row>
    <row r="17" spans="2:5" x14ac:dyDescent="0.25">
      <c r="B17" s="134"/>
      <c r="C17" s="134"/>
      <c r="D17" s="134"/>
      <c r="E17" s="134"/>
    </row>
    <row r="18" spans="2:5" x14ac:dyDescent="0.25">
      <c r="B18" s="134"/>
      <c r="C18" s="134"/>
      <c r="D18" s="134"/>
      <c r="E18" s="134"/>
    </row>
    <row r="19" spans="2:5" x14ac:dyDescent="0.25">
      <c r="B19" s="134"/>
      <c r="C19" s="134"/>
      <c r="D19" s="134"/>
      <c r="E19" s="134"/>
    </row>
    <row r="20" spans="2:5" x14ac:dyDescent="0.25">
      <c r="B20" s="134"/>
      <c r="C20" s="134"/>
      <c r="D20" s="134"/>
      <c r="E20" s="134"/>
    </row>
    <row r="21" spans="2:5" x14ac:dyDescent="0.25">
      <c r="B21" s="134"/>
      <c r="C21" s="134"/>
      <c r="D21" s="134"/>
      <c r="E21" s="134"/>
    </row>
    <row r="22" spans="2:5" x14ac:dyDescent="0.25">
      <c r="B22" s="134"/>
      <c r="C22" s="134"/>
      <c r="D22" s="134"/>
      <c r="E22" s="134"/>
    </row>
    <row r="23" spans="2:5" x14ac:dyDescent="0.25">
      <c r="B23" s="134"/>
      <c r="C23" s="134"/>
      <c r="D23" s="134"/>
      <c r="E23" s="134"/>
    </row>
    <row r="24" spans="2:5" x14ac:dyDescent="0.25">
      <c r="B24" s="134"/>
      <c r="C24" s="134"/>
      <c r="D24" s="134"/>
      <c r="E24" s="134"/>
    </row>
    <row r="25" spans="2:5" ht="15.75" thickBot="1" x14ac:dyDescent="0.3">
      <c r="B25" s="135"/>
      <c r="C25" s="135"/>
      <c r="D25" s="135"/>
      <c r="E25" s="13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rrayOfDocumentManager.DocumentInfo xmlns:i="http://www.w3.org/2001/XMLSchema-instance" xmlns="http://schemas.datacontract.org/2004/07/IGT.Tools.GameDataEditor.PaytableExporter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671FFAB1750C4BA4AB4AE92FE65D93" ma:contentTypeVersion="4" ma:contentTypeDescription="Create a new document." ma:contentTypeScope="" ma:versionID="ab9eeb359e3b00ca1c55912f47ff370b">
  <xsd:schema xmlns:xsd="http://www.w3.org/2001/XMLSchema" xmlns:xs="http://www.w3.org/2001/XMLSchema" xmlns:p="http://schemas.microsoft.com/office/2006/metadata/properties" xmlns:ns2="8571dc3e-6776-4292-a097-56ced0cad67d" xmlns:ns3="b1c673ee-715c-48f7-9bb8-207eededd970" targetNamespace="http://schemas.microsoft.com/office/2006/metadata/properties" ma:root="true" ma:fieldsID="e752eba9a2076c5d6c86ccf5f6e78b3f" ns2:_="" ns3:_="">
    <xsd:import namespace="8571dc3e-6776-4292-a097-56ced0cad67d"/>
    <xsd:import namespace="b1c673ee-715c-48f7-9bb8-207eededd9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1dc3e-6776-4292-a097-56ced0cad6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673ee-715c-48f7-9bb8-207eededd9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6AF589FF-FAF6-427D-B066-BF0121C99AA3}">
  <ds:schemaRefs>
    <ds:schemaRef ds:uri="http://schemas.datacontract.org/2004/07/IGT.Tools.GameDataEditor.PaytableExporter"/>
  </ds:schemaRefs>
</ds:datastoreItem>
</file>

<file path=customXml/itemProps2.xml><?xml version="1.0" encoding="utf-8"?>
<ds:datastoreItem xmlns:ds="http://schemas.openxmlformats.org/officeDocument/2006/customXml" ds:itemID="{118C888B-9551-4640-84EC-3466A0B5ED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E48129-2137-4F4D-9EEA-C5CEA4444E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91B1FA03-ED83-4B66-B655-69AF679090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71dc3e-6776-4292-a097-56ced0cad67d"/>
    <ds:schemaRef ds:uri="b1c673ee-715c-48f7-9bb8-207eededd9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34E8E66-869F-416E-A71D-6B6E3DEFC2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Symbols</vt:lpstr>
      <vt:lpstr>Lines</vt:lpstr>
      <vt:lpstr>Report_Bet=85 (40, 2, 5)</vt:lpstr>
      <vt:lpstr>Paytable</vt:lpstr>
      <vt:lpstr>ScepterInput</vt:lpstr>
      <vt:lpstr>Reelstrip_BG</vt:lpstr>
      <vt:lpstr>HaS</vt:lpstr>
      <vt:lpstr>Wheel</vt:lpstr>
      <vt:lpstr>Psumpack_BG_Reel1_SBase01</vt:lpstr>
      <vt:lpstr>Psumpack_BG_Reel2_SBase01</vt:lpstr>
      <vt:lpstr>Psumpack_BG_Reel3_SBase01</vt:lpstr>
      <vt:lpstr>Psumpack_BG_Reel4_SBase01</vt:lpstr>
      <vt:lpstr>Psumpack_BG_Reel5_SBase01</vt:lpstr>
      <vt:lpstr>Reelpack_BG_Reel1_Section01</vt:lpstr>
      <vt:lpstr>Reelpack_BG_Reel2_Section01</vt:lpstr>
      <vt:lpstr>Reelpack_BG_Reel3_Section01</vt:lpstr>
      <vt:lpstr>Reelpack_BG_Reel4_Section01</vt:lpstr>
      <vt:lpstr>Reelpack_BG_Reel5_Section01</vt:lpstr>
      <vt:lpstr>Symbols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Jovanovic, Jelena</dc:creator>
  <cp:keywords/>
  <dc:description/>
  <cp:lastModifiedBy>Lemmenes, Aris</cp:lastModifiedBy>
  <cp:revision/>
  <dcterms:created xsi:type="dcterms:W3CDTF">2015-06-05T18:17:20Z</dcterms:created>
  <dcterms:modified xsi:type="dcterms:W3CDTF">2025-12-03T23:00:01Z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0x01010058671FFAB1750C4BA4AB4AE92FE65D93</vt:lpwstr>
  </property>
  <property fmtid="{D5CDD505-2E9C-101B-9397-08002B2CF9AE}" pid="3" name="DocumentDirectory">
    <vt:lpwstr>{6AF589FF-FAF6-427D-B066-BF0121C99AA3}</vt:lpwstr>
  </property>
</Properties>
</file>